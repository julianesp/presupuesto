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CONTABILIDAD EMPRESAS PORTATIL\PRESUPUESTOS 2026\"/>
    </mc:Choice>
  </mc:AlternateContent>
  <xr:revisionPtr revIDLastSave="0" documentId="13_ncr:1_{39A96182-5DBF-407E-98CE-8BB95DB7311D}" xr6:coauthVersionLast="40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ENU" sheetId="4" r:id="rId1"/>
    <sheet name="CONFIG" sheetId="3" r:id="rId2"/>
    <sheet name="TERCEROS" sheetId="5" r:id="rId3"/>
    <sheet name="CDP" sheetId="6" r:id="rId4"/>
    <sheet name="RP" sheetId="7" r:id="rId5"/>
    <sheet name="OBLIGACION" sheetId="8" r:id="rId6"/>
    <sheet name="PAGO" sheetId="9" r:id="rId7"/>
    <sheet name="TARJETAS" sheetId="10" r:id="rId8"/>
    <sheet name="INGRESOS" sheetId="1" r:id="rId9"/>
    <sheet name="GASTOS" sheetId="2" r:id="rId10"/>
    <sheet name="CONCEPTOS" sheetId="11" r:id="rId11"/>
  </sheets>
  <functionGroups builtInGroupCount="19"/>
  <calcPr calcId="191029"/>
</workbook>
</file>

<file path=xl/calcChain.xml><?xml version="1.0" encoding="utf-8"?>
<calcChain xmlns="http://schemas.openxmlformats.org/spreadsheetml/2006/main">
  <c r="K500" i="6" l="1"/>
  <c r="K499" i="6"/>
  <c r="K498" i="6"/>
  <c r="K497" i="6"/>
  <c r="K496" i="6"/>
  <c r="K495" i="6"/>
  <c r="K494" i="6"/>
  <c r="K493" i="6"/>
  <c r="K492" i="6"/>
  <c r="K491" i="6"/>
  <c r="K490" i="6"/>
  <c r="K489" i="6"/>
  <c r="K488" i="6"/>
  <c r="K487" i="6"/>
  <c r="K486" i="6"/>
  <c r="K485" i="6"/>
  <c r="K484" i="6"/>
  <c r="K483" i="6"/>
  <c r="K482" i="6"/>
  <c r="K481" i="6"/>
  <c r="K480" i="6"/>
  <c r="K479" i="6"/>
  <c r="K478" i="6"/>
  <c r="K477" i="6"/>
  <c r="K476" i="6"/>
  <c r="K475" i="6"/>
  <c r="K474" i="6"/>
  <c r="K473" i="6"/>
  <c r="K472" i="6"/>
  <c r="K471" i="6"/>
  <c r="K470" i="6"/>
  <c r="K469" i="6"/>
  <c r="K468" i="6"/>
  <c r="K467" i="6"/>
  <c r="K466" i="6"/>
  <c r="K465" i="6"/>
  <c r="K464" i="6"/>
  <c r="K463" i="6"/>
  <c r="K462" i="6"/>
  <c r="K461" i="6"/>
  <c r="K460" i="6"/>
  <c r="K459" i="6"/>
  <c r="K458" i="6"/>
  <c r="K457" i="6"/>
  <c r="K456" i="6"/>
  <c r="K455" i="6"/>
  <c r="K454" i="6"/>
  <c r="K453" i="6"/>
  <c r="K452" i="6"/>
  <c r="K451" i="6"/>
  <c r="K450" i="6"/>
  <c r="K449" i="6"/>
  <c r="K448" i="6"/>
  <c r="K447" i="6"/>
  <c r="K446" i="6"/>
  <c r="K445" i="6"/>
  <c r="K444" i="6"/>
  <c r="K443" i="6"/>
  <c r="K442" i="6"/>
  <c r="K441" i="6"/>
  <c r="K440" i="6"/>
  <c r="K439" i="6"/>
  <c r="K438" i="6"/>
  <c r="K437" i="6"/>
  <c r="K436" i="6"/>
  <c r="K435" i="6"/>
  <c r="K434" i="6"/>
  <c r="K433" i="6"/>
  <c r="K432" i="6"/>
  <c r="K431" i="6"/>
  <c r="K430" i="6"/>
  <c r="K429" i="6"/>
  <c r="K428" i="6"/>
  <c r="K427" i="6"/>
  <c r="K426" i="6"/>
  <c r="K425" i="6"/>
  <c r="K424" i="6"/>
  <c r="K423" i="6"/>
  <c r="K422" i="6"/>
  <c r="K421" i="6"/>
  <c r="K420" i="6"/>
  <c r="K419" i="6"/>
  <c r="K418" i="6"/>
  <c r="K417" i="6"/>
  <c r="K416" i="6"/>
  <c r="K415" i="6"/>
  <c r="K414" i="6"/>
  <c r="K413" i="6"/>
  <c r="K412" i="6"/>
  <c r="K411" i="6"/>
  <c r="K410" i="6"/>
  <c r="K409" i="6"/>
  <c r="K408" i="6"/>
  <c r="K407" i="6"/>
  <c r="K406" i="6"/>
  <c r="K405" i="6"/>
  <c r="K404" i="6"/>
  <c r="K403" i="6"/>
  <c r="K402" i="6"/>
  <c r="K401" i="6"/>
  <c r="K400" i="6"/>
  <c r="K399" i="6"/>
  <c r="K398" i="6"/>
  <c r="K397" i="6"/>
  <c r="K396" i="6"/>
  <c r="K395" i="6"/>
  <c r="K394" i="6"/>
  <c r="K393" i="6"/>
  <c r="K392" i="6"/>
  <c r="K391" i="6"/>
  <c r="K390" i="6"/>
  <c r="K389" i="6"/>
  <c r="K388" i="6"/>
  <c r="K387" i="6"/>
  <c r="K386" i="6"/>
  <c r="K385" i="6"/>
  <c r="K384" i="6"/>
  <c r="K383" i="6"/>
  <c r="K382" i="6"/>
  <c r="K381" i="6"/>
  <c r="K380" i="6"/>
  <c r="K379" i="6"/>
  <c r="K378" i="6"/>
  <c r="K377" i="6"/>
  <c r="K376" i="6"/>
  <c r="K375" i="6"/>
  <c r="K374" i="6"/>
  <c r="K373" i="6"/>
  <c r="K372" i="6"/>
  <c r="K371" i="6"/>
  <c r="K370" i="6"/>
  <c r="K369" i="6"/>
  <c r="K368" i="6"/>
  <c r="K367" i="6"/>
  <c r="K366" i="6"/>
  <c r="K365" i="6"/>
  <c r="K364" i="6"/>
  <c r="K363" i="6"/>
  <c r="K362" i="6"/>
  <c r="K361" i="6"/>
  <c r="K360" i="6"/>
  <c r="K359" i="6"/>
  <c r="K358" i="6"/>
  <c r="K357" i="6"/>
  <c r="K356" i="6"/>
  <c r="K355" i="6"/>
  <c r="K354" i="6"/>
  <c r="K353" i="6"/>
  <c r="K352" i="6"/>
  <c r="K351" i="6"/>
  <c r="K350" i="6"/>
  <c r="K349" i="6"/>
  <c r="K348" i="6"/>
  <c r="K347" i="6"/>
  <c r="K346" i="6"/>
  <c r="K345" i="6"/>
  <c r="K344" i="6"/>
  <c r="K343" i="6"/>
  <c r="K342" i="6"/>
  <c r="K341" i="6"/>
  <c r="K340" i="6"/>
  <c r="K339" i="6"/>
  <c r="K338" i="6"/>
  <c r="K337" i="6"/>
  <c r="K336" i="6"/>
  <c r="K335" i="6"/>
  <c r="K334" i="6"/>
  <c r="K333" i="6"/>
  <c r="K332" i="6"/>
  <c r="K331" i="6"/>
  <c r="K330" i="6"/>
  <c r="K329" i="6"/>
  <c r="K328" i="6"/>
  <c r="K327" i="6"/>
  <c r="K326" i="6"/>
  <c r="K325" i="6"/>
  <c r="K324" i="6"/>
  <c r="K323" i="6"/>
  <c r="K322" i="6"/>
  <c r="K321" i="6"/>
  <c r="K320" i="6"/>
  <c r="K319" i="6"/>
  <c r="K318" i="6"/>
  <c r="K317" i="6"/>
  <c r="K316" i="6"/>
  <c r="K315" i="6"/>
  <c r="K314" i="6"/>
  <c r="K313" i="6"/>
  <c r="K312" i="6"/>
  <c r="K311" i="6"/>
  <c r="K310" i="6"/>
  <c r="K309" i="6"/>
  <c r="K308" i="6"/>
  <c r="K307" i="6"/>
  <c r="K306" i="6"/>
  <c r="K305" i="6"/>
  <c r="K304" i="6"/>
  <c r="K303" i="6"/>
  <c r="K302" i="6"/>
  <c r="K301" i="6"/>
  <c r="K300" i="6"/>
  <c r="K299" i="6"/>
  <c r="K298" i="6"/>
  <c r="K297" i="6"/>
  <c r="K296" i="6"/>
  <c r="K295" i="6"/>
  <c r="K294" i="6"/>
  <c r="K293" i="6"/>
  <c r="K292" i="6"/>
  <c r="K291" i="6"/>
  <c r="K290" i="6"/>
  <c r="K289" i="6"/>
  <c r="K288" i="6"/>
  <c r="K287" i="6"/>
  <c r="K286" i="6"/>
  <c r="K285" i="6"/>
  <c r="K284" i="6"/>
  <c r="K283" i="6"/>
  <c r="K282" i="6"/>
  <c r="K281" i="6"/>
  <c r="K280" i="6"/>
  <c r="K279" i="6"/>
  <c r="K278" i="6"/>
  <c r="K277" i="6"/>
  <c r="K276" i="6"/>
  <c r="K275" i="6"/>
  <c r="K274" i="6"/>
  <c r="K273" i="6"/>
  <c r="K272" i="6"/>
  <c r="K271" i="6"/>
  <c r="K270" i="6"/>
  <c r="K269" i="6"/>
  <c r="K268" i="6"/>
  <c r="K267" i="6"/>
  <c r="K266" i="6"/>
  <c r="K265" i="6"/>
  <c r="K264" i="6"/>
  <c r="K263" i="6"/>
  <c r="K262" i="6"/>
  <c r="K261" i="6"/>
  <c r="K260" i="6"/>
  <c r="K259" i="6"/>
  <c r="K258" i="6"/>
  <c r="K257" i="6"/>
  <c r="K256" i="6"/>
  <c r="K255" i="6"/>
  <c r="K254" i="6"/>
  <c r="K253" i="6"/>
  <c r="K252" i="6"/>
  <c r="K251" i="6"/>
  <c r="K250" i="6"/>
  <c r="K249" i="6"/>
  <c r="K248" i="6"/>
  <c r="K247" i="6"/>
  <c r="K246" i="6"/>
  <c r="K245" i="6"/>
  <c r="K244" i="6"/>
  <c r="K243" i="6"/>
  <c r="K242" i="6"/>
  <c r="K241" i="6"/>
  <c r="K240" i="6"/>
  <c r="K239" i="6"/>
  <c r="K238" i="6"/>
  <c r="K237" i="6"/>
  <c r="K236" i="6"/>
  <c r="K235" i="6"/>
  <c r="K234" i="6"/>
  <c r="K233" i="6"/>
  <c r="K232" i="6"/>
  <c r="K231" i="6"/>
  <c r="K230" i="6"/>
  <c r="K229" i="6"/>
  <c r="K228" i="6"/>
  <c r="K227" i="6"/>
  <c r="K226" i="6"/>
  <c r="K225" i="6"/>
  <c r="K224" i="6"/>
  <c r="K223" i="6"/>
  <c r="K222" i="6"/>
  <c r="K221" i="6"/>
  <c r="K220" i="6"/>
  <c r="K219" i="6"/>
  <c r="K218" i="6"/>
  <c r="K217" i="6"/>
  <c r="K216" i="6"/>
  <c r="K215" i="6"/>
  <c r="K214" i="6"/>
  <c r="K213" i="6"/>
  <c r="K212" i="6"/>
  <c r="K211" i="6"/>
  <c r="K210" i="6"/>
  <c r="K209" i="6"/>
  <c r="K208" i="6"/>
  <c r="K207" i="6"/>
  <c r="K206" i="6"/>
  <c r="K205" i="6"/>
  <c r="K204" i="6"/>
  <c r="K203" i="6"/>
  <c r="K202" i="6"/>
  <c r="K201" i="6"/>
  <c r="K200" i="6"/>
  <c r="K199" i="6"/>
  <c r="K198" i="6"/>
  <c r="K197" i="6"/>
  <c r="K196" i="6"/>
  <c r="K195" i="6"/>
  <c r="K194" i="6"/>
  <c r="K193" i="6"/>
  <c r="K192" i="6"/>
  <c r="K191" i="6"/>
  <c r="K190" i="6"/>
  <c r="K189" i="6"/>
  <c r="K188" i="6"/>
  <c r="K187" i="6"/>
  <c r="K186" i="6"/>
  <c r="K185" i="6"/>
  <c r="K184" i="6"/>
  <c r="K183" i="6"/>
  <c r="K182" i="6"/>
  <c r="K181" i="6"/>
  <c r="K180" i="6"/>
  <c r="K179" i="6"/>
  <c r="K178" i="6"/>
  <c r="K177" i="6"/>
  <c r="K176" i="6"/>
  <c r="K175" i="6"/>
  <c r="K174" i="6"/>
  <c r="K173" i="6"/>
  <c r="K172" i="6"/>
  <c r="K171" i="6"/>
  <c r="K170" i="6"/>
  <c r="K169" i="6"/>
  <c r="K168" i="6"/>
  <c r="K167" i="6"/>
  <c r="K166" i="6"/>
  <c r="K165" i="6"/>
  <c r="K164" i="6"/>
  <c r="K163" i="6"/>
  <c r="K162" i="6"/>
  <c r="K161" i="6"/>
  <c r="K160" i="6"/>
  <c r="K159" i="6"/>
  <c r="K158" i="6"/>
  <c r="K157" i="6"/>
  <c r="K156" i="6"/>
  <c r="K155" i="6"/>
  <c r="K154" i="6"/>
  <c r="K153" i="6"/>
  <c r="K152" i="6"/>
  <c r="K151" i="6"/>
  <c r="K150" i="6"/>
  <c r="K149" i="6"/>
  <c r="K148" i="6"/>
  <c r="K147" i="6"/>
  <c r="K146" i="6"/>
  <c r="K145" i="6"/>
  <c r="K144" i="6"/>
  <c r="K143" i="6"/>
  <c r="K142" i="6"/>
  <c r="K141" i="6"/>
  <c r="K140" i="6"/>
  <c r="K139" i="6"/>
  <c r="K138" i="6"/>
  <c r="K137" i="6"/>
  <c r="K136" i="6"/>
  <c r="K135" i="6"/>
  <c r="K134" i="6"/>
  <c r="K133" i="6"/>
  <c r="K132" i="6"/>
  <c r="K131" i="6"/>
  <c r="K130" i="6"/>
  <c r="K129" i="6"/>
  <c r="K128" i="6"/>
  <c r="K127" i="6"/>
  <c r="K126" i="6"/>
  <c r="K125" i="6"/>
  <c r="K124" i="6"/>
  <c r="K123" i="6"/>
  <c r="K122" i="6"/>
  <c r="K121" i="6"/>
  <c r="K120" i="6"/>
  <c r="K119" i="6"/>
  <c r="K118" i="6"/>
  <c r="K117" i="6"/>
  <c r="K116" i="6"/>
  <c r="K115" i="6"/>
  <c r="K114" i="6"/>
  <c r="K113" i="6"/>
  <c r="K112" i="6"/>
  <c r="K111" i="6"/>
  <c r="K110" i="6"/>
  <c r="K109" i="6"/>
  <c r="K108" i="6"/>
  <c r="K107" i="6"/>
  <c r="K106" i="6"/>
  <c r="K105" i="6"/>
  <c r="K104" i="6"/>
  <c r="K103" i="6"/>
  <c r="K102" i="6"/>
  <c r="K101" i="6"/>
  <c r="K100" i="6"/>
  <c r="K99" i="6"/>
  <c r="K98" i="6"/>
  <c r="K97" i="6"/>
  <c r="K96" i="6"/>
  <c r="K95" i="6"/>
  <c r="K94" i="6"/>
  <c r="K93" i="6"/>
  <c r="K92" i="6"/>
  <c r="K91" i="6"/>
  <c r="K90" i="6"/>
  <c r="K89" i="6"/>
  <c r="K88" i="6"/>
  <c r="K87" i="6"/>
  <c r="K86" i="6"/>
  <c r="K85" i="6"/>
  <c r="K84" i="6"/>
  <c r="K83" i="6"/>
  <c r="K82" i="6"/>
  <c r="K81" i="6"/>
  <c r="K80" i="6"/>
  <c r="K79" i="6"/>
  <c r="K78" i="6"/>
  <c r="K77" i="6"/>
  <c r="K76" i="6"/>
  <c r="K75" i="6"/>
  <c r="K74" i="6"/>
  <c r="K73" i="6"/>
  <c r="K72" i="6"/>
  <c r="K71" i="6"/>
  <c r="K70" i="6"/>
  <c r="K69" i="6"/>
  <c r="K68" i="6"/>
  <c r="K67" i="6"/>
  <c r="K66" i="6"/>
  <c r="K65" i="6"/>
  <c r="K64" i="6"/>
  <c r="K63" i="6"/>
  <c r="K62" i="6"/>
  <c r="K61" i="6"/>
  <c r="K60" i="6"/>
  <c r="K59" i="6"/>
  <c r="K58" i="6"/>
  <c r="K57" i="6"/>
  <c r="K56" i="6"/>
  <c r="K55" i="6"/>
  <c r="K54" i="6"/>
  <c r="K53" i="6"/>
  <c r="K52" i="6"/>
  <c r="K51" i="6"/>
  <c r="K50" i="6"/>
  <c r="K49" i="6"/>
  <c r="K48" i="6"/>
  <c r="K47" i="6"/>
  <c r="K46" i="6"/>
  <c r="K45" i="6"/>
  <c r="K44" i="6"/>
  <c r="K43" i="6"/>
  <c r="K42" i="6"/>
  <c r="K41" i="6"/>
  <c r="K40" i="6"/>
  <c r="K39" i="6"/>
  <c r="K38" i="6"/>
  <c r="K37" i="6"/>
  <c r="K36" i="6"/>
  <c r="K35" i="6"/>
  <c r="K34" i="6"/>
  <c r="K33" i="6"/>
  <c r="K32" i="6"/>
  <c r="K31" i="6"/>
  <c r="K30" i="6"/>
  <c r="K29" i="6"/>
  <c r="K28" i="6"/>
  <c r="K27" i="6"/>
  <c r="K26" i="6"/>
  <c r="K25" i="6"/>
  <c r="K24" i="6"/>
  <c r="K23" i="6"/>
  <c r="K22" i="6"/>
  <c r="K21" i="6"/>
  <c r="K20" i="6"/>
  <c r="K19" i="6"/>
  <c r="K18" i="6"/>
  <c r="K17" i="6"/>
  <c r="K16" i="6"/>
  <c r="K15" i="6"/>
  <c r="K14" i="6"/>
  <c r="K13" i="6"/>
  <c r="K12" i="6"/>
  <c r="K11" i="6"/>
  <c r="K10" i="6"/>
  <c r="K9" i="6"/>
  <c r="K8" i="6"/>
  <c r="K7" i="6"/>
  <c r="K6" i="6"/>
  <c r="K5" i="6"/>
  <c r="K4" i="6"/>
  <c r="K3" i="6"/>
  <c r="K2" i="6"/>
  <c r="C21" i="4" l="1"/>
  <c r="C20" i="4"/>
  <c r="C19" i="4"/>
  <c r="C18" i="4"/>
  <c r="G500" i="9"/>
  <c r="F500" i="9"/>
  <c r="E500" i="9"/>
  <c r="D500" i="9"/>
  <c r="G499" i="9"/>
  <c r="F499" i="9"/>
  <c r="E499" i="9"/>
  <c r="D499" i="9"/>
  <c r="G498" i="9"/>
  <c r="F498" i="9"/>
  <c r="E498" i="9"/>
  <c r="D498" i="9"/>
  <c r="G497" i="9"/>
  <c r="F497" i="9"/>
  <c r="E497" i="9"/>
  <c r="D497" i="9"/>
  <c r="G496" i="9"/>
  <c r="F496" i="9"/>
  <c r="E496" i="9"/>
  <c r="D496" i="9"/>
  <c r="G495" i="9"/>
  <c r="F495" i="9"/>
  <c r="E495" i="9"/>
  <c r="D495" i="9"/>
  <c r="G494" i="9"/>
  <c r="F494" i="9"/>
  <c r="E494" i="9"/>
  <c r="D494" i="9"/>
  <c r="G493" i="9"/>
  <c r="F493" i="9"/>
  <c r="E493" i="9"/>
  <c r="D493" i="9"/>
  <c r="G492" i="9"/>
  <c r="F492" i="9"/>
  <c r="E492" i="9"/>
  <c r="D492" i="9"/>
  <c r="G491" i="9"/>
  <c r="F491" i="9"/>
  <c r="E491" i="9"/>
  <c r="D491" i="9"/>
  <c r="G490" i="9"/>
  <c r="F490" i="9"/>
  <c r="E490" i="9"/>
  <c r="D490" i="9"/>
  <c r="G489" i="9"/>
  <c r="F489" i="9"/>
  <c r="E489" i="9"/>
  <c r="D489" i="9"/>
  <c r="G488" i="9"/>
  <c r="F488" i="9"/>
  <c r="E488" i="9"/>
  <c r="D488" i="9"/>
  <c r="G487" i="9"/>
  <c r="F487" i="9"/>
  <c r="E487" i="9"/>
  <c r="D487" i="9"/>
  <c r="G486" i="9"/>
  <c r="F486" i="9"/>
  <c r="E486" i="9"/>
  <c r="D486" i="9"/>
  <c r="G485" i="9"/>
  <c r="F485" i="9"/>
  <c r="E485" i="9"/>
  <c r="D485" i="9"/>
  <c r="G484" i="9"/>
  <c r="F484" i="9"/>
  <c r="E484" i="9"/>
  <c r="D484" i="9"/>
  <c r="G483" i="9"/>
  <c r="F483" i="9"/>
  <c r="E483" i="9"/>
  <c r="D483" i="9"/>
  <c r="G482" i="9"/>
  <c r="F482" i="9"/>
  <c r="E482" i="9"/>
  <c r="D482" i="9"/>
  <c r="G481" i="9"/>
  <c r="F481" i="9"/>
  <c r="E481" i="9"/>
  <c r="D481" i="9"/>
  <c r="G480" i="9"/>
  <c r="F480" i="9"/>
  <c r="E480" i="9"/>
  <c r="D480" i="9"/>
  <c r="G479" i="9"/>
  <c r="F479" i="9"/>
  <c r="E479" i="9"/>
  <c r="D479" i="9"/>
  <c r="G478" i="9"/>
  <c r="F478" i="9"/>
  <c r="E478" i="9"/>
  <c r="D478" i="9"/>
  <c r="G477" i="9"/>
  <c r="F477" i="9"/>
  <c r="E477" i="9"/>
  <c r="D477" i="9"/>
  <c r="G476" i="9"/>
  <c r="F476" i="9"/>
  <c r="E476" i="9"/>
  <c r="D476" i="9"/>
  <c r="G475" i="9"/>
  <c r="F475" i="9"/>
  <c r="E475" i="9"/>
  <c r="D475" i="9"/>
  <c r="G474" i="9"/>
  <c r="F474" i="9"/>
  <c r="E474" i="9"/>
  <c r="D474" i="9"/>
  <c r="G473" i="9"/>
  <c r="F473" i="9"/>
  <c r="E473" i="9"/>
  <c r="D473" i="9"/>
  <c r="G472" i="9"/>
  <c r="F472" i="9"/>
  <c r="E472" i="9"/>
  <c r="D472" i="9"/>
  <c r="G471" i="9"/>
  <c r="F471" i="9"/>
  <c r="E471" i="9"/>
  <c r="D471" i="9"/>
  <c r="G470" i="9"/>
  <c r="F470" i="9"/>
  <c r="E470" i="9"/>
  <c r="D470" i="9"/>
  <c r="G469" i="9"/>
  <c r="F469" i="9"/>
  <c r="E469" i="9"/>
  <c r="D469" i="9"/>
  <c r="G468" i="9"/>
  <c r="F468" i="9"/>
  <c r="E468" i="9"/>
  <c r="D468" i="9"/>
  <c r="G467" i="9"/>
  <c r="F467" i="9"/>
  <c r="E467" i="9"/>
  <c r="D467" i="9"/>
  <c r="G466" i="9"/>
  <c r="F466" i="9"/>
  <c r="E466" i="9"/>
  <c r="D466" i="9"/>
  <c r="G465" i="9"/>
  <c r="F465" i="9"/>
  <c r="E465" i="9"/>
  <c r="D465" i="9"/>
  <c r="G464" i="9"/>
  <c r="F464" i="9"/>
  <c r="E464" i="9"/>
  <c r="D464" i="9"/>
  <c r="G463" i="9"/>
  <c r="F463" i="9"/>
  <c r="E463" i="9"/>
  <c r="D463" i="9"/>
  <c r="G462" i="9"/>
  <c r="F462" i="9"/>
  <c r="E462" i="9"/>
  <c r="D462" i="9"/>
  <c r="G461" i="9"/>
  <c r="F461" i="9"/>
  <c r="E461" i="9"/>
  <c r="D461" i="9"/>
  <c r="G460" i="9"/>
  <c r="F460" i="9"/>
  <c r="E460" i="9"/>
  <c r="D460" i="9"/>
  <c r="G459" i="9"/>
  <c r="F459" i="9"/>
  <c r="E459" i="9"/>
  <c r="D459" i="9"/>
  <c r="G458" i="9"/>
  <c r="F458" i="9"/>
  <c r="E458" i="9"/>
  <c r="D458" i="9"/>
  <c r="G457" i="9"/>
  <c r="F457" i="9"/>
  <c r="E457" i="9"/>
  <c r="D457" i="9"/>
  <c r="G456" i="9"/>
  <c r="F456" i="9"/>
  <c r="E456" i="9"/>
  <c r="D456" i="9"/>
  <c r="G455" i="9"/>
  <c r="F455" i="9"/>
  <c r="E455" i="9"/>
  <c r="D455" i="9"/>
  <c r="G454" i="9"/>
  <c r="F454" i="9"/>
  <c r="E454" i="9"/>
  <c r="D454" i="9"/>
  <c r="G453" i="9"/>
  <c r="F453" i="9"/>
  <c r="E453" i="9"/>
  <c r="D453" i="9"/>
  <c r="G452" i="9"/>
  <c r="F452" i="9"/>
  <c r="E452" i="9"/>
  <c r="D452" i="9"/>
  <c r="G451" i="9"/>
  <c r="F451" i="9"/>
  <c r="E451" i="9"/>
  <c r="D451" i="9"/>
  <c r="G450" i="9"/>
  <c r="F450" i="9"/>
  <c r="E450" i="9"/>
  <c r="D450" i="9"/>
  <c r="G449" i="9"/>
  <c r="F449" i="9"/>
  <c r="E449" i="9"/>
  <c r="D449" i="9"/>
  <c r="G448" i="9"/>
  <c r="F448" i="9"/>
  <c r="E448" i="9"/>
  <c r="D448" i="9"/>
  <c r="G447" i="9"/>
  <c r="F447" i="9"/>
  <c r="E447" i="9"/>
  <c r="D447" i="9"/>
  <c r="G446" i="9"/>
  <c r="F446" i="9"/>
  <c r="E446" i="9"/>
  <c r="D446" i="9"/>
  <c r="G445" i="9"/>
  <c r="F445" i="9"/>
  <c r="E445" i="9"/>
  <c r="D445" i="9"/>
  <c r="G444" i="9"/>
  <c r="F444" i="9"/>
  <c r="E444" i="9"/>
  <c r="D444" i="9"/>
  <c r="G443" i="9"/>
  <c r="F443" i="9"/>
  <c r="E443" i="9"/>
  <c r="D443" i="9"/>
  <c r="G442" i="9"/>
  <c r="F442" i="9"/>
  <c r="E442" i="9"/>
  <c r="D442" i="9"/>
  <c r="G441" i="9"/>
  <c r="F441" i="9"/>
  <c r="E441" i="9"/>
  <c r="D441" i="9"/>
  <c r="G440" i="9"/>
  <c r="F440" i="9"/>
  <c r="E440" i="9"/>
  <c r="D440" i="9"/>
  <c r="G439" i="9"/>
  <c r="F439" i="9"/>
  <c r="E439" i="9"/>
  <c r="D439" i="9"/>
  <c r="G438" i="9"/>
  <c r="F438" i="9"/>
  <c r="E438" i="9"/>
  <c r="D438" i="9"/>
  <c r="G437" i="9"/>
  <c r="F437" i="9"/>
  <c r="E437" i="9"/>
  <c r="D437" i="9"/>
  <c r="G436" i="9"/>
  <c r="F436" i="9"/>
  <c r="E436" i="9"/>
  <c r="D436" i="9"/>
  <c r="G435" i="9"/>
  <c r="F435" i="9"/>
  <c r="E435" i="9"/>
  <c r="D435" i="9"/>
  <c r="G434" i="9"/>
  <c r="F434" i="9"/>
  <c r="E434" i="9"/>
  <c r="D434" i="9"/>
  <c r="G433" i="9"/>
  <c r="F433" i="9"/>
  <c r="E433" i="9"/>
  <c r="D433" i="9"/>
  <c r="G432" i="9"/>
  <c r="F432" i="9"/>
  <c r="E432" i="9"/>
  <c r="D432" i="9"/>
  <c r="G431" i="9"/>
  <c r="F431" i="9"/>
  <c r="E431" i="9"/>
  <c r="D431" i="9"/>
  <c r="G430" i="9"/>
  <c r="F430" i="9"/>
  <c r="E430" i="9"/>
  <c r="D430" i="9"/>
  <c r="G429" i="9"/>
  <c r="F429" i="9"/>
  <c r="E429" i="9"/>
  <c r="D429" i="9"/>
  <c r="G428" i="9"/>
  <c r="F428" i="9"/>
  <c r="E428" i="9"/>
  <c r="D428" i="9"/>
  <c r="G427" i="9"/>
  <c r="F427" i="9"/>
  <c r="E427" i="9"/>
  <c r="D427" i="9"/>
  <c r="G426" i="9"/>
  <c r="F426" i="9"/>
  <c r="E426" i="9"/>
  <c r="D426" i="9"/>
  <c r="G425" i="9"/>
  <c r="F425" i="9"/>
  <c r="E425" i="9"/>
  <c r="D425" i="9"/>
  <c r="G424" i="9"/>
  <c r="F424" i="9"/>
  <c r="E424" i="9"/>
  <c r="D424" i="9"/>
  <c r="G423" i="9"/>
  <c r="F423" i="9"/>
  <c r="E423" i="9"/>
  <c r="D423" i="9"/>
  <c r="G422" i="9"/>
  <c r="F422" i="9"/>
  <c r="E422" i="9"/>
  <c r="D422" i="9"/>
  <c r="G421" i="9"/>
  <c r="F421" i="9"/>
  <c r="E421" i="9"/>
  <c r="D421" i="9"/>
  <c r="G420" i="9"/>
  <c r="F420" i="9"/>
  <c r="E420" i="9"/>
  <c r="D420" i="9"/>
  <c r="G419" i="9"/>
  <c r="F419" i="9"/>
  <c r="E419" i="9"/>
  <c r="D419" i="9"/>
  <c r="G418" i="9"/>
  <c r="F418" i="9"/>
  <c r="E418" i="9"/>
  <c r="D418" i="9"/>
  <c r="G417" i="9"/>
  <c r="F417" i="9"/>
  <c r="E417" i="9"/>
  <c r="D417" i="9"/>
  <c r="G416" i="9"/>
  <c r="F416" i="9"/>
  <c r="E416" i="9"/>
  <c r="D416" i="9"/>
  <c r="G415" i="9"/>
  <c r="F415" i="9"/>
  <c r="E415" i="9"/>
  <c r="D415" i="9"/>
  <c r="G414" i="9"/>
  <c r="F414" i="9"/>
  <c r="E414" i="9"/>
  <c r="D414" i="9"/>
  <c r="G413" i="9"/>
  <c r="F413" i="9"/>
  <c r="E413" i="9"/>
  <c r="D413" i="9"/>
  <c r="G412" i="9"/>
  <c r="F412" i="9"/>
  <c r="E412" i="9"/>
  <c r="D412" i="9"/>
  <c r="G411" i="9"/>
  <c r="F411" i="9"/>
  <c r="E411" i="9"/>
  <c r="D411" i="9"/>
  <c r="G410" i="9"/>
  <c r="F410" i="9"/>
  <c r="E410" i="9"/>
  <c r="D410" i="9"/>
  <c r="G409" i="9"/>
  <c r="F409" i="9"/>
  <c r="E409" i="9"/>
  <c r="D409" i="9"/>
  <c r="G408" i="9"/>
  <c r="F408" i="9"/>
  <c r="E408" i="9"/>
  <c r="D408" i="9"/>
  <c r="G407" i="9"/>
  <c r="F407" i="9"/>
  <c r="E407" i="9"/>
  <c r="D407" i="9"/>
  <c r="G406" i="9"/>
  <c r="F406" i="9"/>
  <c r="E406" i="9"/>
  <c r="D406" i="9"/>
  <c r="G405" i="9"/>
  <c r="F405" i="9"/>
  <c r="E405" i="9"/>
  <c r="D405" i="9"/>
  <c r="G404" i="9"/>
  <c r="F404" i="9"/>
  <c r="E404" i="9"/>
  <c r="D404" i="9"/>
  <c r="G403" i="9"/>
  <c r="F403" i="9"/>
  <c r="E403" i="9"/>
  <c r="D403" i="9"/>
  <c r="G402" i="9"/>
  <c r="F402" i="9"/>
  <c r="E402" i="9"/>
  <c r="D402" i="9"/>
  <c r="G401" i="9"/>
  <c r="F401" i="9"/>
  <c r="E401" i="9"/>
  <c r="D401" i="9"/>
  <c r="G400" i="9"/>
  <c r="F400" i="9"/>
  <c r="E400" i="9"/>
  <c r="D400" i="9"/>
  <c r="G399" i="9"/>
  <c r="F399" i="9"/>
  <c r="E399" i="9"/>
  <c r="D399" i="9"/>
  <c r="G398" i="9"/>
  <c r="F398" i="9"/>
  <c r="E398" i="9"/>
  <c r="D398" i="9"/>
  <c r="G397" i="9"/>
  <c r="F397" i="9"/>
  <c r="E397" i="9"/>
  <c r="D397" i="9"/>
  <c r="G396" i="9"/>
  <c r="F396" i="9"/>
  <c r="E396" i="9"/>
  <c r="D396" i="9"/>
  <c r="G395" i="9"/>
  <c r="F395" i="9"/>
  <c r="E395" i="9"/>
  <c r="D395" i="9"/>
  <c r="G394" i="9"/>
  <c r="F394" i="9"/>
  <c r="E394" i="9"/>
  <c r="D394" i="9"/>
  <c r="G393" i="9"/>
  <c r="F393" i="9"/>
  <c r="E393" i="9"/>
  <c r="D393" i="9"/>
  <c r="G392" i="9"/>
  <c r="F392" i="9"/>
  <c r="E392" i="9"/>
  <c r="D392" i="9"/>
  <c r="G391" i="9"/>
  <c r="F391" i="9"/>
  <c r="E391" i="9"/>
  <c r="D391" i="9"/>
  <c r="G390" i="9"/>
  <c r="F390" i="9"/>
  <c r="E390" i="9"/>
  <c r="D390" i="9"/>
  <c r="G389" i="9"/>
  <c r="F389" i="9"/>
  <c r="E389" i="9"/>
  <c r="D389" i="9"/>
  <c r="G388" i="9"/>
  <c r="F388" i="9"/>
  <c r="E388" i="9"/>
  <c r="D388" i="9"/>
  <c r="G387" i="9"/>
  <c r="F387" i="9"/>
  <c r="E387" i="9"/>
  <c r="D387" i="9"/>
  <c r="G386" i="9"/>
  <c r="F386" i="9"/>
  <c r="E386" i="9"/>
  <c r="D386" i="9"/>
  <c r="G385" i="9"/>
  <c r="F385" i="9"/>
  <c r="E385" i="9"/>
  <c r="D385" i="9"/>
  <c r="G384" i="9"/>
  <c r="F384" i="9"/>
  <c r="E384" i="9"/>
  <c r="D384" i="9"/>
  <c r="G383" i="9"/>
  <c r="F383" i="9"/>
  <c r="E383" i="9"/>
  <c r="D383" i="9"/>
  <c r="G382" i="9"/>
  <c r="F382" i="9"/>
  <c r="E382" i="9"/>
  <c r="D382" i="9"/>
  <c r="G381" i="9"/>
  <c r="F381" i="9"/>
  <c r="E381" i="9"/>
  <c r="D381" i="9"/>
  <c r="G380" i="9"/>
  <c r="F380" i="9"/>
  <c r="E380" i="9"/>
  <c r="D380" i="9"/>
  <c r="G379" i="9"/>
  <c r="F379" i="9"/>
  <c r="E379" i="9"/>
  <c r="D379" i="9"/>
  <c r="G378" i="9"/>
  <c r="F378" i="9"/>
  <c r="E378" i="9"/>
  <c r="D378" i="9"/>
  <c r="G377" i="9"/>
  <c r="F377" i="9"/>
  <c r="E377" i="9"/>
  <c r="D377" i="9"/>
  <c r="G376" i="9"/>
  <c r="F376" i="9"/>
  <c r="E376" i="9"/>
  <c r="D376" i="9"/>
  <c r="G375" i="9"/>
  <c r="F375" i="9"/>
  <c r="E375" i="9"/>
  <c r="D375" i="9"/>
  <c r="G374" i="9"/>
  <c r="F374" i="9"/>
  <c r="E374" i="9"/>
  <c r="D374" i="9"/>
  <c r="G373" i="9"/>
  <c r="F373" i="9"/>
  <c r="E373" i="9"/>
  <c r="D373" i="9"/>
  <c r="G372" i="9"/>
  <c r="F372" i="9"/>
  <c r="E372" i="9"/>
  <c r="D372" i="9"/>
  <c r="G371" i="9"/>
  <c r="F371" i="9"/>
  <c r="E371" i="9"/>
  <c r="D371" i="9"/>
  <c r="G370" i="9"/>
  <c r="F370" i="9"/>
  <c r="E370" i="9"/>
  <c r="D370" i="9"/>
  <c r="G369" i="9"/>
  <c r="F369" i="9"/>
  <c r="E369" i="9"/>
  <c r="D369" i="9"/>
  <c r="G368" i="9"/>
  <c r="F368" i="9"/>
  <c r="E368" i="9"/>
  <c r="D368" i="9"/>
  <c r="G367" i="9"/>
  <c r="F367" i="9"/>
  <c r="E367" i="9"/>
  <c r="D367" i="9"/>
  <c r="G366" i="9"/>
  <c r="F366" i="9"/>
  <c r="E366" i="9"/>
  <c r="D366" i="9"/>
  <c r="G365" i="9"/>
  <c r="F365" i="9"/>
  <c r="E365" i="9"/>
  <c r="D365" i="9"/>
  <c r="G364" i="9"/>
  <c r="F364" i="9"/>
  <c r="E364" i="9"/>
  <c r="D364" i="9"/>
  <c r="G363" i="9"/>
  <c r="F363" i="9"/>
  <c r="E363" i="9"/>
  <c r="D363" i="9"/>
  <c r="G362" i="9"/>
  <c r="F362" i="9"/>
  <c r="E362" i="9"/>
  <c r="D362" i="9"/>
  <c r="G361" i="9"/>
  <c r="F361" i="9"/>
  <c r="E361" i="9"/>
  <c r="D361" i="9"/>
  <c r="G360" i="9"/>
  <c r="F360" i="9"/>
  <c r="E360" i="9"/>
  <c r="D360" i="9"/>
  <c r="G359" i="9"/>
  <c r="F359" i="9"/>
  <c r="E359" i="9"/>
  <c r="D359" i="9"/>
  <c r="G358" i="9"/>
  <c r="F358" i="9"/>
  <c r="E358" i="9"/>
  <c r="D358" i="9"/>
  <c r="G357" i="9"/>
  <c r="F357" i="9"/>
  <c r="E357" i="9"/>
  <c r="D357" i="9"/>
  <c r="G356" i="9"/>
  <c r="F356" i="9"/>
  <c r="E356" i="9"/>
  <c r="D356" i="9"/>
  <c r="G355" i="9"/>
  <c r="F355" i="9"/>
  <c r="E355" i="9"/>
  <c r="D355" i="9"/>
  <c r="G354" i="9"/>
  <c r="F354" i="9"/>
  <c r="E354" i="9"/>
  <c r="D354" i="9"/>
  <c r="G353" i="9"/>
  <c r="F353" i="9"/>
  <c r="E353" i="9"/>
  <c r="D353" i="9"/>
  <c r="G352" i="9"/>
  <c r="F352" i="9"/>
  <c r="E352" i="9"/>
  <c r="D352" i="9"/>
  <c r="G351" i="9"/>
  <c r="F351" i="9"/>
  <c r="E351" i="9"/>
  <c r="D351" i="9"/>
  <c r="G350" i="9"/>
  <c r="F350" i="9"/>
  <c r="E350" i="9"/>
  <c r="D350" i="9"/>
  <c r="G349" i="9"/>
  <c r="F349" i="9"/>
  <c r="E349" i="9"/>
  <c r="D349" i="9"/>
  <c r="G348" i="9"/>
  <c r="F348" i="9"/>
  <c r="E348" i="9"/>
  <c r="D348" i="9"/>
  <c r="G347" i="9"/>
  <c r="F347" i="9"/>
  <c r="E347" i="9"/>
  <c r="D347" i="9"/>
  <c r="G346" i="9"/>
  <c r="F346" i="9"/>
  <c r="E346" i="9"/>
  <c r="D346" i="9"/>
  <c r="G345" i="9"/>
  <c r="F345" i="9"/>
  <c r="E345" i="9"/>
  <c r="D345" i="9"/>
  <c r="G344" i="9"/>
  <c r="F344" i="9"/>
  <c r="E344" i="9"/>
  <c r="D344" i="9"/>
  <c r="G343" i="9"/>
  <c r="F343" i="9"/>
  <c r="E343" i="9"/>
  <c r="D343" i="9"/>
  <c r="G342" i="9"/>
  <c r="F342" i="9"/>
  <c r="E342" i="9"/>
  <c r="D342" i="9"/>
  <c r="G341" i="9"/>
  <c r="F341" i="9"/>
  <c r="E341" i="9"/>
  <c r="D341" i="9"/>
  <c r="G340" i="9"/>
  <c r="F340" i="9"/>
  <c r="E340" i="9"/>
  <c r="D340" i="9"/>
  <c r="G339" i="9"/>
  <c r="F339" i="9"/>
  <c r="E339" i="9"/>
  <c r="D339" i="9"/>
  <c r="G338" i="9"/>
  <c r="F338" i="9"/>
  <c r="E338" i="9"/>
  <c r="D338" i="9"/>
  <c r="G337" i="9"/>
  <c r="F337" i="9"/>
  <c r="E337" i="9"/>
  <c r="D337" i="9"/>
  <c r="G336" i="9"/>
  <c r="F336" i="9"/>
  <c r="E336" i="9"/>
  <c r="D336" i="9"/>
  <c r="G335" i="9"/>
  <c r="F335" i="9"/>
  <c r="E335" i="9"/>
  <c r="D335" i="9"/>
  <c r="G334" i="9"/>
  <c r="F334" i="9"/>
  <c r="E334" i="9"/>
  <c r="D334" i="9"/>
  <c r="G333" i="9"/>
  <c r="F333" i="9"/>
  <c r="E333" i="9"/>
  <c r="D333" i="9"/>
  <c r="G332" i="9"/>
  <c r="F332" i="9"/>
  <c r="E332" i="9"/>
  <c r="D332" i="9"/>
  <c r="G331" i="9"/>
  <c r="F331" i="9"/>
  <c r="E331" i="9"/>
  <c r="D331" i="9"/>
  <c r="G330" i="9"/>
  <c r="F330" i="9"/>
  <c r="E330" i="9"/>
  <c r="D330" i="9"/>
  <c r="G329" i="9"/>
  <c r="F329" i="9"/>
  <c r="E329" i="9"/>
  <c r="D329" i="9"/>
  <c r="G328" i="9"/>
  <c r="F328" i="9"/>
  <c r="E328" i="9"/>
  <c r="D328" i="9"/>
  <c r="G327" i="9"/>
  <c r="F327" i="9"/>
  <c r="E327" i="9"/>
  <c r="D327" i="9"/>
  <c r="G326" i="9"/>
  <c r="F326" i="9"/>
  <c r="E326" i="9"/>
  <c r="D326" i="9"/>
  <c r="G325" i="9"/>
  <c r="F325" i="9"/>
  <c r="E325" i="9"/>
  <c r="D325" i="9"/>
  <c r="G324" i="9"/>
  <c r="F324" i="9"/>
  <c r="E324" i="9"/>
  <c r="D324" i="9"/>
  <c r="G323" i="9"/>
  <c r="F323" i="9"/>
  <c r="E323" i="9"/>
  <c r="D323" i="9"/>
  <c r="G322" i="9"/>
  <c r="F322" i="9"/>
  <c r="E322" i="9"/>
  <c r="D322" i="9"/>
  <c r="G321" i="9"/>
  <c r="F321" i="9"/>
  <c r="E321" i="9"/>
  <c r="D321" i="9"/>
  <c r="G320" i="9"/>
  <c r="F320" i="9"/>
  <c r="E320" i="9"/>
  <c r="D320" i="9"/>
  <c r="G319" i="9"/>
  <c r="F319" i="9"/>
  <c r="E319" i="9"/>
  <c r="D319" i="9"/>
  <c r="G318" i="9"/>
  <c r="F318" i="9"/>
  <c r="E318" i="9"/>
  <c r="D318" i="9"/>
  <c r="G317" i="9"/>
  <c r="F317" i="9"/>
  <c r="E317" i="9"/>
  <c r="D317" i="9"/>
  <c r="G316" i="9"/>
  <c r="F316" i="9"/>
  <c r="E316" i="9"/>
  <c r="D316" i="9"/>
  <c r="G315" i="9"/>
  <c r="F315" i="9"/>
  <c r="E315" i="9"/>
  <c r="D315" i="9"/>
  <c r="G314" i="9"/>
  <c r="F314" i="9"/>
  <c r="E314" i="9"/>
  <c r="D314" i="9"/>
  <c r="G313" i="9"/>
  <c r="F313" i="9"/>
  <c r="E313" i="9"/>
  <c r="D313" i="9"/>
  <c r="G312" i="9"/>
  <c r="F312" i="9"/>
  <c r="E312" i="9"/>
  <c r="D312" i="9"/>
  <c r="G311" i="9"/>
  <c r="F311" i="9"/>
  <c r="E311" i="9"/>
  <c r="D311" i="9"/>
  <c r="G310" i="9"/>
  <c r="F310" i="9"/>
  <c r="E310" i="9"/>
  <c r="D310" i="9"/>
  <c r="G309" i="9"/>
  <c r="F309" i="9"/>
  <c r="E309" i="9"/>
  <c r="D309" i="9"/>
  <c r="G308" i="9"/>
  <c r="F308" i="9"/>
  <c r="E308" i="9"/>
  <c r="D308" i="9"/>
  <c r="G307" i="9"/>
  <c r="F307" i="9"/>
  <c r="E307" i="9"/>
  <c r="D307" i="9"/>
  <c r="G306" i="9"/>
  <c r="F306" i="9"/>
  <c r="E306" i="9"/>
  <c r="D306" i="9"/>
  <c r="G305" i="9"/>
  <c r="F305" i="9"/>
  <c r="E305" i="9"/>
  <c r="D305" i="9"/>
  <c r="G304" i="9"/>
  <c r="F304" i="9"/>
  <c r="E304" i="9"/>
  <c r="D304" i="9"/>
  <c r="G303" i="9"/>
  <c r="F303" i="9"/>
  <c r="E303" i="9"/>
  <c r="D303" i="9"/>
  <c r="G302" i="9"/>
  <c r="F302" i="9"/>
  <c r="E302" i="9"/>
  <c r="D302" i="9"/>
  <c r="G301" i="9"/>
  <c r="F301" i="9"/>
  <c r="E301" i="9"/>
  <c r="D301" i="9"/>
  <c r="G300" i="9"/>
  <c r="F300" i="9"/>
  <c r="E300" i="9"/>
  <c r="D300" i="9"/>
  <c r="G299" i="9"/>
  <c r="F299" i="9"/>
  <c r="E299" i="9"/>
  <c r="D299" i="9"/>
  <c r="G298" i="9"/>
  <c r="F298" i="9"/>
  <c r="E298" i="9"/>
  <c r="D298" i="9"/>
  <c r="G297" i="9"/>
  <c r="F297" i="9"/>
  <c r="E297" i="9"/>
  <c r="D297" i="9"/>
  <c r="G296" i="9"/>
  <c r="F296" i="9"/>
  <c r="E296" i="9"/>
  <c r="D296" i="9"/>
  <c r="G295" i="9"/>
  <c r="F295" i="9"/>
  <c r="E295" i="9"/>
  <c r="D295" i="9"/>
  <c r="G294" i="9"/>
  <c r="F294" i="9"/>
  <c r="E294" i="9"/>
  <c r="D294" i="9"/>
  <c r="G293" i="9"/>
  <c r="F293" i="9"/>
  <c r="E293" i="9"/>
  <c r="D293" i="9"/>
  <c r="G292" i="9"/>
  <c r="F292" i="9"/>
  <c r="E292" i="9"/>
  <c r="D292" i="9"/>
  <c r="G291" i="9"/>
  <c r="F291" i="9"/>
  <c r="E291" i="9"/>
  <c r="D291" i="9"/>
  <c r="G290" i="9"/>
  <c r="F290" i="9"/>
  <c r="E290" i="9"/>
  <c r="D290" i="9"/>
  <c r="G289" i="9"/>
  <c r="F289" i="9"/>
  <c r="E289" i="9"/>
  <c r="D289" i="9"/>
  <c r="G288" i="9"/>
  <c r="F288" i="9"/>
  <c r="E288" i="9"/>
  <c r="D288" i="9"/>
  <c r="G287" i="9"/>
  <c r="F287" i="9"/>
  <c r="E287" i="9"/>
  <c r="D287" i="9"/>
  <c r="G286" i="9"/>
  <c r="F286" i="9"/>
  <c r="E286" i="9"/>
  <c r="D286" i="9"/>
  <c r="G285" i="9"/>
  <c r="F285" i="9"/>
  <c r="E285" i="9"/>
  <c r="D285" i="9"/>
  <c r="G284" i="9"/>
  <c r="F284" i="9"/>
  <c r="E284" i="9"/>
  <c r="D284" i="9"/>
  <c r="G283" i="9"/>
  <c r="F283" i="9"/>
  <c r="E283" i="9"/>
  <c r="D283" i="9"/>
  <c r="G282" i="9"/>
  <c r="F282" i="9"/>
  <c r="E282" i="9"/>
  <c r="D282" i="9"/>
  <c r="G281" i="9"/>
  <c r="F281" i="9"/>
  <c r="E281" i="9"/>
  <c r="D281" i="9"/>
  <c r="G280" i="9"/>
  <c r="F280" i="9"/>
  <c r="E280" i="9"/>
  <c r="D280" i="9"/>
  <c r="G279" i="9"/>
  <c r="F279" i="9"/>
  <c r="E279" i="9"/>
  <c r="D279" i="9"/>
  <c r="G278" i="9"/>
  <c r="F278" i="9"/>
  <c r="E278" i="9"/>
  <c r="D278" i="9"/>
  <c r="G277" i="9"/>
  <c r="F277" i="9"/>
  <c r="E277" i="9"/>
  <c r="D277" i="9"/>
  <c r="G276" i="9"/>
  <c r="F276" i="9"/>
  <c r="E276" i="9"/>
  <c r="D276" i="9"/>
  <c r="G275" i="9"/>
  <c r="F275" i="9"/>
  <c r="E275" i="9"/>
  <c r="D275" i="9"/>
  <c r="G274" i="9"/>
  <c r="F274" i="9"/>
  <c r="E274" i="9"/>
  <c r="D274" i="9"/>
  <c r="G273" i="9"/>
  <c r="F273" i="9"/>
  <c r="E273" i="9"/>
  <c r="D273" i="9"/>
  <c r="G272" i="9"/>
  <c r="F272" i="9"/>
  <c r="E272" i="9"/>
  <c r="D272" i="9"/>
  <c r="G271" i="9"/>
  <c r="F271" i="9"/>
  <c r="E271" i="9"/>
  <c r="D271" i="9"/>
  <c r="G270" i="9"/>
  <c r="F270" i="9"/>
  <c r="E270" i="9"/>
  <c r="D270" i="9"/>
  <c r="G269" i="9"/>
  <c r="F269" i="9"/>
  <c r="E269" i="9"/>
  <c r="D269" i="9"/>
  <c r="G268" i="9"/>
  <c r="F268" i="9"/>
  <c r="E268" i="9"/>
  <c r="D268" i="9"/>
  <c r="G267" i="9"/>
  <c r="F267" i="9"/>
  <c r="E267" i="9"/>
  <c r="D267" i="9"/>
  <c r="G266" i="9"/>
  <c r="F266" i="9"/>
  <c r="E266" i="9"/>
  <c r="D266" i="9"/>
  <c r="G265" i="9"/>
  <c r="F265" i="9"/>
  <c r="E265" i="9"/>
  <c r="D265" i="9"/>
  <c r="G264" i="9"/>
  <c r="F264" i="9"/>
  <c r="E264" i="9"/>
  <c r="D264" i="9"/>
  <c r="G263" i="9"/>
  <c r="F263" i="9"/>
  <c r="E263" i="9"/>
  <c r="D263" i="9"/>
  <c r="G262" i="9"/>
  <c r="F262" i="9"/>
  <c r="E262" i="9"/>
  <c r="D262" i="9"/>
  <c r="G261" i="9"/>
  <c r="F261" i="9"/>
  <c r="E261" i="9"/>
  <c r="D261" i="9"/>
  <c r="G260" i="9"/>
  <c r="F260" i="9"/>
  <c r="E260" i="9"/>
  <c r="D260" i="9"/>
  <c r="G259" i="9"/>
  <c r="F259" i="9"/>
  <c r="E259" i="9"/>
  <c r="D259" i="9"/>
  <c r="G258" i="9"/>
  <c r="F258" i="9"/>
  <c r="E258" i="9"/>
  <c r="D258" i="9"/>
  <c r="G257" i="9"/>
  <c r="F257" i="9"/>
  <c r="E257" i="9"/>
  <c r="D257" i="9"/>
  <c r="G256" i="9"/>
  <c r="F256" i="9"/>
  <c r="E256" i="9"/>
  <c r="D256" i="9"/>
  <c r="G255" i="9"/>
  <c r="F255" i="9"/>
  <c r="E255" i="9"/>
  <c r="D255" i="9"/>
  <c r="G254" i="9"/>
  <c r="F254" i="9"/>
  <c r="E254" i="9"/>
  <c r="D254" i="9"/>
  <c r="G253" i="9"/>
  <c r="F253" i="9"/>
  <c r="E253" i="9"/>
  <c r="D253" i="9"/>
  <c r="G252" i="9"/>
  <c r="F252" i="9"/>
  <c r="E252" i="9"/>
  <c r="D252" i="9"/>
  <c r="G251" i="9"/>
  <c r="F251" i="9"/>
  <c r="E251" i="9"/>
  <c r="D251" i="9"/>
  <c r="G250" i="9"/>
  <c r="F250" i="9"/>
  <c r="E250" i="9"/>
  <c r="D250" i="9"/>
  <c r="G249" i="9"/>
  <c r="F249" i="9"/>
  <c r="E249" i="9"/>
  <c r="D249" i="9"/>
  <c r="G248" i="9"/>
  <c r="F248" i="9"/>
  <c r="E248" i="9"/>
  <c r="D248" i="9"/>
  <c r="G247" i="9"/>
  <c r="F247" i="9"/>
  <c r="E247" i="9"/>
  <c r="D247" i="9"/>
  <c r="G246" i="9"/>
  <c r="F246" i="9"/>
  <c r="E246" i="9"/>
  <c r="D246" i="9"/>
  <c r="G245" i="9"/>
  <c r="F245" i="9"/>
  <c r="E245" i="9"/>
  <c r="D245" i="9"/>
  <c r="G244" i="9"/>
  <c r="F244" i="9"/>
  <c r="E244" i="9"/>
  <c r="D244" i="9"/>
  <c r="G243" i="9"/>
  <c r="F243" i="9"/>
  <c r="E243" i="9"/>
  <c r="D243" i="9"/>
  <c r="G242" i="9"/>
  <c r="F242" i="9"/>
  <c r="E242" i="9"/>
  <c r="D242" i="9"/>
  <c r="G241" i="9"/>
  <c r="F241" i="9"/>
  <c r="E241" i="9"/>
  <c r="D241" i="9"/>
  <c r="G240" i="9"/>
  <c r="F240" i="9"/>
  <c r="E240" i="9"/>
  <c r="D240" i="9"/>
  <c r="G239" i="9"/>
  <c r="F239" i="9"/>
  <c r="E239" i="9"/>
  <c r="D239" i="9"/>
  <c r="G238" i="9"/>
  <c r="F238" i="9"/>
  <c r="E238" i="9"/>
  <c r="D238" i="9"/>
  <c r="G237" i="9"/>
  <c r="F237" i="9"/>
  <c r="E237" i="9"/>
  <c r="D237" i="9"/>
  <c r="G236" i="9"/>
  <c r="F236" i="9"/>
  <c r="E236" i="9"/>
  <c r="D236" i="9"/>
  <c r="G235" i="9"/>
  <c r="F235" i="9"/>
  <c r="E235" i="9"/>
  <c r="D235" i="9"/>
  <c r="G234" i="9"/>
  <c r="F234" i="9"/>
  <c r="E234" i="9"/>
  <c r="D234" i="9"/>
  <c r="G233" i="9"/>
  <c r="F233" i="9"/>
  <c r="E233" i="9"/>
  <c r="D233" i="9"/>
  <c r="G232" i="9"/>
  <c r="F232" i="9"/>
  <c r="E232" i="9"/>
  <c r="D232" i="9"/>
  <c r="G231" i="9"/>
  <c r="F231" i="9"/>
  <c r="E231" i="9"/>
  <c r="D231" i="9"/>
  <c r="G230" i="9"/>
  <c r="F230" i="9"/>
  <c r="E230" i="9"/>
  <c r="D230" i="9"/>
  <c r="G229" i="9"/>
  <c r="F229" i="9"/>
  <c r="E229" i="9"/>
  <c r="D229" i="9"/>
  <c r="G228" i="9"/>
  <c r="F228" i="9"/>
  <c r="E228" i="9"/>
  <c r="D228" i="9"/>
  <c r="G227" i="9"/>
  <c r="F227" i="9"/>
  <c r="E227" i="9"/>
  <c r="D227" i="9"/>
  <c r="G226" i="9"/>
  <c r="F226" i="9"/>
  <c r="E226" i="9"/>
  <c r="D226" i="9"/>
  <c r="G225" i="9"/>
  <c r="F225" i="9"/>
  <c r="E225" i="9"/>
  <c r="D225" i="9"/>
  <c r="G224" i="9"/>
  <c r="F224" i="9"/>
  <c r="E224" i="9"/>
  <c r="D224" i="9"/>
  <c r="G223" i="9"/>
  <c r="F223" i="9"/>
  <c r="E223" i="9"/>
  <c r="D223" i="9"/>
  <c r="G222" i="9"/>
  <c r="F222" i="9"/>
  <c r="E222" i="9"/>
  <c r="D222" i="9"/>
  <c r="G221" i="9"/>
  <c r="F221" i="9"/>
  <c r="E221" i="9"/>
  <c r="D221" i="9"/>
  <c r="G220" i="9"/>
  <c r="F220" i="9"/>
  <c r="E220" i="9"/>
  <c r="D220" i="9"/>
  <c r="G219" i="9"/>
  <c r="F219" i="9"/>
  <c r="E219" i="9"/>
  <c r="D219" i="9"/>
  <c r="G218" i="9"/>
  <c r="F218" i="9"/>
  <c r="E218" i="9"/>
  <c r="D218" i="9"/>
  <c r="G217" i="9"/>
  <c r="F217" i="9"/>
  <c r="E217" i="9"/>
  <c r="D217" i="9"/>
  <c r="G216" i="9"/>
  <c r="F216" i="9"/>
  <c r="E216" i="9"/>
  <c r="D216" i="9"/>
  <c r="G215" i="9"/>
  <c r="F215" i="9"/>
  <c r="E215" i="9"/>
  <c r="D215" i="9"/>
  <c r="G214" i="9"/>
  <c r="F214" i="9"/>
  <c r="E214" i="9"/>
  <c r="D214" i="9"/>
  <c r="G213" i="9"/>
  <c r="F213" i="9"/>
  <c r="E213" i="9"/>
  <c r="D213" i="9"/>
  <c r="G212" i="9"/>
  <c r="F212" i="9"/>
  <c r="E212" i="9"/>
  <c r="D212" i="9"/>
  <c r="G211" i="9"/>
  <c r="F211" i="9"/>
  <c r="E211" i="9"/>
  <c r="D211" i="9"/>
  <c r="G210" i="9"/>
  <c r="F210" i="9"/>
  <c r="E210" i="9"/>
  <c r="D210" i="9"/>
  <c r="G209" i="9"/>
  <c r="F209" i="9"/>
  <c r="E209" i="9"/>
  <c r="D209" i="9"/>
  <c r="G208" i="9"/>
  <c r="F208" i="9"/>
  <c r="E208" i="9"/>
  <c r="D208" i="9"/>
  <c r="G207" i="9"/>
  <c r="F207" i="9"/>
  <c r="E207" i="9"/>
  <c r="D207" i="9"/>
  <c r="G206" i="9"/>
  <c r="F206" i="9"/>
  <c r="E206" i="9"/>
  <c r="D206" i="9"/>
  <c r="G205" i="9"/>
  <c r="F205" i="9"/>
  <c r="E205" i="9"/>
  <c r="D205" i="9"/>
  <c r="G204" i="9"/>
  <c r="F204" i="9"/>
  <c r="E204" i="9"/>
  <c r="D204" i="9"/>
  <c r="G203" i="9"/>
  <c r="F203" i="9"/>
  <c r="E203" i="9"/>
  <c r="D203" i="9"/>
  <c r="G202" i="9"/>
  <c r="F202" i="9"/>
  <c r="E202" i="9"/>
  <c r="D202" i="9"/>
  <c r="G201" i="9"/>
  <c r="F201" i="9"/>
  <c r="E201" i="9"/>
  <c r="D201" i="9"/>
  <c r="G200" i="9"/>
  <c r="F200" i="9"/>
  <c r="E200" i="9"/>
  <c r="D200" i="9"/>
  <c r="G199" i="9"/>
  <c r="F199" i="9"/>
  <c r="E199" i="9"/>
  <c r="D199" i="9"/>
  <c r="G198" i="9"/>
  <c r="F198" i="9"/>
  <c r="E198" i="9"/>
  <c r="D198" i="9"/>
  <c r="G197" i="9"/>
  <c r="F197" i="9"/>
  <c r="E197" i="9"/>
  <c r="D197" i="9"/>
  <c r="G196" i="9"/>
  <c r="F196" i="9"/>
  <c r="E196" i="9"/>
  <c r="D196" i="9"/>
  <c r="G195" i="9"/>
  <c r="F195" i="9"/>
  <c r="E195" i="9"/>
  <c r="D195" i="9"/>
  <c r="G194" i="9"/>
  <c r="F194" i="9"/>
  <c r="E194" i="9"/>
  <c r="D194" i="9"/>
  <c r="G193" i="9"/>
  <c r="F193" i="9"/>
  <c r="E193" i="9"/>
  <c r="D193" i="9"/>
  <c r="G192" i="9"/>
  <c r="F192" i="9"/>
  <c r="E192" i="9"/>
  <c r="D192" i="9"/>
  <c r="G191" i="9"/>
  <c r="F191" i="9"/>
  <c r="E191" i="9"/>
  <c r="D191" i="9"/>
  <c r="G190" i="9"/>
  <c r="F190" i="9"/>
  <c r="E190" i="9"/>
  <c r="D190" i="9"/>
  <c r="G189" i="9"/>
  <c r="F189" i="9"/>
  <c r="E189" i="9"/>
  <c r="D189" i="9"/>
  <c r="G188" i="9"/>
  <c r="F188" i="9"/>
  <c r="E188" i="9"/>
  <c r="D188" i="9"/>
  <c r="G187" i="9"/>
  <c r="F187" i="9"/>
  <c r="E187" i="9"/>
  <c r="D187" i="9"/>
  <c r="G186" i="9"/>
  <c r="F186" i="9"/>
  <c r="E186" i="9"/>
  <c r="D186" i="9"/>
  <c r="G185" i="9"/>
  <c r="F185" i="9"/>
  <c r="E185" i="9"/>
  <c r="D185" i="9"/>
  <c r="G184" i="9"/>
  <c r="F184" i="9"/>
  <c r="E184" i="9"/>
  <c r="D184" i="9"/>
  <c r="G183" i="9"/>
  <c r="F183" i="9"/>
  <c r="E183" i="9"/>
  <c r="D183" i="9"/>
  <c r="G182" i="9"/>
  <c r="F182" i="9"/>
  <c r="E182" i="9"/>
  <c r="D182" i="9"/>
  <c r="G181" i="9"/>
  <c r="F181" i="9"/>
  <c r="E181" i="9"/>
  <c r="D181" i="9"/>
  <c r="G180" i="9"/>
  <c r="F180" i="9"/>
  <c r="E180" i="9"/>
  <c r="D180" i="9"/>
  <c r="G179" i="9"/>
  <c r="F179" i="9"/>
  <c r="E179" i="9"/>
  <c r="D179" i="9"/>
  <c r="G178" i="9"/>
  <c r="F178" i="9"/>
  <c r="E178" i="9"/>
  <c r="D178" i="9"/>
  <c r="G177" i="9"/>
  <c r="F177" i="9"/>
  <c r="E177" i="9"/>
  <c r="D177" i="9"/>
  <c r="G176" i="9"/>
  <c r="F176" i="9"/>
  <c r="E176" i="9"/>
  <c r="D176" i="9"/>
  <c r="G175" i="9"/>
  <c r="F175" i="9"/>
  <c r="E175" i="9"/>
  <c r="D175" i="9"/>
  <c r="G174" i="9"/>
  <c r="F174" i="9"/>
  <c r="E174" i="9"/>
  <c r="D174" i="9"/>
  <c r="G173" i="9"/>
  <c r="F173" i="9"/>
  <c r="E173" i="9"/>
  <c r="D173" i="9"/>
  <c r="G172" i="9"/>
  <c r="F172" i="9"/>
  <c r="E172" i="9"/>
  <c r="D172" i="9"/>
  <c r="G171" i="9"/>
  <c r="F171" i="9"/>
  <c r="E171" i="9"/>
  <c r="D171" i="9"/>
  <c r="G170" i="9"/>
  <c r="F170" i="9"/>
  <c r="E170" i="9"/>
  <c r="D170" i="9"/>
  <c r="G169" i="9"/>
  <c r="F169" i="9"/>
  <c r="E169" i="9"/>
  <c r="D169" i="9"/>
  <c r="G168" i="9"/>
  <c r="F168" i="9"/>
  <c r="E168" i="9"/>
  <c r="D168" i="9"/>
  <c r="G167" i="9"/>
  <c r="F167" i="9"/>
  <c r="E167" i="9"/>
  <c r="D167" i="9"/>
  <c r="G166" i="9"/>
  <c r="F166" i="9"/>
  <c r="E166" i="9"/>
  <c r="D166" i="9"/>
  <c r="G165" i="9"/>
  <c r="F165" i="9"/>
  <c r="E165" i="9"/>
  <c r="D165" i="9"/>
  <c r="G164" i="9"/>
  <c r="F164" i="9"/>
  <c r="E164" i="9"/>
  <c r="D164" i="9"/>
  <c r="G163" i="9"/>
  <c r="F163" i="9"/>
  <c r="E163" i="9"/>
  <c r="D163" i="9"/>
  <c r="G162" i="9"/>
  <c r="F162" i="9"/>
  <c r="E162" i="9"/>
  <c r="D162" i="9"/>
  <c r="G161" i="9"/>
  <c r="F161" i="9"/>
  <c r="E161" i="9"/>
  <c r="D161" i="9"/>
  <c r="G160" i="9"/>
  <c r="F160" i="9"/>
  <c r="E160" i="9"/>
  <c r="D160" i="9"/>
  <c r="G159" i="9"/>
  <c r="F159" i="9"/>
  <c r="E159" i="9"/>
  <c r="D159" i="9"/>
  <c r="G158" i="9"/>
  <c r="F158" i="9"/>
  <c r="E158" i="9"/>
  <c r="D158" i="9"/>
  <c r="G157" i="9"/>
  <c r="F157" i="9"/>
  <c r="E157" i="9"/>
  <c r="D157" i="9"/>
  <c r="G156" i="9"/>
  <c r="F156" i="9"/>
  <c r="E156" i="9"/>
  <c r="D156" i="9"/>
  <c r="G155" i="9"/>
  <c r="F155" i="9"/>
  <c r="E155" i="9"/>
  <c r="D155" i="9"/>
  <c r="G154" i="9"/>
  <c r="F154" i="9"/>
  <c r="E154" i="9"/>
  <c r="D154" i="9"/>
  <c r="G153" i="9"/>
  <c r="F153" i="9"/>
  <c r="E153" i="9"/>
  <c r="D153" i="9"/>
  <c r="G152" i="9"/>
  <c r="F152" i="9"/>
  <c r="E152" i="9"/>
  <c r="D152" i="9"/>
  <c r="G151" i="9"/>
  <c r="F151" i="9"/>
  <c r="E151" i="9"/>
  <c r="D151" i="9"/>
  <c r="G150" i="9"/>
  <c r="F150" i="9"/>
  <c r="E150" i="9"/>
  <c r="D150" i="9"/>
  <c r="G149" i="9"/>
  <c r="F149" i="9"/>
  <c r="E149" i="9"/>
  <c r="D149" i="9"/>
  <c r="G148" i="9"/>
  <c r="F148" i="9"/>
  <c r="E148" i="9"/>
  <c r="D148" i="9"/>
  <c r="G147" i="9"/>
  <c r="F147" i="9"/>
  <c r="E147" i="9"/>
  <c r="D147" i="9"/>
  <c r="G146" i="9"/>
  <c r="F146" i="9"/>
  <c r="E146" i="9"/>
  <c r="D146" i="9"/>
  <c r="G145" i="9"/>
  <c r="F145" i="9"/>
  <c r="E145" i="9"/>
  <c r="D145" i="9"/>
  <c r="G144" i="9"/>
  <c r="F144" i="9"/>
  <c r="E144" i="9"/>
  <c r="D144" i="9"/>
  <c r="G143" i="9"/>
  <c r="F143" i="9"/>
  <c r="E143" i="9"/>
  <c r="D143" i="9"/>
  <c r="G142" i="9"/>
  <c r="F142" i="9"/>
  <c r="E142" i="9"/>
  <c r="D142" i="9"/>
  <c r="G141" i="9"/>
  <c r="F141" i="9"/>
  <c r="E141" i="9"/>
  <c r="D141" i="9"/>
  <c r="G140" i="9"/>
  <c r="F140" i="9"/>
  <c r="E140" i="9"/>
  <c r="D140" i="9"/>
  <c r="G139" i="9"/>
  <c r="F139" i="9"/>
  <c r="E139" i="9"/>
  <c r="D139" i="9"/>
  <c r="G138" i="9"/>
  <c r="F138" i="9"/>
  <c r="E138" i="9"/>
  <c r="D138" i="9"/>
  <c r="G137" i="9"/>
  <c r="F137" i="9"/>
  <c r="E137" i="9"/>
  <c r="D137" i="9"/>
  <c r="G136" i="9"/>
  <c r="F136" i="9"/>
  <c r="E136" i="9"/>
  <c r="D136" i="9"/>
  <c r="G135" i="9"/>
  <c r="F135" i="9"/>
  <c r="E135" i="9"/>
  <c r="D135" i="9"/>
  <c r="G134" i="9"/>
  <c r="F134" i="9"/>
  <c r="E134" i="9"/>
  <c r="D134" i="9"/>
  <c r="G133" i="9"/>
  <c r="F133" i="9"/>
  <c r="E133" i="9"/>
  <c r="D133" i="9"/>
  <c r="G132" i="9"/>
  <c r="F132" i="9"/>
  <c r="E132" i="9"/>
  <c r="D132" i="9"/>
  <c r="G131" i="9"/>
  <c r="F131" i="9"/>
  <c r="E131" i="9"/>
  <c r="D131" i="9"/>
  <c r="G130" i="9"/>
  <c r="F130" i="9"/>
  <c r="E130" i="9"/>
  <c r="D130" i="9"/>
  <c r="G129" i="9"/>
  <c r="F129" i="9"/>
  <c r="E129" i="9"/>
  <c r="D129" i="9"/>
  <c r="G128" i="9"/>
  <c r="F128" i="9"/>
  <c r="E128" i="9"/>
  <c r="D128" i="9"/>
  <c r="G127" i="9"/>
  <c r="F127" i="9"/>
  <c r="E127" i="9"/>
  <c r="D127" i="9"/>
  <c r="G126" i="9"/>
  <c r="F126" i="9"/>
  <c r="E126" i="9"/>
  <c r="D126" i="9"/>
  <c r="G125" i="9"/>
  <c r="F125" i="9"/>
  <c r="E125" i="9"/>
  <c r="D125" i="9"/>
  <c r="G124" i="9"/>
  <c r="F124" i="9"/>
  <c r="E124" i="9"/>
  <c r="D124" i="9"/>
  <c r="G123" i="9"/>
  <c r="F123" i="9"/>
  <c r="E123" i="9"/>
  <c r="D123" i="9"/>
  <c r="G122" i="9"/>
  <c r="F122" i="9"/>
  <c r="E122" i="9"/>
  <c r="D122" i="9"/>
  <c r="G121" i="9"/>
  <c r="F121" i="9"/>
  <c r="E121" i="9"/>
  <c r="D121" i="9"/>
  <c r="G120" i="9"/>
  <c r="F120" i="9"/>
  <c r="E120" i="9"/>
  <c r="D120" i="9"/>
  <c r="G119" i="9"/>
  <c r="F119" i="9"/>
  <c r="E119" i="9"/>
  <c r="D119" i="9"/>
  <c r="G118" i="9"/>
  <c r="F118" i="9"/>
  <c r="E118" i="9"/>
  <c r="D118" i="9"/>
  <c r="G117" i="9"/>
  <c r="F117" i="9"/>
  <c r="E117" i="9"/>
  <c r="D117" i="9"/>
  <c r="G116" i="9"/>
  <c r="F116" i="9"/>
  <c r="E116" i="9"/>
  <c r="D116" i="9"/>
  <c r="G115" i="9"/>
  <c r="F115" i="9"/>
  <c r="E115" i="9"/>
  <c r="D115" i="9"/>
  <c r="G114" i="9"/>
  <c r="F114" i="9"/>
  <c r="E114" i="9"/>
  <c r="D114" i="9"/>
  <c r="G113" i="9"/>
  <c r="F113" i="9"/>
  <c r="E113" i="9"/>
  <c r="D113" i="9"/>
  <c r="G112" i="9"/>
  <c r="F112" i="9"/>
  <c r="E112" i="9"/>
  <c r="D112" i="9"/>
  <c r="G111" i="9"/>
  <c r="F111" i="9"/>
  <c r="E111" i="9"/>
  <c r="D111" i="9"/>
  <c r="G110" i="9"/>
  <c r="F110" i="9"/>
  <c r="E110" i="9"/>
  <c r="D110" i="9"/>
  <c r="G109" i="9"/>
  <c r="F109" i="9"/>
  <c r="E109" i="9"/>
  <c r="D109" i="9"/>
  <c r="G108" i="9"/>
  <c r="F108" i="9"/>
  <c r="E108" i="9"/>
  <c r="D108" i="9"/>
  <c r="G107" i="9"/>
  <c r="F107" i="9"/>
  <c r="E107" i="9"/>
  <c r="D107" i="9"/>
  <c r="G106" i="9"/>
  <c r="F106" i="9"/>
  <c r="E106" i="9"/>
  <c r="D106" i="9"/>
  <c r="G105" i="9"/>
  <c r="F105" i="9"/>
  <c r="E105" i="9"/>
  <c r="D105" i="9"/>
  <c r="G104" i="9"/>
  <c r="F104" i="9"/>
  <c r="E104" i="9"/>
  <c r="D104" i="9"/>
  <c r="G103" i="9"/>
  <c r="F103" i="9"/>
  <c r="E103" i="9"/>
  <c r="D103" i="9"/>
  <c r="G102" i="9"/>
  <c r="F102" i="9"/>
  <c r="E102" i="9"/>
  <c r="D102" i="9"/>
  <c r="G101" i="9"/>
  <c r="F101" i="9"/>
  <c r="E101" i="9"/>
  <c r="D101" i="9"/>
  <c r="G100" i="9"/>
  <c r="F100" i="9"/>
  <c r="E100" i="9"/>
  <c r="D100" i="9"/>
  <c r="G99" i="9"/>
  <c r="F99" i="9"/>
  <c r="E99" i="9"/>
  <c r="D99" i="9"/>
  <c r="G98" i="9"/>
  <c r="F98" i="9"/>
  <c r="E98" i="9"/>
  <c r="D98" i="9"/>
  <c r="G97" i="9"/>
  <c r="F97" i="9"/>
  <c r="E97" i="9"/>
  <c r="D97" i="9"/>
  <c r="G96" i="9"/>
  <c r="F96" i="9"/>
  <c r="E96" i="9"/>
  <c r="D96" i="9"/>
  <c r="G95" i="9"/>
  <c r="F95" i="9"/>
  <c r="E95" i="9"/>
  <c r="D95" i="9"/>
  <c r="G94" i="9"/>
  <c r="F94" i="9"/>
  <c r="E94" i="9"/>
  <c r="D94" i="9"/>
  <c r="G93" i="9"/>
  <c r="F93" i="9"/>
  <c r="E93" i="9"/>
  <c r="D93" i="9"/>
  <c r="G92" i="9"/>
  <c r="F92" i="9"/>
  <c r="E92" i="9"/>
  <c r="D92" i="9"/>
  <c r="G91" i="9"/>
  <c r="F91" i="9"/>
  <c r="E91" i="9"/>
  <c r="D91" i="9"/>
  <c r="G90" i="9"/>
  <c r="F90" i="9"/>
  <c r="E90" i="9"/>
  <c r="D90" i="9"/>
  <c r="G89" i="9"/>
  <c r="F89" i="9"/>
  <c r="E89" i="9"/>
  <c r="D89" i="9"/>
  <c r="G88" i="9"/>
  <c r="F88" i="9"/>
  <c r="E88" i="9"/>
  <c r="D88" i="9"/>
  <c r="G87" i="9"/>
  <c r="F87" i="9"/>
  <c r="E87" i="9"/>
  <c r="D87" i="9"/>
  <c r="G86" i="9"/>
  <c r="F86" i="9"/>
  <c r="E86" i="9"/>
  <c r="D86" i="9"/>
  <c r="G85" i="9"/>
  <c r="F85" i="9"/>
  <c r="E85" i="9"/>
  <c r="D85" i="9"/>
  <c r="G84" i="9"/>
  <c r="F84" i="9"/>
  <c r="E84" i="9"/>
  <c r="D84" i="9"/>
  <c r="G83" i="9"/>
  <c r="F83" i="9"/>
  <c r="E83" i="9"/>
  <c r="D83" i="9"/>
  <c r="G82" i="9"/>
  <c r="F82" i="9"/>
  <c r="E82" i="9"/>
  <c r="D82" i="9"/>
  <c r="G81" i="9"/>
  <c r="F81" i="9"/>
  <c r="E81" i="9"/>
  <c r="D81" i="9"/>
  <c r="G80" i="9"/>
  <c r="F80" i="9"/>
  <c r="E80" i="9"/>
  <c r="D80" i="9"/>
  <c r="G79" i="9"/>
  <c r="F79" i="9"/>
  <c r="E79" i="9"/>
  <c r="D79" i="9"/>
  <c r="G78" i="9"/>
  <c r="F78" i="9"/>
  <c r="E78" i="9"/>
  <c r="D78" i="9"/>
  <c r="G77" i="9"/>
  <c r="F77" i="9"/>
  <c r="E77" i="9"/>
  <c r="D77" i="9"/>
  <c r="G76" i="9"/>
  <c r="F76" i="9"/>
  <c r="E76" i="9"/>
  <c r="D76" i="9"/>
  <c r="G75" i="9"/>
  <c r="F75" i="9"/>
  <c r="E75" i="9"/>
  <c r="D75" i="9"/>
  <c r="G74" i="9"/>
  <c r="F74" i="9"/>
  <c r="E74" i="9"/>
  <c r="D74" i="9"/>
  <c r="G73" i="9"/>
  <c r="F73" i="9"/>
  <c r="E73" i="9"/>
  <c r="D73" i="9"/>
  <c r="G72" i="9"/>
  <c r="F72" i="9"/>
  <c r="E72" i="9"/>
  <c r="D72" i="9"/>
  <c r="G71" i="9"/>
  <c r="F71" i="9"/>
  <c r="E71" i="9"/>
  <c r="D71" i="9"/>
  <c r="G70" i="9"/>
  <c r="F70" i="9"/>
  <c r="E70" i="9"/>
  <c r="D70" i="9"/>
  <c r="G69" i="9"/>
  <c r="F69" i="9"/>
  <c r="E69" i="9"/>
  <c r="D69" i="9"/>
  <c r="G68" i="9"/>
  <c r="F68" i="9"/>
  <c r="E68" i="9"/>
  <c r="D68" i="9"/>
  <c r="G67" i="9"/>
  <c r="F67" i="9"/>
  <c r="E67" i="9"/>
  <c r="D67" i="9"/>
  <c r="G66" i="9"/>
  <c r="F66" i="9"/>
  <c r="E66" i="9"/>
  <c r="D66" i="9"/>
  <c r="G65" i="9"/>
  <c r="F65" i="9"/>
  <c r="E65" i="9"/>
  <c r="D65" i="9"/>
  <c r="G64" i="9"/>
  <c r="F64" i="9"/>
  <c r="E64" i="9"/>
  <c r="D64" i="9"/>
  <c r="G63" i="9"/>
  <c r="F63" i="9"/>
  <c r="E63" i="9"/>
  <c r="D63" i="9"/>
  <c r="G62" i="9"/>
  <c r="F62" i="9"/>
  <c r="E62" i="9"/>
  <c r="D62" i="9"/>
  <c r="G61" i="9"/>
  <c r="F61" i="9"/>
  <c r="E61" i="9"/>
  <c r="D61" i="9"/>
  <c r="G60" i="9"/>
  <c r="F60" i="9"/>
  <c r="E60" i="9"/>
  <c r="D60" i="9"/>
  <c r="G59" i="9"/>
  <c r="F59" i="9"/>
  <c r="E59" i="9"/>
  <c r="D59" i="9"/>
  <c r="G58" i="9"/>
  <c r="F58" i="9"/>
  <c r="E58" i="9"/>
  <c r="D58" i="9"/>
  <c r="G57" i="9"/>
  <c r="F57" i="9"/>
  <c r="E57" i="9"/>
  <c r="D57" i="9"/>
  <c r="G56" i="9"/>
  <c r="F56" i="9"/>
  <c r="E56" i="9"/>
  <c r="D56" i="9"/>
  <c r="G55" i="9"/>
  <c r="F55" i="9"/>
  <c r="E55" i="9"/>
  <c r="D55" i="9"/>
  <c r="G54" i="9"/>
  <c r="F54" i="9"/>
  <c r="E54" i="9"/>
  <c r="D54" i="9"/>
  <c r="G53" i="9"/>
  <c r="F53" i="9"/>
  <c r="E53" i="9"/>
  <c r="D53" i="9"/>
  <c r="G52" i="9"/>
  <c r="F52" i="9"/>
  <c r="E52" i="9"/>
  <c r="D52" i="9"/>
  <c r="G51" i="9"/>
  <c r="F51" i="9"/>
  <c r="E51" i="9"/>
  <c r="D51" i="9"/>
  <c r="G50" i="9"/>
  <c r="F50" i="9"/>
  <c r="E50" i="9"/>
  <c r="D50" i="9"/>
  <c r="G49" i="9"/>
  <c r="F49" i="9"/>
  <c r="E49" i="9"/>
  <c r="D49" i="9"/>
  <c r="G48" i="9"/>
  <c r="F48" i="9"/>
  <c r="E48" i="9"/>
  <c r="D48" i="9"/>
  <c r="G47" i="9"/>
  <c r="F47" i="9"/>
  <c r="E47" i="9"/>
  <c r="D47" i="9"/>
  <c r="G46" i="9"/>
  <c r="F46" i="9"/>
  <c r="E46" i="9"/>
  <c r="D46" i="9"/>
  <c r="G45" i="9"/>
  <c r="F45" i="9"/>
  <c r="E45" i="9"/>
  <c r="D45" i="9"/>
  <c r="G44" i="9"/>
  <c r="F44" i="9"/>
  <c r="E44" i="9"/>
  <c r="D44" i="9"/>
  <c r="G43" i="9"/>
  <c r="F43" i="9"/>
  <c r="E43" i="9"/>
  <c r="D43" i="9"/>
  <c r="G42" i="9"/>
  <c r="F42" i="9"/>
  <c r="E42" i="9"/>
  <c r="D42" i="9"/>
  <c r="G41" i="9"/>
  <c r="F41" i="9"/>
  <c r="E41" i="9"/>
  <c r="D41" i="9"/>
  <c r="G40" i="9"/>
  <c r="F40" i="9"/>
  <c r="E40" i="9"/>
  <c r="D40" i="9"/>
  <c r="G39" i="9"/>
  <c r="F39" i="9"/>
  <c r="E39" i="9"/>
  <c r="D39" i="9"/>
  <c r="G38" i="9"/>
  <c r="F38" i="9"/>
  <c r="E38" i="9"/>
  <c r="D38" i="9"/>
  <c r="G37" i="9"/>
  <c r="F37" i="9"/>
  <c r="E37" i="9"/>
  <c r="D37" i="9"/>
  <c r="G36" i="9"/>
  <c r="F36" i="9"/>
  <c r="E36" i="9"/>
  <c r="D36" i="9"/>
  <c r="G35" i="9"/>
  <c r="F35" i="9"/>
  <c r="E35" i="9"/>
  <c r="D35" i="9"/>
  <c r="G34" i="9"/>
  <c r="F34" i="9"/>
  <c r="E34" i="9"/>
  <c r="D34" i="9"/>
  <c r="G33" i="9"/>
  <c r="F33" i="9"/>
  <c r="E33" i="9"/>
  <c r="D33" i="9"/>
  <c r="G32" i="9"/>
  <c r="F32" i="9"/>
  <c r="E32" i="9"/>
  <c r="D32" i="9"/>
  <c r="G31" i="9"/>
  <c r="F31" i="9"/>
  <c r="E31" i="9"/>
  <c r="D31" i="9"/>
  <c r="G30" i="9"/>
  <c r="F30" i="9"/>
  <c r="E30" i="9"/>
  <c r="D30" i="9"/>
  <c r="G29" i="9"/>
  <c r="F29" i="9"/>
  <c r="E29" i="9"/>
  <c r="D29" i="9"/>
  <c r="G28" i="9"/>
  <c r="F28" i="9"/>
  <c r="E28" i="9"/>
  <c r="D28" i="9"/>
  <c r="G27" i="9"/>
  <c r="F27" i="9"/>
  <c r="E27" i="9"/>
  <c r="D27" i="9"/>
  <c r="G26" i="9"/>
  <c r="F26" i="9"/>
  <c r="E26" i="9"/>
  <c r="D26" i="9"/>
  <c r="G25" i="9"/>
  <c r="F25" i="9"/>
  <c r="E25" i="9"/>
  <c r="D25" i="9"/>
  <c r="G24" i="9"/>
  <c r="F24" i="9"/>
  <c r="E24" i="9"/>
  <c r="D24" i="9"/>
  <c r="G23" i="9"/>
  <c r="F23" i="9"/>
  <c r="E23" i="9"/>
  <c r="D23" i="9"/>
  <c r="G22" i="9"/>
  <c r="F22" i="9"/>
  <c r="E22" i="9"/>
  <c r="D22" i="9"/>
  <c r="G21" i="9"/>
  <c r="F21" i="9"/>
  <c r="E21" i="9"/>
  <c r="D21" i="9"/>
  <c r="G20" i="9"/>
  <c r="F20" i="9"/>
  <c r="E20" i="9"/>
  <c r="D20" i="9"/>
  <c r="G19" i="9"/>
  <c r="F19" i="9"/>
  <c r="E19" i="9"/>
  <c r="D19" i="9"/>
  <c r="G18" i="9"/>
  <c r="F18" i="9"/>
  <c r="E18" i="9"/>
  <c r="D18" i="9"/>
  <c r="G17" i="9"/>
  <c r="F17" i="9"/>
  <c r="E17" i="9"/>
  <c r="D17" i="9"/>
  <c r="G16" i="9"/>
  <c r="F16" i="9"/>
  <c r="E16" i="9"/>
  <c r="D16" i="9"/>
  <c r="G15" i="9"/>
  <c r="F15" i="9"/>
  <c r="E15" i="9"/>
  <c r="D15" i="9"/>
  <c r="G14" i="9"/>
  <c r="F14" i="9"/>
  <c r="E14" i="9"/>
  <c r="D14" i="9"/>
  <c r="G13" i="9"/>
  <c r="F13" i="9"/>
  <c r="E13" i="9"/>
  <c r="D13" i="9"/>
  <c r="G12" i="9"/>
  <c r="F12" i="9"/>
  <c r="E12" i="9"/>
  <c r="D12" i="9"/>
  <c r="G11" i="9"/>
  <c r="F11" i="9"/>
  <c r="E11" i="9"/>
  <c r="D11" i="9"/>
  <c r="G10" i="9"/>
  <c r="F10" i="9"/>
  <c r="E10" i="9"/>
  <c r="D10" i="9"/>
  <c r="G9" i="9"/>
  <c r="F9" i="9"/>
  <c r="E9" i="9"/>
  <c r="D9" i="9"/>
  <c r="G8" i="9"/>
  <c r="F8" i="9"/>
  <c r="E8" i="9"/>
  <c r="D8" i="9"/>
  <c r="G7" i="9"/>
  <c r="F7" i="9"/>
  <c r="E7" i="9"/>
  <c r="D7" i="9"/>
  <c r="G6" i="9"/>
  <c r="F6" i="9"/>
  <c r="E6" i="9"/>
  <c r="D6" i="9"/>
  <c r="G5" i="9"/>
  <c r="F5" i="9"/>
  <c r="E5" i="9"/>
  <c r="D5" i="9"/>
  <c r="G4" i="9"/>
  <c r="F4" i="9"/>
  <c r="E4" i="9"/>
  <c r="D4" i="9"/>
  <c r="G3" i="9"/>
  <c r="F3" i="9"/>
  <c r="E3" i="9"/>
  <c r="D3" i="9"/>
  <c r="G2" i="9"/>
  <c r="F2" i="9"/>
  <c r="E2" i="9"/>
  <c r="D2" i="9"/>
  <c r="L500" i="8"/>
  <c r="K500" i="8"/>
  <c r="G500" i="8"/>
  <c r="F500" i="8"/>
  <c r="E500" i="8"/>
  <c r="D500" i="8"/>
  <c r="L499" i="8"/>
  <c r="K499" i="8"/>
  <c r="G499" i="8"/>
  <c r="F499" i="8"/>
  <c r="E499" i="8"/>
  <c r="D499" i="8"/>
  <c r="L498" i="8"/>
  <c r="K498" i="8"/>
  <c r="G498" i="8"/>
  <c r="F498" i="8"/>
  <c r="E498" i="8"/>
  <c r="D498" i="8"/>
  <c r="L497" i="8"/>
  <c r="K497" i="8"/>
  <c r="G497" i="8"/>
  <c r="F497" i="8"/>
  <c r="E497" i="8"/>
  <c r="D497" i="8"/>
  <c r="L496" i="8"/>
  <c r="K496" i="8"/>
  <c r="G496" i="8"/>
  <c r="F496" i="8"/>
  <c r="E496" i="8"/>
  <c r="D496" i="8"/>
  <c r="L495" i="8"/>
  <c r="K495" i="8"/>
  <c r="G495" i="8"/>
  <c r="F495" i="8"/>
  <c r="E495" i="8"/>
  <c r="D495" i="8"/>
  <c r="L494" i="8"/>
  <c r="K494" i="8"/>
  <c r="G494" i="8"/>
  <c r="F494" i="8"/>
  <c r="E494" i="8"/>
  <c r="D494" i="8"/>
  <c r="L493" i="8"/>
  <c r="K493" i="8"/>
  <c r="G493" i="8"/>
  <c r="F493" i="8"/>
  <c r="E493" i="8"/>
  <c r="D493" i="8"/>
  <c r="L492" i="8"/>
  <c r="K492" i="8"/>
  <c r="G492" i="8"/>
  <c r="F492" i="8"/>
  <c r="E492" i="8"/>
  <c r="D492" i="8"/>
  <c r="L491" i="8"/>
  <c r="K491" i="8"/>
  <c r="G491" i="8"/>
  <c r="F491" i="8"/>
  <c r="E491" i="8"/>
  <c r="D491" i="8"/>
  <c r="L490" i="8"/>
  <c r="K490" i="8"/>
  <c r="G490" i="8"/>
  <c r="F490" i="8"/>
  <c r="E490" i="8"/>
  <c r="D490" i="8"/>
  <c r="L489" i="8"/>
  <c r="K489" i="8"/>
  <c r="G489" i="8"/>
  <c r="F489" i="8"/>
  <c r="E489" i="8"/>
  <c r="D489" i="8"/>
  <c r="L488" i="8"/>
  <c r="K488" i="8"/>
  <c r="G488" i="8"/>
  <c r="F488" i="8"/>
  <c r="E488" i="8"/>
  <c r="D488" i="8"/>
  <c r="L487" i="8"/>
  <c r="K487" i="8"/>
  <c r="G487" i="8"/>
  <c r="F487" i="8"/>
  <c r="E487" i="8"/>
  <c r="D487" i="8"/>
  <c r="L486" i="8"/>
  <c r="K486" i="8"/>
  <c r="G486" i="8"/>
  <c r="F486" i="8"/>
  <c r="E486" i="8"/>
  <c r="D486" i="8"/>
  <c r="L485" i="8"/>
  <c r="K485" i="8"/>
  <c r="G485" i="8"/>
  <c r="F485" i="8"/>
  <c r="E485" i="8"/>
  <c r="D485" i="8"/>
  <c r="L484" i="8"/>
  <c r="K484" i="8"/>
  <c r="G484" i="8"/>
  <c r="F484" i="8"/>
  <c r="E484" i="8"/>
  <c r="D484" i="8"/>
  <c r="L483" i="8"/>
  <c r="K483" i="8"/>
  <c r="G483" i="8"/>
  <c r="F483" i="8"/>
  <c r="E483" i="8"/>
  <c r="D483" i="8"/>
  <c r="L482" i="8"/>
  <c r="K482" i="8"/>
  <c r="G482" i="8"/>
  <c r="F482" i="8"/>
  <c r="E482" i="8"/>
  <c r="D482" i="8"/>
  <c r="L481" i="8"/>
  <c r="K481" i="8"/>
  <c r="G481" i="8"/>
  <c r="F481" i="8"/>
  <c r="E481" i="8"/>
  <c r="D481" i="8"/>
  <c r="L480" i="8"/>
  <c r="K480" i="8"/>
  <c r="G480" i="8"/>
  <c r="F480" i="8"/>
  <c r="E480" i="8"/>
  <c r="D480" i="8"/>
  <c r="L479" i="8"/>
  <c r="K479" i="8"/>
  <c r="G479" i="8"/>
  <c r="F479" i="8"/>
  <c r="E479" i="8"/>
  <c r="D479" i="8"/>
  <c r="L478" i="8"/>
  <c r="K478" i="8"/>
  <c r="G478" i="8"/>
  <c r="F478" i="8"/>
  <c r="E478" i="8"/>
  <c r="D478" i="8"/>
  <c r="L477" i="8"/>
  <c r="K477" i="8"/>
  <c r="G477" i="8"/>
  <c r="F477" i="8"/>
  <c r="E477" i="8"/>
  <c r="D477" i="8"/>
  <c r="L476" i="8"/>
  <c r="K476" i="8"/>
  <c r="G476" i="8"/>
  <c r="F476" i="8"/>
  <c r="E476" i="8"/>
  <c r="D476" i="8"/>
  <c r="L475" i="8"/>
  <c r="K475" i="8"/>
  <c r="G475" i="8"/>
  <c r="F475" i="8"/>
  <c r="E475" i="8"/>
  <c r="D475" i="8"/>
  <c r="L474" i="8"/>
  <c r="K474" i="8"/>
  <c r="G474" i="8"/>
  <c r="F474" i="8"/>
  <c r="E474" i="8"/>
  <c r="D474" i="8"/>
  <c r="L473" i="8"/>
  <c r="K473" i="8"/>
  <c r="G473" i="8"/>
  <c r="F473" i="8"/>
  <c r="E473" i="8"/>
  <c r="D473" i="8"/>
  <c r="L472" i="8"/>
  <c r="K472" i="8"/>
  <c r="G472" i="8"/>
  <c r="F472" i="8"/>
  <c r="E472" i="8"/>
  <c r="D472" i="8"/>
  <c r="L471" i="8"/>
  <c r="K471" i="8"/>
  <c r="G471" i="8"/>
  <c r="F471" i="8"/>
  <c r="E471" i="8"/>
  <c r="D471" i="8"/>
  <c r="L470" i="8"/>
  <c r="K470" i="8"/>
  <c r="G470" i="8"/>
  <c r="F470" i="8"/>
  <c r="E470" i="8"/>
  <c r="D470" i="8"/>
  <c r="L469" i="8"/>
  <c r="K469" i="8"/>
  <c r="G469" i="8"/>
  <c r="F469" i="8"/>
  <c r="E469" i="8"/>
  <c r="D469" i="8"/>
  <c r="L468" i="8"/>
  <c r="K468" i="8"/>
  <c r="G468" i="8"/>
  <c r="F468" i="8"/>
  <c r="E468" i="8"/>
  <c r="D468" i="8"/>
  <c r="L467" i="8"/>
  <c r="K467" i="8"/>
  <c r="G467" i="8"/>
  <c r="F467" i="8"/>
  <c r="E467" i="8"/>
  <c r="D467" i="8"/>
  <c r="L466" i="8"/>
  <c r="K466" i="8"/>
  <c r="G466" i="8"/>
  <c r="F466" i="8"/>
  <c r="E466" i="8"/>
  <c r="D466" i="8"/>
  <c r="L465" i="8"/>
  <c r="K465" i="8"/>
  <c r="G465" i="8"/>
  <c r="F465" i="8"/>
  <c r="E465" i="8"/>
  <c r="D465" i="8"/>
  <c r="L464" i="8"/>
  <c r="K464" i="8"/>
  <c r="G464" i="8"/>
  <c r="F464" i="8"/>
  <c r="E464" i="8"/>
  <c r="D464" i="8"/>
  <c r="L463" i="8"/>
  <c r="K463" i="8"/>
  <c r="G463" i="8"/>
  <c r="F463" i="8"/>
  <c r="E463" i="8"/>
  <c r="D463" i="8"/>
  <c r="L462" i="8"/>
  <c r="K462" i="8"/>
  <c r="G462" i="8"/>
  <c r="F462" i="8"/>
  <c r="E462" i="8"/>
  <c r="D462" i="8"/>
  <c r="L461" i="8"/>
  <c r="K461" i="8"/>
  <c r="G461" i="8"/>
  <c r="F461" i="8"/>
  <c r="E461" i="8"/>
  <c r="D461" i="8"/>
  <c r="L460" i="8"/>
  <c r="K460" i="8"/>
  <c r="G460" i="8"/>
  <c r="F460" i="8"/>
  <c r="E460" i="8"/>
  <c r="D460" i="8"/>
  <c r="L459" i="8"/>
  <c r="K459" i="8"/>
  <c r="G459" i="8"/>
  <c r="F459" i="8"/>
  <c r="E459" i="8"/>
  <c r="D459" i="8"/>
  <c r="L458" i="8"/>
  <c r="K458" i="8"/>
  <c r="G458" i="8"/>
  <c r="F458" i="8"/>
  <c r="E458" i="8"/>
  <c r="D458" i="8"/>
  <c r="L457" i="8"/>
  <c r="K457" i="8"/>
  <c r="G457" i="8"/>
  <c r="F457" i="8"/>
  <c r="E457" i="8"/>
  <c r="D457" i="8"/>
  <c r="L456" i="8"/>
  <c r="K456" i="8"/>
  <c r="G456" i="8"/>
  <c r="F456" i="8"/>
  <c r="E456" i="8"/>
  <c r="D456" i="8"/>
  <c r="L455" i="8"/>
  <c r="K455" i="8"/>
  <c r="G455" i="8"/>
  <c r="F455" i="8"/>
  <c r="E455" i="8"/>
  <c r="D455" i="8"/>
  <c r="L454" i="8"/>
  <c r="K454" i="8"/>
  <c r="G454" i="8"/>
  <c r="F454" i="8"/>
  <c r="E454" i="8"/>
  <c r="D454" i="8"/>
  <c r="L453" i="8"/>
  <c r="K453" i="8"/>
  <c r="G453" i="8"/>
  <c r="F453" i="8"/>
  <c r="E453" i="8"/>
  <c r="D453" i="8"/>
  <c r="L452" i="8"/>
  <c r="K452" i="8"/>
  <c r="G452" i="8"/>
  <c r="F452" i="8"/>
  <c r="E452" i="8"/>
  <c r="D452" i="8"/>
  <c r="L451" i="8"/>
  <c r="K451" i="8"/>
  <c r="G451" i="8"/>
  <c r="F451" i="8"/>
  <c r="E451" i="8"/>
  <c r="D451" i="8"/>
  <c r="L450" i="8"/>
  <c r="K450" i="8"/>
  <c r="G450" i="8"/>
  <c r="F450" i="8"/>
  <c r="E450" i="8"/>
  <c r="D450" i="8"/>
  <c r="L449" i="8"/>
  <c r="K449" i="8"/>
  <c r="G449" i="8"/>
  <c r="F449" i="8"/>
  <c r="E449" i="8"/>
  <c r="D449" i="8"/>
  <c r="L448" i="8"/>
  <c r="K448" i="8"/>
  <c r="G448" i="8"/>
  <c r="F448" i="8"/>
  <c r="E448" i="8"/>
  <c r="D448" i="8"/>
  <c r="L447" i="8"/>
  <c r="K447" i="8"/>
  <c r="G447" i="8"/>
  <c r="F447" i="8"/>
  <c r="E447" i="8"/>
  <c r="D447" i="8"/>
  <c r="L446" i="8"/>
  <c r="K446" i="8"/>
  <c r="G446" i="8"/>
  <c r="F446" i="8"/>
  <c r="E446" i="8"/>
  <c r="D446" i="8"/>
  <c r="L445" i="8"/>
  <c r="K445" i="8"/>
  <c r="G445" i="8"/>
  <c r="F445" i="8"/>
  <c r="E445" i="8"/>
  <c r="D445" i="8"/>
  <c r="L444" i="8"/>
  <c r="K444" i="8"/>
  <c r="G444" i="8"/>
  <c r="F444" i="8"/>
  <c r="E444" i="8"/>
  <c r="D444" i="8"/>
  <c r="L443" i="8"/>
  <c r="K443" i="8"/>
  <c r="G443" i="8"/>
  <c r="F443" i="8"/>
  <c r="E443" i="8"/>
  <c r="D443" i="8"/>
  <c r="L442" i="8"/>
  <c r="K442" i="8"/>
  <c r="G442" i="8"/>
  <c r="F442" i="8"/>
  <c r="E442" i="8"/>
  <c r="D442" i="8"/>
  <c r="L441" i="8"/>
  <c r="K441" i="8"/>
  <c r="G441" i="8"/>
  <c r="F441" i="8"/>
  <c r="E441" i="8"/>
  <c r="D441" i="8"/>
  <c r="L440" i="8"/>
  <c r="K440" i="8"/>
  <c r="G440" i="8"/>
  <c r="F440" i="8"/>
  <c r="E440" i="8"/>
  <c r="D440" i="8"/>
  <c r="L439" i="8"/>
  <c r="K439" i="8"/>
  <c r="G439" i="8"/>
  <c r="F439" i="8"/>
  <c r="E439" i="8"/>
  <c r="D439" i="8"/>
  <c r="L438" i="8"/>
  <c r="K438" i="8"/>
  <c r="G438" i="8"/>
  <c r="F438" i="8"/>
  <c r="E438" i="8"/>
  <c r="D438" i="8"/>
  <c r="L437" i="8"/>
  <c r="K437" i="8"/>
  <c r="G437" i="8"/>
  <c r="F437" i="8"/>
  <c r="E437" i="8"/>
  <c r="D437" i="8"/>
  <c r="L436" i="8"/>
  <c r="K436" i="8"/>
  <c r="G436" i="8"/>
  <c r="F436" i="8"/>
  <c r="E436" i="8"/>
  <c r="D436" i="8"/>
  <c r="L435" i="8"/>
  <c r="K435" i="8"/>
  <c r="G435" i="8"/>
  <c r="F435" i="8"/>
  <c r="E435" i="8"/>
  <c r="D435" i="8"/>
  <c r="L434" i="8"/>
  <c r="K434" i="8"/>
  <c r="G434" i="8"/>
  <c r="F434" i="8"/>
  <c r="E434" i="8"/>
  <c r="D434" i="8"/>
  <c r="L433" i="8"/>
  <c r="K433" i="8"/>
  <c r="G433" i="8"/>
  <c r="F433" i="8"/>
  <c r="E433" i="8"/>
  <c r="D433" i="8"/>
  <c r="L432" i="8"/>
  <c r="K432" i="8"/>
  <c r="G432" i="8"/>
  <c r="F432" i="8"/>
  <c r="E432" i="8"/>
  <c r="D432" i="8"/>
  <c r="L431" i="8"/>
  <c r="K431" i="8"/>
  <c r="G431" i="8"/>
  <c r="F431" i="8"/>
  <c r="E431" i="8"/>
  <c r="D431" i="8"/>
  <c r="L430" i="8"/>
  <c r="K430" i="8"/>
  <c r="G430" i="8"/>
  <c r="F430" i="8"/>
  <c r="E430" i="8"/>
  <c r="D430" i="8"/>
  <c r="L429" i="8"/>
  <c r="K429" i="8"/>
  <c r="G429" i="8"/>
  <c r="F429" i="8"/>
  <c r="E429" i="8"/>
  <c r="D429" i="8"/>
  <c r="L428" i="8"/>
  <c r="K428" i="8"/>
  <c r="G428" i="8"/>
  <c r="F428" i="8"/>
  <c r="E428" i="8"/>
  <c r="D428" i="8"/>
  <c r="L427" i="8"/>
  <c r="K427" i="8"/>
  <c r="G427" i="8"/>
  <c r="F427" i="8"/>
  <c r="E427" i="8"/>
  <c r="D427" i="8"/>
  <c r="L426" i="8"/>
  <c r="K426" i="8"/>
  <c r="G426" i="8"/>
  <c r="F426" i="8"/>
  <c r="E426" i="8"/>
  <c r="D426" i="8"/>
  <c r="L425" i="8"/>
  <c r="K425" i="8"/>
  <c r="G425" i="8"/>
  <c r="F425" i="8"/>
  <c r="E425" i="8"/>
  <c r="D425" i="8"/>
  <c r="L424" i="8"/>
  <c r="K424" i="8"/>
  <c r="G424" i="8"/>
  <c r="F424" i="8"/>
  <c r="E424" i="8"/>
  <c r="D424" i="8"/>
  <c r="L423" i="8"/>
  <c r="K423" i="8"/>
  <c r="G423" i="8"/>
  <c r="F423" i="8"/>
  <c r="E423" i="8"/>
  <c r="D423" i="8"/>
  <c r="L422" i="8"/>
  <c r="K422" i="8"/>
  <c r="G422" i="8"/>
  <c r="F422" i="8"/>
  <c r="E422" i="8"/>
  <c r="D422" i="8"/>
  <c r="L421" i="8"/>
  <c r="K421" i="8"/>
  <c r="G421" i="8"/>
  <c r="F421" i="8"/>
  <c r="E421" i="8"/>
  <c r="D421" i="8"/>
  <c r="L420" i="8"/>
  <c r="K420" i="8"/>
  <c r="G420" i="8"/>
  <c r="F420" i="8"/>
  <c r="E420" i="8"/>
  <c r="D420" i="8"/>
  <c r="L419" i="8"/>
  <c r="K419" i="8"/>
  <c r="G419" i="8"/>
  <c r="F419" i="8"/>
  <c r="E419" i="8"/>
  <c r="D419" i="8"/>
  <c r="L418" i="8"/>
  <c r="K418" i="8"/>
  <c r="G418" i="8"/>
  <c r="F418" i="8"/>
  <c r="E418" i="8"/>
  <c r="D418" i="8"/>
  <c r="L417" i="8"/>
  <c r="K417" i="8"/>
  <c r="G417" i="8"/>
  <c r="F417" i="8"/>
  <c r="E417" i="8"/>
  <c r="D417" i="8"/>
  <c r="L416" i="8"/>
  <c r="K416" i="8"/>
  <c r="G416" i="8"/>
  <c r="F416" i="8"/>
  <c r="E416" i="8"/>
  <c r="D416" i="8"/>
  <c r="L415" i="8"/>
  <c r="K415" i="8"/>
  <c r="G415" i="8"/>
  <c r="F415" i="8"/>
  <c r="E415" i="8"/>
  <c r="D415" i="8"/>
  <c r="L414" i="8"/>
  <c r="K414" i="8"/>
  <c r="G414" i="8"/>
  <c r="F414" i="8"/>
  <c r="E414" i="8"/>
  <c r="D414" i="8"/>
  <c r="L413" i="8"/>
  <c r="K413" i="8"/>
  <c r="G413" i="8"/>
  <c r="F413" i="8"/>
  <c r="E413" i="8"/>
  <c r="D413" i="8"/>
  <c r="L412" i="8"/>
  <c r="K412" i="8"/>
  <c r="G412" i="8"/>
  <c r="F412" i="8"/>
  <c r="E412" i="8"/>
  <c r="D412" i="8"/>
  <c r="L411" i="8"/>
  <c r="K411" i="8"/>
  <c r="G411" i="8"/>
  <c r="F411" i="8"/>
  <c r="E411" i="8"/>
  <c r="D411" i="8"/>
  <c r="L410" i="8"/>
  <c r="K410" i="8"/>
  <c r="G410" i="8"/>
  <c r="F410" i="8"/>
  <c r="E410" i="8"/>
  <c r="D410" i="8"/>
  <c r="L409" i="8"/>
  <c r="K409" i="8"/>
  <c r="G409" i="8"/>
  <c r="F409" i="8"/>
  <c r="E409" i="8"/>
  <c r="D409" i="8"/>
  <c r="L408" i="8"/>
  <c r="K408" i="8"/>
  <c r="G408" i="8"/>
  <c r="F408" i="8"/>
  <c r="E408" i="8"/>
  <c r="D408" i="8"/>
  <c r="L407" i="8"/>
  <c r="K407" i="8"/>
  <c r="G407" i="8"/>
  <c r="F407" i="8"/>
  <c r="E407" i="8"/>
  <c r="D407" i="8"/>
  <c r="L406" i="8"/>
  <c r="K406" i="8"/>
  <c r="G406" i="8"/>
  <c r="F406" i="8"/>
  <c r="E406" i="8"/>
  <c r="D406" i="8"/>
  <c r="L405" i="8"/>
  <c r="K405" i="8"/>
  <c r="G405" i="8"/>
  <c r="F405" i="8"/>
  <c r="E405" i="8"/>
  <c r="D405" i="8"/>
  <c r="L404" i="8"/>
  <c r="K404" i="8"/>
  <c r="G404" i="8"/>
  <c r="F404" i="8"/>
  <c r="E404" i="8"/>
  <c r="D404" i="8"/>
  <c r="L403" i="8"/>
  <c r="K403" i="8"/>
  <c r="G403" i="8"/>
  <c r="F403" i="8"/>
  <c r="E403" i="8"/>
  <c r="D403" i="8"/>
  <c r="L402" i="8"/>
  <c r="K402" i="8"/>
  <c r="G402" i="8"/>
  <c r="F402" i="8"/>
  <c r="E402" i="8"/>
  <c r="D402" i="8"/>
  <c r="L401" i="8"/>
  <c r="K401" i="8"/>
  <c r="G401" i="8"/>
  <c r="F401" i="8"/>
  <c r="E401" i="8"/>
  <c r="D401" i="8"/>
  <c r="L400" i="8"/>
  <c r="K400" i="8"/>
  <c r="G400" i="8"/>
  <c r="F400" i="8"/>
  <c r="E400" i="8"/>
  <c r="D400" i="8"/>
  <c r="L399" i="8"/>
  <c r="K399" i="8"/>
  <c r="G399" i="8"/>
  <c r="F399" i="8"/>
  <c r="E399" i="8"/>
  <c r="D399" i="8"/>
  <c r="L398" i="8"/>
  <c r="K398" i="8"/>
  <c r="G398" i="8"/>
  <c r="F398" i="8"/>
  <c r="E398" i="8"/>
  <c r="D398" i="8"/>
  <c r="L397" i="8"/>
  <c r="K397" i="8"/>
  <c r="G397" i="8"/>
  <c r="F397" i="8"/>
  <c r="E397" i="8"/>
  <c r="D397" i="8"/>
  <c r="L396" i="8"/>
  <c r="K396" i="8"/>
  <c r="G396" i="8"/>
  <c r="F396" i="8"/>
  <c r="E396" i="8"/>
  <c r="D396" i="8"/>
  <c r="L395" i="8"/>
  <c r="K395" i="8"/>
  <c r="G395" i="8"/>
  <c r="F395" i="8"/>
  <c r="E395" i="8"/>
  <c r="D395" i="8"/>
  <c r="L394" i="8"/>
  <c r="K394" i="8"/>
  <c r="G394" i="8"/>
  <c r="F394" i="8"/>
  <c r="E394" i="8"/>
  <c r="D394" i="8"/>
  <c r="L393" i="8"/>
  <c r="K393" i="8"/>
  <c r="G393" i="8"/>
  <c r="F393" i="8"/>
  <c r="E393" i="8"/>
  <c r="D393" i="8"/>
  <c r="L392" i="8"/>
  <c r="K392" i="8"/>
  <c r="G392" i="8"/>
  <c r="F392" i="8"/>
  <c r="E392" i="8"/>
  <c r="D392" i="8"/>
  <c r="L391" i="8"/>
  <c r="K391" i="8"/>
  <c r="G391" i="8"/>
  <c r="F391" i="8"/>
  <c r="E391" i="8"/>
  <c r="D391" i="8"/>
  <c r="L390" i="8"/>
  <c r="K390" i="8"/>
  <c r="G390" i="8"/>
  <c r="F390" i="8"/>
  <c r="E390" i="8"/>
  <c r="D390" i="8"/>
  <c r="L389" i="8"/>
  <c r="K389" i="8"/>
  <c r="G389" i="8"/>
  <c r="F389" i="8"/>
  <c r="E389" i="8"/>
  <c r="D389" i="8"/>
  <c r="L388" i="8"/>
  <c r="K388" i="8"/>
  <c r="G388" i="8"/>
  <c r="F388" i="8"/>
  <c r="E388" i="8"/>
  <c r="D388" i="8"/>
  <c r="L387" i="8"/>
  <c r="K387" i="8"/>
  <c r="G387" i="8"/>
  <c r="F387" i="8"/>
  <c r="E387" i="8"/>
  <c r="D387" i="8"/>
  <c r="L386" i="8"/>
  <c r="K386" i="8"/>
  <c r="G386" i="8"/>
  <c r="F386" i="8"/>
  <c r="E386" i="8"/>
  <c r="D386" i="8"/>
  <c r="L385" i="8"/>
  <c r="K385" i="8"/>
  <c r="G385" i="8"/>
  <c r="F385" i="8"/>
  <c r="E385" i="8"/>
  <c r="D385" i="8"/>
  <c r="L384" i="8"/>
  <c r="K384" i="8"/>
  <c r="G384" i="8"/>
  <c r="F384" i="8"/>
  <c r="E384" i="8"/>
  <c r="D384" i="8"/>
  <c r="L383" i="8"/>
  <c r="K383" i="8"/>
  <c r="G383" i="8"/>
  <c r="F383" i="8"/>
  <c r="E383" i="8"/>
  <c r="D383" i="8"/>
  <c r="L382" i="8"/>
  <c r="K382" i="8"/>
  <c r="G382" i="8"/>
  <c r="F382" i="8"/>
  <c r="E382" i="8"/>
  <c r="D382" i="8"/>
  <c r="L381" i="8"/>
  <c r="K381" i="8"/>
  <c r="G381" i="8"/>
  <c r="F381" i="8"/>
  <c r="E381" i="8"/>
  <c r="D381" i="8"/>
  <c r="L380" i="8"/>
  <c r="K380" i="8"/>
  <c r="G380" i="8"/>
  <c r="F380" i="8"/>
  <c r="E380" i="8"/>
  <c r="D380" i="8"/>
  <c r="L379" i="8"/>
  <c r="K379" i="8"/>
  <c r="G379" i="8"/>
  <c r="F379" i="8"/>
  <c r="E379" i="8"/>
  <c r="D379" i="8"/>
  <c r="L378" i="8"/>
  <c r="K378" i="8"/>
  <c r="G378" i="8"/>
  <c r="F378" i="8"/>
  <c r="E378" i="8"/>
  <c r="D378" i="8"/>
  <c r="L377" i="8"/>
  <c r="K377" i="8"/>
  <c r="G377" i="8"/>
  <c r="F377" i="8"/>
  <c r="E377" i="8"/>
  <c r="D377" i="8"/>
  <c r="L376" i="8"/>
  <c r="K376" i="8"/>
  <c r="G376" i="8"/>
  <c r="F376" i="8"/>
  <c r="E376" i="8"/>
  <c r="D376" i="8"/>
  <c r="L375" i="8"/>
  <c r="K375" i="8"/>
  <c r="G375" i="8"/>
  <c r="F375" i="8"/>
  <c r="E375" i="8"/>
  <c r="D375" i="8"/>
  <c r="L374" i="8"/>
  <c r="K374" i="8"/>
  <c r="G374" i="8"/>
  <c r="F374" i="8"/>
  <c r="E374" i="8"/>
  <c r="D374" i="8"/>
  <c r="L373" i="8"/>
  <c r="K373" i="8"/>
  <c r="G373" i="8"/>
  <c r="F373" i="8"/>
  <c r="E373" i="8"/>
  <c r="D373" i="8"/>
  <c r="L372" i="8"/>
  <c r="K372" i="8"/>
  <c r="G372" i="8"/>
  <c r="F372" i="8"/>
  <c r="E372" i="8"/>
  <c r="D372" i="8"/>
  <c r="L371" i="8"/>
  <c r="K371" i="8"/>
  <c r="G371" i="8"/>
  <c r="F371" i="8"/>
  <c r="E371" i="8"/>
  <c r="D371" i="8"/>
  <c r="L370" i="8"/>
  <c r="K370" i="8"/>
  <c r="G370" i="8"/>
  <c r="F370" i="8"/>
  <c r="E370" i="8"/>
  <c r="D370" i="8"/>
  <c r="L369" i="8"/>
  <c r="K369" i="8"/>
  <c r="G369" i="8"/>
  <c r="F369" i="8"/>
  <c r="E369" i="8"/>
  <c r="D369" i="8"/>
  <c r="L368" i="8"/>
  <c r="K368" i="8"/>
  <c r="G368" i="8"/>
  <c r="F368" i="8"/>
  <c r="E368" i="8"/>
  <c r="D368" i="8"/>
  <c r="L367" i="8"/>
  <c r="K367" i="8"/>
  <c r="G367" i="8"/>
  <c r="F367" i="8"/>
  <c r="E367" i="8"/>
  <c r="D367" i="8"/>
  <c r="L366" i="8"/>
  <c r="K366" i="8"/>
  <c r="G366" i="8"/>
  <c r="F366" i="8"/>
  <c r="E366" i="8"/>
  <c r="D366" i="8"/>
  <c r="L365" i="8"/>
  <c r="K365" i="8"/>
  <c r="G365" i="8"/>
  <c r="F365" i="8"/>
  <c r="E365" i="8"/>
  <c r="D365" i="8"/>
  <c r="L364" i="8"/>
  <c r="K364" i="8"/>
  <c r="G364" i="8"/>
  <c r="F364" i="8"/>
  <c r="E364" i="8"/>
  <c r="D364" i="8"/>
  <c r="L363" i="8"/>
  <c r="K363" i="8"/>
  <c r="G363" i="8"/>
  <c r="F363" i="8"/>
  <c r="E363" i="8"/>
  <c r="D363" i="8"/>
  <c r="L362" i="8"/>
  <c r="K362" i="8"/>
  <c r="G362" i="8"/>
  <c r="F362" i="8"/>
  <c r="E362" i="8"/>
  <c r="D362" i="8"/>
  <c r="L361" i="8"/>
  <c r="K361" i="8"/>
  <c r="G361" i="8"/>
  <c r="F361" i="8"/>
  <c r="E361" i="8"/>
  <c r="D361" i="8"/>
  <c r="L360" i="8"/>
  <c r="K360" i="8"/>
  <c r="G360" i="8"/>
  <c r="F360" i="8"/>
  <c r="E360" i="8"/>
  <c r="D360" i="8"/>
  <c r="L359" i="8"/>
  <c r="K359" i="8"/>
  <c r="G359" i="8"/>
  <c r="F359" i="8"/>
  <c r="E359" i="8"/>
  <c r="D359" i="8"/>
  <c r="L358" i="8"/>
  <c r="K358" i="8"/>
  <c r="G358" i="8"/>
  <c r="F358" i="8"/>
  <c r="E358" i="8"/>
  <c r="D358" i="8"/>
  <c r="L357" i="8"/>
  <c r="K357" i="8"/>
  <c r="G357" i="8"/>
  <c r="F357" i="8"/>
  <c r="E357" i="8"/>
  <c r="D357" i="8"/>
  <c r="L356" i="8"/>
  <c r="K356" i="8"/>
  <c r="G356" i="8"/>
  <c r="F356" i="8"/>
  <c r="E356" i="8"/>
  <c r="D356" i="8"/>
  <c r="L355" i="8"/>
  <c r="K355" i="8"/>
  <c r="G355" i="8"/>
  <c r="F355" i="8"/>
  <c r="E355" i="8"/>
  <c r="D355" i="8"/>
  <c r="L354" i="8"/>
  <c r="K354" i="8"/>
  <c r="G354" i="8"/>
  <c r="F354" i="8"/>
  <c r="E354" i="8"/>
  <c r="D354" i="8"/>
  <c r="L353" i="8"/>
  <c r="K353" i="8"/>
  <c r="G353" i="8"/>
  <c r="F353" i="8"/>
  <c r="E353" i="8"/>
  <c r="D353" i="8"/>
  <c r="L352" i="8"/>
  <c r="K352" i="8"/>
  <c r="G352" i="8"/>
  <c r="F352" i="8"/>
  <c r="E352" i="8"/>
  <c r="D352" i="8"/>
  <c r="L351" i="8"/>
  <c r="K351" i="8"/>
  <c r="G351" i="8"/>
  <c r="F351" i="8"/>
  <c r="E351" i="8"/>
  <c r="D351" i="8"/>
  <c r="L350" i="8"/>
  <c r="K350" i="8"/>
  <c r="G350" i="8"/>
  <c r="F350" i="8"/>
  <c r="E350" i="8"/>
  <c r="D350" i="8"/>
  <c r="L349" i="8"/>
  <c r="K349" i="8"/>
  <c r="G349" i="8"/>
  <c r="F349" i="8"/>
  <c r="E349" i="8"/>
  <c r="D349" i="8"/>
  <c r="L348" i="8"/>
  <c r="K348" i="8"/>
  <c r="G348" i="8"/>
  <c r="F348" i="8"/>
  <c r="E348" i="8"/>
  <c r="D348" i="8"/>
  <c r="L347" i="8"/>
  <c r="K347" i="8"/>
  <c r="G347" i="8"/>
  <c r="F347" i="8"/>
  <c r="E347" i="8"/>
  <c r="D347" i="8"/>
  <c r="L346" i="8"/>
  <c r="K346" i="8"/>
  <c r="G346" i="8"/>
  <c r="F346" i="8"/>
  <c r="E346" i="8"/>
  <c r="D346" i="8"/>
  <c r="L345" i="8"/>
  <c r="K345" i="8"/>
  <c r="G345" i="8"/>
  <c r="F345" i="8"/>
  <c r="E345" i="8"/>
  <c r="D345" i="8"/>
  <c r="L344" i="8"/>
  <c r="K344" i="8"/>
  <c r="G344" i="8"/>
  <c r="F344" i="8"/>
  <c r="E344" i="8"/>
  <c r="D344" i="8"/>
  <c r="L343" i="8"/>
  <c r="K343" i="8"/>
  <c r="G343" i="8"/>
  <c r="F343" i="8"/>
  <c r="E343" i="8"/>
  <c r="D343" i="8"/>
  <c r="L342" i="8"/>
  <c r="K342" i="8"/>
  <c r="G342" i="8"/>
  <c r="F342" i="8"/>
  <c r="E342" i="8"/>
  <c r="D342" i="8"/>
  <c r="L341" i="8"/>
  <c r="K341" i="8"/>
  <c r="G341" i="8"/>
  <c r="F341" i="8"/>
  <c r="E341" i="8"/>
  <c r="D341" i="8"/>
  <c r="L340" i="8"/>
  <c r="K340" i="8"/>
  <c r="G340" i="8"/>
  <c r="F340" i="8"/>
  <c r="E340" i="8"/>
  <c r="D340" i="8"/>
  <c r="L339" i="8"/>
  <c r="K339" i="8"/>
  <c r="G339" i="8"/>
  <c r="F339" i="8"/>
  <c r="E339" i="8"/>
  <c r="D339" i="8"/>
  <c r="L338" i="8"/>
  <c r="K338" i="8"/>
  <c r="G338" i="8"/>
  <c r="F338" i="8"/>
  <c r="E338" i="8"/>
  <c r="D338" i="8"/>
  <c r="L337" i="8"/>
  <c r="K337" i="8"/>
  <c r="G337" i="8"/>
  <c r="F337" i="8"/>
  <c r="E337" i="8"/>
  <c r="D337" i="8"/>
  <c r="L336" i="8"/>
  <c r="K336" i="8"/>
  <c r="G336" i="8"/>
  <c r="F336" i="8"/>
  <c r="E336" i="8"/>
  <c r="D336" i="8"/>
  <c r="L335" i="8"/>
  <c r="K335" i="8"/>
  <c r="G335" i="8"/>
  <c r="F335" i="8"/>
  <c r="E335" i="8"/>
  <c r="D335" i="8"/>
  <c r="L334" i="8"/>
  <c r="K334" i="8"/>
  <c r="G334" i="8"/>
  <c r="F334" i="8"/>
  <c r="E334" i="8"/>
  <c r="D334" i="8"/>
  <c r="L333" i="8"/>
  <c r="K333" i="8"/>
  <c r="G333" i="8"/>
  <c r="F333" i="8"/>
  <c r="E333" i="8"/>
  <c r="D333" i="8"/>
  <c r="L332" i="8"/>
  <c r="K332" i="8"/>
  <c r="G332" i="8"/>
  <c r="F332" i="8"/>
  <c r="E332" i="8"/>
  <c r="D332" i="8"/>
  <c r="L331" i="8"/>
  <c r="K331" i="8"/>
  <c r="G331" i="8"/>
  <c r="F331" i="8"/>
  <c r="E331" i="8"/>
  <c r="D331" i="8"/>
  <c r="L330" i="8"/>
  <c r="K330" i="8"/>
  <c r="G330" i="8"/>
  <c r="F330" i="8"/>
  <c r="E330" i="8"/>
  <c r="D330" i="8"/>
  <c r="L329" i="8"/>
  <c r="K329" i="8"/>
  <c r="G329" i="8"/>
  <c r="F329" i="8"/>
  <c r="E329" i="8"/>
  <c r="D329" i="8"/>
  <c r="L328" i="8"/>
  <c r="K328" i="8"/>
  <c r="G328" i="8"/>
  <c r="F328" i="8"/>
  <c r="E328" i="8"/>
  <c r="D328" i="8"/>
  <c r="L327" i="8"/>
  <c r="K327" i="8"/>
  <c r="G327" i="8"/>
  <c r="F327" i="8"/>
  <c r="E327" i="8"/>
  <c r="D327" i="8"/>
  <c r="L326" i="8"/>
  <c r="K326" i="8"/>
  <c r="G326" i="8"/>
  <c r="F326" i="8"/>
  <c r="E326" i="8"/>
  <c r="D326" i="8"/>
  <c r="L325" i="8"/>
  <c r="K325" i="8"/>
  <c r="G325" i="8"/>
  <c r="F325" i="8"/>
  <c r="E325" i="8"/>
  <c r="D325" i="8"/>
  <c r="L324" i="8"/>
  <c r="K324" i="8"/>
  <c r="G324" i="8"/>
  <c r="F324" i="8"/>
  <c r="E324" i="8"/>
  <c r="D324" i="8"/>
  <c r="L323" i="8"/>
  <c r="K323" i="8"/>
  <c r="G323" i="8"/>
  <c r="F323" i="8"/>
  <c r="E323" i="8"/>
  <c r="D323" i="8"/>
  <c r="L322" i="8"/>
  <c r="K322" i="8"/>
  <c r="G322" i="8"/>
  <c r="F322" i="8"/>
  <c r="E322" i="8"/>
  <c r="D322" i="8"/>
  <c r="L321" i="8"/>
  <c r="K321" i="8"/>
  <c r="G321" i="8"/>
  <c r="F321" i="8"/>
  <c r="E321" i="8"/>
  <c r="D321" i="8"/>
  <c r="L320" i="8"/>
  <c r="K320" i="8"/>
  <c r="G320" i="8"/>
  <c r="F320" i="8"/>
  <c r="E320" i="8"/>
  <c r="D320" i="8"/>
  <c r="L319" i="8"/>
  <c r="K319" i="8"/>
  <c r="G319" i="8"/>
  <c r="F319" i="8"/>
  <c r="E319" i="8"/>
  <c r="D319" i="8"/>
  <c r="L318" i="8"/>
  <c r="K318" i="8"/>
  <c r="G318" i="8"/>
  <c r="F318" i="8"/>
  <c r="E318" i="8"/>
  <c r="D318" i="8"/>
  <c r="L317" i="8"/>
  <c r="K317" i="8"/>
  <c r="G317" i="8"/>
  <c r="F317" i="8"/>
  <c r="E317" i="8"/>
  <c r="D317" i="8"/>
  <c r="L316" i="8"/>
  <c r="K316" i="8"/>
  <c r="G316" i="8"/>
  <c r="F316" i="8"/>
  <c r="E316" i="8"/>
  <c r="D316" i="8"/>
  <c r="L315" i="8"/>
  <c r="K315" i="8"/>
  <c r="G315" i="8"/>
  <c r="F315" i="8"/>
  <c r="E315" i="8"/>
  <c r="D315" i="8"/>
  <c r="L314" i="8"/>
  <c r="K314" i="8"/>
  <c r="G314" i="8"/>
  <c r="F314" i="8"/>
  <c r="E314" i="8"/>
  <c r="D314" i="8"/>
  <c r="L313" i="8"/>
  <c r="K313" i="8"/>
  <c r="G313" i="8"/>
  <c r="F313" i="8"/>
  <c r="E313" i="8"/>
  <c r="D313" i="8"/>
  <c r="L312" i="8"/>
  <c r="K312" i="8"/>
  <c r="G312" i="8"/>
  <c r="F312" i="8"/>
  <c r="E312" i="8"/>
  <c r="D312" i="8"/>
  <c r="L311" i="8"/>
  <c r="K311" i="8"/>
  <c r="G311" i="8"/>
  <c r="F311" i="8"/>
  <c r="E311" i="8"/>
  <c r="D311" i="8"/>
  <c r="L310" i="8"/>
  <c r="K310" i="8"/>
  <c r="G310" i="8"/>
  <c r="F310" i="8"/>
  <c r="E310" i="8"/>
  <c r="D310" i="8"/>
  <c r="L309" i="8"/>
  <c r="K309" i="8"/>
  <c r="G309" i="8"/>
  <c r="F309" i="8"/>
  <c r="E309" i="8"/>
  <c r="D309" i="8"/>
  <c r="L308" i="8"/>
  <c r="K308" i="8"/>
  <c r="G308" i="8"/>
  <c r="F308" i="8"/>
  <c r="E308" i="8"/>
  <c r="D308" i="8"/>
  <c r="L307" i="8"/>
  <c r="K307" i="8"/>
  <c r="G307" i="8"/>
  <c r="F307" i="8"/>
  <c r="E307" i="8"/>
  <c r="D307" i="8"/>
  <c r="L306" i="8"/>
  <c r="K306" i="8"/>
  <c r="G306" i="8"/>
  <c r="F306" i="8"/>
  <c r="E306" i="8"/>
  <c r="D306" i="8"/>
  <c r="L305" i="8"/>
  <c r="K305" i="8"/>
  <c r="G305" i="8"/>
  <c r="F305" i="8"/>
  <c r="E305" i="8"/>
  <c r="D305" i="8"/>
  <c r="L304" i="8"/>
  <c r="K304" i="8"/>
  <c r="G304" i="8"/>
  <c r="F304" i="8"/>
  <c r="E304" i="8"/>
  <c r="D304" i="8"/>
  <c r="L303" i="8"/>
  <c r="K303" i="8"/>
  <c r="G303" i="8"/>
  <c r="F303" i="8"/>
  <c r="E303" i="8"/>
  <c r="D303" i="8"/>
  <c r="L302" i="8"/>
  <c r="K302" i="8"/>
  <c r="G302" i="8"/>
  <c r="F302" i="8"/>
  <c r="E302" i="8"/>
  <c r="D302" i="8"/>
  <c r="L301" i="8"/>
  <c r="K301" i="8"/>
  <c r="G301" i="8"/>
  <c r="F301" i="8"/>
  <c r="E301" i="8"/>
  <c r="D301" i="8"/>
  <c r="L300" i="8"/>
  <c r="K300" i="8"/>
  <c r="G300" i="8"/>
  <c r="F300" i="8"/>
  <c r="E300" i="8"/>
  <c r="D300" i="8"/>
  <c r="L299" i="8"/>
  <c r="K299" i="8"/>
  <c r="G299" i="8"/>
  <c r="F299" i="8"/>
  <c r="E299" i="8"/>
  <c r="D299" i="8"/>
  <c r="L298" i="8"/>
  <c r="K298" i="8"/>
  <c r="G298" i="8"/>
  <c r="F298" i="8"/>
  <c r="E298" i="8"/>
  <c r="D298" i="8"/>
  <c r="L297" i="8"/>
  <c r="K297" i="8"/>
  <c r="G297" i="8"/>
  <c r="F297" i="8"/>
  <c r="E297" i="8"/>
  <c r="D297" i="8"/>
  <c r="L296" i="8"/>
  <c r="K296" i="8"/>
  <c r="G296" i="8"/>
  <c r="F296" i="8"/>
  <c r="E296" i="8"/>
  <c r="D296" i="8"/>
  <c r="L295" i="8"/>
  <c r="K295" i="8"/>
  <c r="G295" i="8"/>
  <c r="F295" i="8"/>
  <c r="E295" i="8"/>
  <c r="D295" i="8"/>
  <c r="L294" i="8"/>
  <c r="K294" i="8"/>
  <c r="G294" i="8"/>
  <c r="F294" i="8"/>
  <c r="E294" i="8"/>
  <c r="D294" i="8"/>
  <c r="L293" i="8"/>
  <c r="K293" i="8"/>
  <c r="G293" i="8"/>
  <c r="F293" i="8"/>
  <c r="E293" i="8"/>
  <c r="D293" i="8"/>
  <c r="L292" i="8"/>
  <c r="K292" i="8"/>
  <c r="G292" i="8"/>
  <c r="F292" i="8"/>
  <c r="E292" i="8"/>
  <c r="D292" i="8"/>
  <c r="L291" i="8"/>
  <c r="K291" i="8"/>
  <c r="G291" i="8"/>
  <c r="F291" i="8"/>
  <c r="E291" i="8"/>
  <c r="D291" i="8"/>
  <c r="L290" i="8"/>
  <c r="K290" i="8"/>
  <c r="G290" i="8"/>
  <c r="F290" i="8"/>
  <c r="E290" i="8"/>
  <c r="D290" i="8"/>
  <c r="L289" i="8"/>
  <c r="K289" i="8"/>
  <c r="G289" i="8"/>
  <c r="F289" i="8"/>
  <c r="E289" i="8"/>
  <c r="D289" i="8"/>
  <c r="L288" i="8"/>
  <c r="K288" i="8"/>
  <c r="G288" i="8"/>
  <c r="F288" i="8"/>
  <c r="E288" i="8"/>
  <c r="D288" i="8"/>
  <c r="L287" i="8"/>
  <c r="K287" i="8"/>
  <c r="G287" i="8"/>
  <c r="F287" i="8"/>
  <c r="E287" i="8"/>
  <c r="D287" i="8"/>
  <c r="L286" i="8"/>
  <c r="K286" i="8"/>
  <c r="G286" i="8"/>
  <c r="F286" i="8"/>
  <c r="E286" i="8"/>
  <c r="D286" i="8"/>
  <c r="L285" i="8"/>
  <c r="K285" i="8"/>
  <c r="G285" i="8"/>
  <c r="F285" i="8"/>
  <c r="E285" i="8"/>
  <c r="D285" i="8"/>
  <c r="L284" i="8"/>
  <c r="K284" i="8"/>
  <c r="G284" i="8"/>
  <c r="F284" i="8"/>
  <c r="E284" i="8"/>
  <c r="D284" i="8"/>
  <c r="L283" i="8"/>
  <c r="K283" i="8"/>
  <c r="G283" i="8"/>
  <c r="F283" i="8"/>
  <c r="E283" i="8"/>
  <c r="D283" i="8"/>
  <c r="L282" i="8"/>
  <c r="K282" i="8"/>
  <c r="G282" i="8"/>
  <c r="F282" i="8"/>
  <c r="E282" i="8"/>
  <c r="D282" i="8"/>
  <c r="L281" i="8"/>
  <c r="K281" i="8"/>
  <c r="G281" i="8"/>
  <c r="F281" i="8"/>
  <c r="E281" i="8"/>
  <c r="D281" i="8"/>
  <c r="L280" i="8"/>
  <c r="K280" i="8"/>
  <c r="G280" i="8"/>
  <c r="F280" i="8"/>
  <c r="E280" i="8"/>
  <c r="D280" i="8"/>
  <c r="L279" i="8"/>
  <c r="K279" i="8"/>
  <c r="G279" i="8"/>
  <c r="F279" i="8"/>
  <c r="E279" i="8"/>
  <c r="D279" i="8"/>
  <c r="L278" i="8"/>
  <c r="K278" i="8"/>
  <c r="G278" i="8"/>
  <c r="F278" i="8"/>
  <c r="E278" i="8"/>
  <c r="D278" i="8"/>
  <c r="L277" i="8"/>
  <c r="K277" i="8"/>
  <c r="G277" i="8"/>
  <c r="F277" i="8"/>
  <c r="E277" i="8"/>
  <c r="D277" i="8"/>
  <c r="L276" i="8"/>
  <c r="K276" i="8"/>
  <c r="G276" i="8"/>
  <c r="F276" i="8"/>
  <c r="E276" i="8"/>
  <c r="D276" i="8"/>
  <c r="L275" i="8"/>
  <c r="K275" i="8"/>
  <c r="G275" i="8"/>
  <c r="F275" i="8"/>
  <c r="E275" i="8"/>
  <c r="D275" i="8"/>
  <c r="L274" i="8"/>
  <c r="K274" i="8"/>
  <c r="G274" i="8"/>
  <c r="F274" i="8"/>
  <c r="E274" i="8"/>
  <c r="D274" i="8"/>
  <c r="L273" i="8"/>
  <c r="K273" i="8"/>
  <c r="G273" i="8"/>
  <c r="F273" i="8"/>
  <c r="E273" i="8"/>
  <c r="D273" i="8"/>
  <c r="L272" i="8"/>
  <c r="K272" i="8"/>
  <c r="G272" i="8"/>
  <c r="F272" i="8"/>
  <c r="E272" i="8"/>
  <c r="D272" i="8"/>
  <c r="L271" i="8"/>
  <c r="K271" i="8"/>
  <c r="G271" i="8"/>
  <c r="F271" i="8"/>
  <c r="E271" i="8"/>
  <c r="D271" i="8"/>
  <c r="L270" i="8"/>
  <c r="K270" i="8"/>
  <c r="G270" i="8"/>
  <c r="F270" i="8"/>
  <c r="E270" i="8"/>
  <c r="D270" i="8"/>
  <c r="L269" i="8"/>
  <c r="K269" i="8"/>
  <c r="G269" i="8"/>
  <c r="F269" i="8"/>
  <c r="E269" i="8"/>
  <c r="D269" i="8"/>
  <c r="L268" i="8"/>
  <c r="K268" i="8"/>
  <c r="G268" i="8"/>
  <c r="F268" i="8"/>
  <c r="E268" i="8"/>
  <c r="D268" i="8"/>
  <c r="L267" i="8"/>
  <c r="K267" i="8"/>
  <c r="G267" i="8"/>
  <c r="F267" i="8"/>
  <c r="E267" i="8"/>
  <c r="D267" i="8"/>
  <c r="L266" i="8"/>
  <c r="K266" i="8"/>
  <c r="G266" i="8"/>
  <c r="F266" i="8"/>
  <c r="E266" i="8"/>
  <c r="D266" i="8"/>
  <c r="L265" i="8"/>
  <c r="K265" i="8"/>
  <c r="G265" i="8"/>
  <c r="F265" i="8"/>
  <c r="E265" i="8"/>
  <c r="D265" i="8"/>
  <c r="L264" i="8"/>
  <c r="K264" i="8"/>
  <c r="G264" i="8"/>
  <c r="F264" i="8"/>
  <c r="E264" i="8"/>
  <c r="D264" i="8"/>
  <c r="L263" i="8"/>
  <c r="K263" i="8"/>
  <c r="G263" i="8"/>
  <c r="F263" i="8"/>
  <c r="E263" i="8"/>
  <c r="D263" i="8"/>
  <c r="L262" i="8"/>
  <c r="K262" i="8"/>
  <c r="G262" i="8"/>
  <c r="F262" i="8"/>
  <c r="E262" i="8"/>
  <c r="D262" i="8"/>
  <c r="L261" i="8"/>
  <c r="K261" i="8"/>
  <c r="G261" i="8"/>
  <c r="F261" i="8"/>
  <c r="E261" i="8"/>
  <c r="D261" i="8"/>
  <c r="L260" i="8"/>
  <c r="K260" i="8"/>
  <c r="G260" i="8"/>
  <c r="F260" i="8"/>
  <c r="E260" i="8"/>
  <c r="D260" i="8"/>
  <c r="L259" i="8"/>
  <c r="K259" i="8"/>
  <c r="G259" i="8"/>
  <c r="F259" i="8"/>
  <c r="E259" i="8"/>
  <c r="D259" i="8"/>
  <c r="L258" i="8"/>
  <c r="K258" i="8"/>
  <c r="G258" i="8"/>
  <c r="F258" i="8"/>
  <c r="E258" i="8"/>
  <c r="D258" i="8"/>
  <c r="L257" i="8"/>
  <c r="K257" i="8"/>
  <c r="G257" i="8"/>
  <c r="F257" i="8"/>
  <c r="E257" i="8"/>
  <c r="D257" i="8"/>
  <c r="L256" i="8"/>
  <c r="K256" i="8"/>
  <c r="G256" i="8"/>
  <c r="F256" i="8"/>
  <c r="E256" i="8"/>
  <c r="D256" i="8"/>
  <c r="L255" i="8"/>
  <c r="K255" i="8"/>
  <c r="G255" i="8"/>
  <c r="F255" i="8"/>
  <c r="E255" i="8"/>
  <c r="D255" i="8"/>
  <c r="L254" i="8"/>
  <c r="K254" i="8"/>
  <c r="G254" i="8"/>
  <c r="F254" i="8"/>
  <c r="E254" i="8"/>
  <c r="D254" i="8"/>
  <c r="L253" i="8"/>
  <c r="K253" i="8"/>
  <c r="G253" i="8"/>
  <c r="F253" i="8"/>
  <c r="E253" i="8"/>
  <c r="D253" i="8"/>
  <c r="L252" i="8"/>
  <c r="K252" i="8"/>
  <c r="G252" i="8"/>
  <c r="F252" i="8"/>
  <c r="E252" i="8"/>
  <c r="D252" i="8"/>
  <c r="L251" i="8"/>
  <c r="K251" i="8"/>
  <c r="G251" i="8"/>
  <c r="F251" i="8"/>
  <c r="E251" i="8"/>
  <c r="D251" i="8"/>
  <c r="L250" i="8"/>
  <c r="K250" i="8"/>
  <c r="G250" i="8"/>
  <c r="F250" i="8"/>
  <c r="E250" i="8"/>
  <c r="D250" i="8"/>
  <c r="L249" i="8"/>
  <c r="K249" i="8"/>
  <c r="G249" i="8"/>
  <c r="F249" i="8"/>
  <c r="E249" i="8"/>
  <c r="D249" i="8"/>
  <c r="L248" i="8"/>
  <c r="K248" i="8"/>
  <c r="G248" i="8"/>
  <c r="F248" i="8"/>
  <c r="E248" i="8"/>
  <c r="D248" i="8"/>
  <c r="L247" i="8"/>
  <c r="K247" i="8"/>
  <c r="G247" i="8"/>
  <c r="F247" i="8"/>
  <c r="E247" i="8"/>
  <c r="D247" i="8"/>
  <c r="L246" i="8"/>
  <c r="K246" i="8"/>
  <c r="G246" i="8"/>
  <c r="F246" i="8"/>
  <c r="E246" i="8"/>
  <c r="D246" i="8"/>
  <c r="L245" i="8"/>
  <c r="K245" i="8"/>
  <c r="G245" i="8"/>
  <c r="F245" i="8"/>
  <c r="E245" i="8"/>
  <c r="D245" i="8"/>
  <c r="L244" i="8"/>
  <c r="K244" i="8"/>
  <c r="G244" i="8"/>
  <c r="F244" i="8"/>
  <c r="E244" i="8"/>
  <c r="D244" i="8"/>
  <c r="L243" i="8"/>
  <c r="K243" i="8"/>
  <c r="G243" i="8"/>
  <c r="F243" i="8"/>
  <c r="E243" i="8"/>
  <c r="D243" i="8"/>
  <c r="L242" i="8"/>
  <c r="K242" i="8"/>
  <c r="G242" i="8"/>
  <c r="F242" i="8"/>
  <c r="E242" i="8"/>
  <c r="D242" i="8"/>
  <c r="L241" i="8"/>
  <c r="K241" i="8"/>
  <c r="G241" i="8"/>
  <c r="F241" i="8"/>
  <c r="E241" i="8"/>
  <c r="D241" i="8"/>
  <c r="L240" i="8"/>
  <c r="K240" i="8"/>
  <c r="G240" i="8"/>
  <c r="F240" i="8"/>
  <c r="E240" i="8"/>
  <c r="D240" i="8"/>
  <c r="L239" i="8"/>
  <c r="K239" i="8"/>
  <c r="G239" i="8"/>
  <c r="F239" i="8"/>
  <c r="E239" i="8"/>
  <c r="D239" i="8"/>
  <c r="L238" i="8"/>
  <c r="K238" i="8"/>
  <c r="G238" i="8"/>
  <c r="F238" i="8"/>
  <c r="E238" i="8"/>
  <c r="D238" i="8"/>
  <c r="L237" i="8"/>
  <c r="K237" i="8"/>
  <c r="G237" i="8"/>
  <c r="F237" i="8"/>
  <c r="E237" i="8"/>
  <c r="D237" i="8"/>
  <c r="L236" i="8"/>
  <c r="K236" i="8"/>
  <c r="G236" i="8"/>
  <c r="F236" i="8"/>
  <c r="E236" i="8"/>
  <c r="D236" i="8"/>
  <c r="L235" i="8"/>
  <c r="K235" i="8"/>
  <c r="G235" i="8"/>
  <c r="F235" i="8"/>
  <c r="E235" i="8"/>
  <c r="D235" i="8"/>
  <c r="L234" i="8"/>
  <c r="K234" i="8"/>
  <c r="G234" i="8"/>
  <c r="F234" i="8"/>
  <c r="E234" i="8"/>
  <c r="D234" i="8"/>
  <c r="L233" i="8"/>
  <c r="K233" i="8"/>
  <c r="G233" i="8"/>
  <c r="F233" i="8"/>
  <c r="E233" i="8"/>
  <c r="D233" i="8"/>
  <c r="L232" i="8"/>
  <c r="K232" i="8"/>
  <c r="G232" i="8"/>
  <c r="F232" i="8"/>
  <c r="E232" i="8"/>
  <c r="D232" i="8"/>
  <c r="L231" i="8"/>
  <c r="K231" i="8"/>
  <c r="G231" i="8"/>
  <c r="F231" i="8"/>
  <c r="E231" i="8"/>
  <c r="D231" i="8"/>
  <c r="L230" i="8"/>
  <c r="K230" i="8"/>
  <c r="G230" i="8"/>
  <c r="F230" i="8"/>
  <c r="E230" i="8"/>
  <c r="D230" i="8"/>
  <c r="L229" i="8"/>
  <c r="K229" i="8"/>
  <c r="G229" i="8"/>
  <c r="F229" i="8"/>
  <c r="E229" i="8"/>
  <c r="D229" i="8"/>
  <c r="L228" i="8"/>
  <c r="K228" i="8"/>
  <c r="G228" i="8"/>
  <c r="F228" i="8"/>
  <c r="E228" i="8"/>
  <c r="D228" i="8"/>
  <c r="L227" i="8"/>
  <c r="K227" i="8"/>
  <c r="G227" i="8"/>
  <c r="F227" i="8"/>
  <c r="E227" i="8"/>
  <c r="D227" i="8"/>
  <c r="L226" i="8"/>
  <c r="K226" i="8"/>
  <c r="G226" i="8"/>
  <c r="F226" i="8"/>
  <c r="E226" i="8"/>
  <c r="D226" i="8"/>
  <c r="L225" i="8"/>
  <c r="K225" i="8"/>
  <c r="G225" i="8"/>
  <c r="F225" i="8"/>
  <c r="E225" i="8"/>
  <c r="D225" i="8"/>
  <c r="L224" i="8"/>
  <c r="K224" i="8"/>
  <c r="G224" i="8"/>
  <c r="F224" i="8"/>
  <c r="E224" i="8"/>
  <c r="D224" i="8"/>
  <c r="L223" i="8"/>
  <c r="K223" i="8"/>
  <c r="G223" i="8"/>
  <c r="F223" i="8"/>
  <c r="E223" i="8"/>
  <c r="D223" i="8"/>
  <c r="L222" i="8"/>
  <c r="K222" i="8"/>
  <c r="G222" i="8"/>
  <c r="F222" i="8"/>
  <c r="E222" i="8"/>
  <c r="D222" i="8"/>
  <c r="L221" i="8"/>
  <c r="K221" i="8"/>
  <c r="G221" i="8"/>
  <c r="F221" i="8"/>
  <c r="E221" i="8"/>
  <c r="D221" i="8"/>
  <c r="L220" i="8"/>
  <c r="K220" i="8"/>
  <c r="G220" i="8"/>
  <c r="F220" i="8"/>
  <c r="E220" i="8"/>
  <c r="D220" i="8"/>
  <c r="L219" i="8"/>
  <c r="K219" i="8"/>
  <c r="G219" i="8"/>
  <c r="F219" i="8"/>
  <c r="E219" i="8"/>
  <c r="D219" i="8"/>
  <c r="L218" i="8"/>
  <c r="K218" i="8"/>
  <c r="G218" i="8"/>
  <c r="F218" i="8"/>
  <c r="E218" i="8"/>
  <c r="D218" i="8"/>
  <c r="L217" i="8"/>
  <c r="K217" i="8"/>
  <c r="G217" i="8"/>
  <c r="F217" i="8"/>
  <c r="E217" i="8"/>
  <c r="D217" i="8"/>
  <c r="L216" i="8"/>
  <c r="K216" i="8"/>
  <c r="G216" i="8"/>
  <c r="F216" i="8"/>
  <c r="E216" i="8"/>
  <c r="D216" i="8"/>
  <c r="L215" i="8"/>
  <c r="K215" i="8"/>
  <c r="G215" i="8"/>
  <c r="F215" i="8"/>
  <c r="E215" i="8"/>
  <c r="D215" i="8"/>
  <c r="L214" i="8"/>
  <c r="K214" i="8"/>
  <c r="G214" i="8"/>
  <c r="F214" i="8"/>
  <c r="E214" i="8"/>
  <c r="D214" i="8"/>
  <c r="L213" i="8"/>
  <c r="K213" i="8"/>
  <c r="G213" i="8"/>
  <c r="F213" i="8"/>
  <c r="E213" i="8"/>
  <c r="D213" i="8"/>
  <c r="L212" i="8"/>
  <c r="K212" i="8"/>
  <c r="G212" i="8"/>
  <c r="F212" i="8"/>
  <c r="E212" i="8"/>
  <c r="D212" i="8"/>
  <c r="L211" i="8"/>
  <c r="K211" i="8"/>
  <c r="G211" i="8"/>
  <c r="F211" i="8"/>
  <c r="E211" i="8"/>
  <c r="D211" i="8"/>
  <c r="L210" i="8"/>
  <c r="K210" i="8"/>
  <c r="G210" i="8"/>
  <c r="F210" i="8"/>
  <c r="E210" i="8"/>
  <c r="D210" i="8"/>
  <c r="L209" i="8"/>
  <c r="K209" i="8"/>
  <c r="G209" i="8"/>
  <c r="F209" i="8"/>
  <c r="E209" i="8"/>
  <c r="D209" i="8"/>
  <c r="L208" i="8"/>
  <c r="K208" i="8"/>
  <c r="G208" i="8"/>
  <c r="F208" i="8"/>
  <c r="E208" i="8"/>
  <c r="D208" i="8"/>
  <c r="L207" i="8"/>
  <c r="K207" i="8"/>
  <c r="G207" i="8"/>
  <c r="F207" i="8"/>
  <c r="E207" i="8"/>
  <c r="D207" i="8"/>
  <c r="L206" i="8"/>
  <c r="K206" i="8"/>
  <c r="G206" i="8"/>
  <c r="F206" i="8"/>
  <c r="E206" i="8"/>
  <c r="D206" i="8"/>
  <c r="L205" i="8"/>
  <c r="K205" i="8"/>
  <c r="G205" i="8"/>
  <c r="F205" i="8"/>
  <c r="E205" i="8"/>
  <c r="D205" i="8"/>
  <c r="L204" i="8"/>
  <c r="K204" i="8"/>
  <c r="G204" i="8"/>
  <c r="F204" i="8"/>
  <c r="E204" i="8"/>
  <c r="D204" i="8"/>
  <c r="L203" i="8"/>
  <c r="K203" i="8"/>
  <c r="G203" i="8"/>
  <c r="F203" i="8"/>
  <c r="E203" i="8"/>
  <c r="D203" i="8"/>
  <c r="L202" i="8"/>
  <c r="K202" i="8"/>
  <c r="G202" i="8"/>
  <c r="F202" i="8"/>
  <c r="E202" i="8"/>
  <c r="D202" i="8"/>
  <c r="L201" i="8"/>
  <c r="K201" i="8"/>
  <c r="G201" i="8"/>
  <c r="F201" i="8"/>
  <c r="E201" i="8"/>
  <c r="D201" i="8"/>
  <c r="L200" i="8"/>
  <c r="K200" i="8"/>
  <c r="G200" i="8"/>
  <c r="F200" i="8"/>
  <c r="E200" i="8"/>
  <c r="D200" i="8"/>
  <c r="L199" i="8"/>
  <c r="K199" i="8"/>
  <c r="G199" i="8"/>
  <c r="F199" i="8"/>
  <c r="E199" i="8"/>
  <c r="D199" i="8"/>
  <c r="L198" i="8"/>
  <c r="K198" i="8"/>
  <c r="G198" i="8"/>
  <c r="F198" i="8"/>
  <c r="E198" i="8"/>
  <c r="D198" i="8"/>
  <c r="L197" i="8"/>
  <c r="K197" i="8"/>
  <c r="G197" i="8"/>
  <c r="F197" i="8"/>
  <c r="E197" i="8"/>
  <c r="D197" i="8"/>
  <c r="L196" i="8"/>
  <c r="K196" i="8"/>
  <c r="G196" i="8"/>
  <c r="F196" i="8"/>
  <c r="E196" i="8"/>
  <c r="D196" i="8"/>
  <c r="L195" i="8"/>
  <c r="K195" i="8"/>
  <c r="G195" i="8"/>
  <c r="F195" i="8"/>
  <c r="E195" i="8"/>
  <c r="D195" i="8"/>
  <c r="L194" i="8"/>
  <c r="K194" i="8"/>
  <c r="G194" i="8"/>
  <c r="F194" i="8"/>
  <c r="E194" i="8"/>
  <c r="D194" i="8"/>
  <c r="L193" i="8"/>
  <c r="K193" i="8"/>
  <c r="G193" i="8"/>
  <c r="F193" i="8"/>
  <c r="E193" i="8"/>
  <c r="D193" i="8"/>
  <c r="L192" i="8"/>
  <c r="K192" i="8"/>
  <c r="G192" i="8"/>
  <c r="F192" i="8"/>
  <c r="E192" i="8"/>
  <c r="D192" i="8"/>
  <c r="L191" i="8"/>
  <c r="K191" i="8"/>
  <c r="G191" i="8"/>
  <c r="F191" i="8"/>
  <c r="E191" i="8"/>
  <c r="D191" i="8"/>
  <c r="L190" i="8"/>
  <c r="K190" i="8"/>
  <c r="G190" i="8"/>
  <c r="F190" i="8"/>
  <c r="E190" i="8"/>
  <c r="D190" i="8"/>
  <c r="L189" i="8"/>
  <c r="K189" i="8"/>
  <c r="G189" i="8"/>
  <c r="F189" i="8"/>
  <c r="E189" i="8"/>
  <c r="D189" i="8"/>
  <c r="L188" i="8"/>
  <c r="K188" i="8"/>
  <c r="G188" i="8"/>
  <c r="F188" i="8"/>
  <c r="E188" i="8"/>
  <c r="D188" i="8"/>
  <c r="L187" i="8"/>
  <c r="K187" i="8"/>
  <c r="G187" i="8"/>
  <c r="F187" i="8"/>
  <c r="E187" i="8"/>
  <c r="D187" i="8"/>
  <c r="L186" i="8"/>
  <c r="K186" i="8"/>
  <c r="G186" i="8"/>
  <c r="F186" i="8"/>
  <c r="E186" i="8"/>
  <c r="D186" i="8"/>
  <c r="L185" i="8"/>
  <c r="K185" i="8"/>
  <c r="G185" i="8"/>
  <c r="F185" i="8"/>
  <c r="E185" i="8"/>
  <c r="D185" i="8"/>
  <c r="L184" i="8"/>
  <c r="K184" i="8"/>
  <c r="G184" i="8"/>
  <c r="F184" i="8"/>
  <c r="E184" i="8"/>
  <c r="D184" i="8"/>
  <c r="L183" i="8"/>
  <c r="K183" i="8"/>
  <c r="G183" i="8"/>
  <c r="F183" i="8"/>
  <c r="E183" i="8"/>
  <c r="D183" i="8"/>
  <c r="L182" i="8"/>
  <c r="K182" i="8"/>
  <c r="G182" i="8"/>
  <c r="F182" i="8"/>
  <c r="E182" i="8"/>
  <c r="D182" i="8"/>
  <c r="L181" i="8"/>
  <c r="K181" i="8"/>
  <c r="G181" i="8"/>
  <c r="F181" i="8"/>
  <c r="E181" i="8"/>
  <c r="D181" i="8"/>
  <c r="L180" i="8"/>
  <c r="K180" i="8"/>
  <c r="G180" i="8"/>
  <c r="F180" i="8"/>
  <c r="E180" i="8"/>
  <c r="D180" i="8"/>
  <c r="L179" i="8"/>
  <c r="K179" i="8"/>
  <c r="G179" i="8"/>
  <c r="F179" i="8"/>
  <c r="E179" i="8"/>
  <c r="D179" i="8"/>
  <c r="L178" i="8"/>
  <c r="K178" i="8"/>
  <c r="G178" i="8"/>
  <c r="F178" i="8"/>
  <c r="E178" i="8"/>
  <c r="D178" i="8"/>
  <c r="L177" i="8"/>
  <c r="K177" i="8"/>
  <c r="G177" i="8"/>
  <c r="F177" i="8"/>
  <c r="E177" i="8"/>
  <c r="D177" i="8"/>
  <c r="L176" i="8"/>
  <c r="K176" i="8"/>
  <c r="G176" i="8"/>
  <c r="F176" i="8"/>
  <c r="E176" i="8"/>
  <c r="D176" i="8"/>
  <c r="L175" i="8"/>
  <c r="K175" i="8"/>
  <c r="G175" i="8"/>
  <c r="F175" i="8"/>
  <c r="E175" i="8"/>
  <c r="D175" i="8"/>
  <c r="L174" i="8"/>
  <c r="K174" i="8"/>
  <c r="G174" i="8"/>
  <c r="F174" i="8"/>
  <c r="E174" i="8"/>
  <c r="D174" i="8"/>
  <c r="L173" i="8"/>
  <c r="K173" i="8"/>
  <c r="G173" i="8"/>
  <c r="F173" i="8"/>
  <c r="E173" i="8"/>
  <c r="D173" i="8"/>
  <c r="L172" i="8"/>
  <c r="K172" i="8"/>
  <c r="G172" i="8"/>
  <c r="F172" i="8"/>
  <c r="E172" i="8"/>
  <c r="D172" i="8"/>
  <c r="L171" i="8"/>
  <c r="K171" i="8"/>
  <c r="G171" i="8"/>
  <c r="F171" i="8"/>
  <c r="E171" i="8"/>
  <c r="D171" i="8"/>
  <c r="L170" i="8"/>
  <c r="K170" i="8"/>
  <c r="G170" i="8"/>
  <c r="F170" i="8"/>
  <c r="E170" i="8"/>
  <c r="D170" i="8"/>
  <c r="L169" i="8"/>
  <c r="K169" i="8"/>
  <c r="G169" i="8"/>
  <c r="F169" i="8"/>
  <c r="E169" i="8"/>
  <c r="D169" i="8"/>
  <c r="L168" i="8"/>
  <c r="K168" i="8"/>
  <c r="G168" i="8"/>
  <c r="F168" i="8"/>
  <c r="E168" i="8"/>
  <c r="D168" i="8"/>
  <c r="L167" i="8"/>
  <c r="K167" i="8"/>
  <c r="G167" i="8"/>
  <c r="F167" i="8"/>
  <c r="E167" i="8"/>
  <c r="D167" i="8"/>
  <c r="L166" i="8"/>
  <c r="K166" i="8"/>
  <c r="G166" i="8"/>
  <c r="F166" i="8"/>
  <c r="E166" i="8"/>
  <c r="D166" i="8"/>
  <c r="L165" i="8"/>
  <c r="K165" i="8"/>
  <c r="G165" i="8"/>
  <c r="F165" i="8"/>
  <c r="E165" i="8"/>
  <c r="D165" i="8"/>
  <c r="L164" i="8"/>
  <c r="K164" i="8"/>
  <c r="G164" i="8"/>
  <c r="F164" i="8"/>
  <c r="E164" i="8"/>
  <c r="D164" i="8"/>
  <c r="L163" i="8"/>
  <c r="K163" i="8"/>
  <c r="G163" i="8"/>
  <c r="F163" i="8"/>
  <c r="E163" i="8"/>
  <c r="D163" i="8"/>
  <c r="L162" i="8"/>
  <c r="K162" i="8"/>
  <c r="G162" i="8"/>
  <c r="F162" i="8"/>
  <c r="E162" i="8"/>
  <c r="D162" i="8"/>
  <c r="L161" i="8"/>
  <c r="K161" i="8"/>
  <c r="G161" i="8"/>
  <c r="F161" i="8"/>
  <c r="E161" i="8"/>
  <c r="D161" i="8"/>
  <c r="L160" i="8"/>
  <c r="K160" i="8"/>
  <c r="G160" i="8"/>
  <c r="F160" i="8"/>
  <c r="E160" i="8"/>
  <c r="D160" i="8"/>
  <c r="L159" i="8"/>
  <c r="K159" i="8"/>
  <c r="G159" i="8"/>
  <c r="F159" i="8"/>
  <c r="E159" i="8"/>
  <c r="D159" i="8"/>
  <c r="L158" i="8"/>
  <c r="K158" i="8"/>
  <c r="G158" i="8"/>
  <c r="F158" i="8"/>
  <c r="E158" i="8"/>
  <c r="D158" i="8"/>
  <c r="L157" i="8"/>
  <c r="K157" i="8"/>
  <c r="G157" i="8"/>
  <c r="F157" i="8"/>
  <c r="E157" i="8"/>
  <c r="D157" i="8"/>
  <c r="L156" i="8"/>
  <c r="K156" i="8"/>
  <c r="G156" i="8"/>
  <c r="F156" i="8"/>
  <c r="E156" i="8"/>
  <c r="D156" i="8"/>
  <c r="L155" i="8"/>
  <c r="K155" i="8"/>
  <c r="G155" i="8"/>
  <c r="F155" i="8"/>
  <c r="E155" i="8"/>
  <c r="D155" i="8"/>
  <c r="L154" i="8"/>
  <c r="K154" i="8"/>
  <c r="G154" i="8"/>
  <c r="F154" i="8"/>
  <c r="E154" i="8"/>
  <c r="D154" i="8"/>
  <c r="L153" i="8"/>
  <c r="K153" i="8"/>
  <c r="G153" i="8"/>
  <c r="F153" i="8"/>
  <c r="E153" i="8"/>
  <c r="D153" i="8"/>
  <c r="L152" i="8"/>
  <c r="K152" i="8"/>
  <c r="G152" i="8"/>
  <c r="F152" i="8"/>
  <c r="E152" i="8"/>
  <c r="D152" i="8"/>
  <c r="L151" i="8"/>
  <c r="K151" i="8"/>
  <c r="G151" i="8"/>
  <c r="F151" i="8"/>
  <c r="E151" i="8"/>
  <c r="D151" i="8"/>
  <c r="L150" i="8"/>
  <c r="K150" i="8"/>
  <c r="G150" i="8"/>
  <c r="F150" i="8"/>
  <c r="E150" i="8"/>
  <c r="D150" i="8"/>
  <c r="L149" i="8"/>
  <c r="K149" i="8"/>
  <c r="G149" i="8"/>
  <c r="F149" i="8"/>
  <c r="E149" i="8"/>
  <c r="D149" i="8"/>
  <c r="L148" i="8"/>
  <c r="K148" i="8"/>
  <c r="G148" i="8"/>
  <c r="F148" i="8"/>
  <c r="E148" i="8"/>
  <c r="D148" i="8"/>
  <c r="L147" i="8"/>
  <c r="K147" i="8"/>
  <c r="G147" i="8"/>
  <c r="F147" i="8"/>
  <c r="E147" i="8"/>
  <c r="D147" i="8"/>
  <c r="L146" i="8"/>
  <c r="K146" i="8"/>
  <c r="G146" i="8"/>
  <c r="F146" i="8"/>
  <c r="E146" i="8"/>
  <c r="D146" i="8"/>
  <c r="L145" i="8"/>
  <c r="K145" i="8"/>
  <c r="G145" i="8"/>
  <c r="F145" i="8"/>
  <c r="E145" i="8"/>
  <c r="D145" i="8"/>
  <c r="L144" i="8"/>
  <c r="K144" i="8"/>
  <c r="G144" i="8"/>
  <c r="F144" i="8"/>
  <c r="E144" i="8"/>
  <c r="D144" i="8"/>
  <c r="L143" i="8"/>
  <c r="K143" i="8"/>
  <c r="G143" i="8"/>
  <c r="F143" i="8"/>
  <c r="E143" i="8"/>
  <c r="D143" i="8"/>
  <c r="L142" i="8"/>
  <c r="K142" i="8"/>
  <c r="G142" i="8"/>
  <c r="F142" i="8"/>
  <c r="E142" i="8"/>
  <c r="D142" i="8"/>
  <c r="L141" i="8"/>
  <c r="K141" i="8"/>
  <c r="G141" i="8"/>
  <c r="F141" i="8"/>
  <c r="E141" i="8"/>
  <c r="D141" i="8"/>
  <c r="L140" i="8"/>
  <c r="K140" i="8"/>
  <c r="G140" i="8"/>
  <c r="F140" i="8"/>
  <c r="E140" i="8"/>
  <c r="D140" i="8"/>
  <c r="L139" i="8"/>
  <c r="K139" i="8"/>
  <c r="G139" i="8"/>
  <c r="F139" i="8"/>
  <c r="E139" i="8"/>
  <c r="D139" i="8"/>
  <c r="L138" i="8"/>
  <c r="K138" i="8"/>
  <c r="G138" i="8"/>
  <c r="F138" i="8"/>
  <c r="E138" i="8"/>
  <c r="D138" i="8"/>
  <c r="L137" i="8"/>
  <c r="K137" i="8"/>
  <c r="G137" i="8"/>
  <c r="F137" i="8"/>
  <c r="E137" i="8"/>
  <c r="D137" i="8"/>
  <c r="L136" i="8"/>
  <c r="K136" i="8"/>
  <c r="G136" i="8"/>
  <c r="F136" i="8"/>
  <c r="E136" i="8"/>
  <c r="D136" i="8"/>
  <c r="L135" i="8"/>
  <c r="K135" i="8"/>
  <c r="G135" i="8"/>
  <c r="F135" i="8"/>
  <c r="E135" i="8"/>
  <c r="D135" i="8"/>
  <c r="L134" i="8"/>
  <c r="K134" i="8"/>
  <c r="G134" i="8"/>
  <c r="F134" i="8"/>
  <c r="E134" i="8"/>
  <c r="D134" i="8"/>
  <c r="L133" i="8"/>
  <c r="K133" i="8"/>
  <c r="G133" i="8"/>
  <c r="F133" i="8"/>
  <c r="E133" i="8"/>
  <c r="D133" i="8"/>
  <c r="L132" i="8"/>
  <c r="K132" i="8"/>
  <c r="G132" i="8"/>
  <c r="F132" i="8"/>
  <c r="E132" i="8"/>
  <c r="D132" i="8"/>
  <c r="L131" i="8"/>
  <c r="K131" i="8"/>
  <c r="G131" i="8"/>
  <c r="F131" i="8"/>
  <c r="E131" i="8"/>
  <c r="D131" i="8"/>
  <c r="L130" i="8"/>
  <c r="K130" i="8"/>
  <c r="G130" i="8"/>
  <c r="F130" i="8"/>
  <c r="E130" i="8"/>
  <c r="D130" i="8"/>
  <c r="L129" i="8"/>
  <c r="K129" i="8"/>
  <c r="G129" i="8"/>
  <c r="F129" i="8"/>
  <c r="E129" i="8"/>
  <c r="D129" i="8"/>
  <c r="L128" i="8"/>
  <c r="K128" i="8"/>
  <c r="G128" i="8"/>
  <c r="F128" i="8"/>
  <c r="E128" i="8"/>
  <c r="D128" i="8"/>
  <c r="L127" i="8"/>
  <c r="K127" i="8"/>
  <c r="G127" i="8"/>
  <c r="F127" i="8"/>
  <c r="E127" i="8"/>
  <c r="D127" i="8"/>
  <c r="L126" i="8"/>
  <c r="K126" i="8"/>
  <c r="G126" i="8"/>
  <c r="F126" i="8"/>
  <c r="E126" i="8"/>
  <c r="D126" i="8"/>
  <c r="L125" i="8"/>
  <c r="K125" i="8"/>
  <c r="G125" i="8"/>
  <c r="F125" i="8"/>
  <c r="E125" i="8"/>
  <c r="D125" i="8"/>
  <c r="L124" i="8"/>
  <c r="K124" i="8"/>
  <c r="G124" i="8"/>
  <c r="F124" i="8"/>
  <c r="E124" i="8"/>
  <c r="D124" i="8"/>
  <c r="L123" i="8"/>
  <c r="K123" i="8"/>
  <c r="G123" i="8"/>
  <c r="F123" i="8"/>
  <c r="E123" i="8"/>
  <c r="D123" i="8"/>
  <c r="L122" i="8"/>
  <c r="K122" i="8"/>
  <c r="G122" i="8"/>
  <c r="F122" i="8"/>
  <c r="E122" i="8"/>
  <c r="D122" i="8"/>
  <c r="L121" i="8"/>
  <c r="K121" i="8"/>
  <c r="G121" i="8"/>
  <c r="F121" i="8"/>
  <c r="E121" i="8"/>
  <c r="D121" i="8"/>
  <c r="L120" i="8"/>
  <c r="K120" i="8"/>
  <c r="G120" i="8"/>
  <c r="F120" i="8"/>
  <c r="E120" i="8"/>
  <c r="D120" i="8"/>
  <c r="L119" i="8"/>
  <c r="K119" i="8"/>
  <c r="G119" i="8"/>
  <c r="F119" i="8"/>
  <c r="E119" i="8"/>
  <c r="D119" i="8"/>
  <c r="L118" i="8"/>
  <c r="K118" i="8"/>
  <c r="G118" i="8"/>
  <c r="F118" i="8"/>
  <c r="E118" i="8"/>
  <c r="D118" i="8"/>
  <c r="L117" i="8"/>
  <c r="K117" i="8"/>
  <c r="G117" i="8"/>
  <c r="F117" i="8"/>
  <c r="E117" i="8"/>
  <c r="D117" i="8"/>
  <c r="L116" i="8"/>
  <c r="K116" i="8"/>
  <c r="G116" i="8"/>
  <c r="F116" i="8"/>
  <c r="E116" i="8"/>
  <c r="D116" i="8"/>
  <c r="L115" i="8"/>
  <c r="K115" i="8"/>
  <c r="G115" i="8"/>
  <c r="F115" i="8"/>
  <c r="E115" i="8"/>
  <c r="D115" i="8"/>
  <c r="L114" i="8"/>
  <c r="K114" i="8"/>
  <c r="G114" i="8"/>
  <c r="F114" i="8"/>
  <c r="E114" i="8"/>
  <c r="D114" i="8"/>
  <c r="L113" i="8"/>
  <c r="K113" i="8"/>
  <c r="G113" i="8"/>
  <c r="F113" i="8"/>
  <c r="E113" i="8"/>
  <c r="D113" i="8"/>
  <c r="L112" i="8"/>
  <c r="K112" i="8"/>
  <c r="G112" i="8"/>
  <c r="F112" i="8"/>
  <c r="E112" i="8"/>
  <c r="D112" i="8"/>
  <c r="L111" i="8"/>
  <c r="K111" i="8"/>
  <c r="G111" i="8"/>
  <c r="F111" i="8"/>
  <c r="E111" i="8"/>
  <c r="D111" i="8"/>
  <c r="L110" i="8"/>
  <c r="K110" i="8"/>
  <c r="G110" i="8"/>
  <c r="F110" i="8"/>
  <c r="E110" i="8"/>
  <c r="D110" i="8"/>
  <c r="L109" i="8"/>
  <c r="K109" i="8"/>
  <c r="G109" i="8"/>
  <c r="F109" i="8"/>
  <c r="E109" i="8"/>
  <c r="D109" i="8"/>
  <c r="L108" i="8"/>
  <c r="K108" i="8"/>
  <c r="G108" i="8"/>
  <c r="F108" i="8"/>
  <c r="E108" i="8"/>
  <c r="D108" i="8"/>
  <c r="L107" i="8"/>
  <c r="K107" i="8"/>
  <c r="G107" i="8"/>
  <c r="F107" i="8"/>
  <c r="E107" i="8"/>
  <c r="D107" i="8"/>
  <c r="L106" i="8"/>
  <c r="K106" i="8"/>
  <c r="G106" i="8"/>
  <c r="F106" i="8"/>
  <c r="E106" i="8"/>
  <c r="D106" i="8"/>
  <c r="L105" i="8"/>
  <c r="K105" i="8"/>
  <c r="G105" i="8"/>
  <c r="F105" i="8"/>
  <c r="E105" i="8"/>
  <c r="D105" i="8"/>
  <c r="L104" i="8"/>
  <c r="K104" i="8"/>
  <c r="G104" i="8"/>
  <c r="F104" i="8"/>
  <c r="E104" i="8"/>
  <c r="D104" i="8"/>
  <c r="L103" i="8"/>
  <c r="K103" i="8"/>
  <c r="G103" i="8"/>
  <c r="F103" i="8"/>
  <c r="E103" i="8"/>
  <c r="D103" i="8"/>
  <c r="L102" i="8"/>
  <c r="K102" i="8"/>
  <c r="G102" i="8"/>
  <c r="F102" i="8"/>
  <c r="E102" i="8"/>
  <c r="D102" i="8"/>
  <c r="L101" i="8"/>
  <c r="K101" i="8"/>
  <c r="G101" i="8"/>
  <c r="F101" i="8"/>
  <c r="E101" i="8"/>
  <c r="D101" i="8"/>
  <c r="L100" i="8"/>
  <c r="K100" i="8"/>
  <c r="G100" i="8"/>
  <c r="F100" i="8"/>
  <c r="E100" i="8"/>
  <c r="D100" i="8"/>
  <c r="L99" i="8"/>
  <c r="K99" i="8"/>
  <c r="G99" i="8"/>
  <c r="F99" i="8"/>
  <c r="E99" i="8"/>
  <c r="D99" i="8"/>
  <c r="L98" i="8"/>
  <c r="K98" i="8"/>
  <c r="G98" i="8"/>
  <c r="F98" i="8"/>
  <c r="E98" i="8"/>
  <c r="D98" i="8"/>
  <c r="L97" i="8"/>
  <c r="K97" i="8"/>
  <c r="G97" i="8"/>
  <c r="F97" i="8"/>
  <c r="E97" i="8"/>
  <c r="D97" i="8"/>
  <c r="L96" i="8"/>
  <c r="K96" i="8"/>
  <c r="G96" i="8"/>
  <c r="F96" i="8"/>
  <c r="E96" i="8"/>
  <c r="D96" i="8"/>
  <c r="L95" i="8"/>
  <c r="K95" i="8"/>
  <c r="G95" i="8"/>
  <c r="F95" i="8"/>
  <c r="E95" i="8"/>
  <c r="D95" i="8"/>
  <c r="L94" i="8"/>
  <c r="K94" i="8"/>
  <c r="G94" i="8"/>
  <c r="F94" i="8"/>
  <c r="E94" i="8"/>
  <c r="D94" i="8"/>
  <c r="L93" i="8"/>
  <c r="K93" i="8"/>
  <c r="G93" i="8"/>
  <c r="F93" i="8"/>
  <c r="E93" i="8"/>
  <c r="D93" i="8"/>
  <c r="L92" i="8"/>
  <c r="K92" i="8"/>
  <c r="G92" i="8"/>
  <c r="F92" i="8"/>
  <c r="E92" i="8"/>
  <c r="D92" i="8"/>
  <c r="L91" i="8"/>
  <c r="K91" i="8"/>
  <c r="G91" i="8"/>
  <c r="F91" i="8"/>
  <c r="E91" i="8"/>
  <c r="D91" i="8"/>
  <c r="L90" i="8"/>
  <c r="K90" i="8"/>
  <c r="G90" i="8"/>
  <c r="F90" i="8"/>
  <c r="E90" i="8"/>
  <c r="D90" i="8"/>
  <c r="L89" i="8"/>
  <c r="K89" i="8"/>
  <c r="G89" i="8"/>
  <c r="F89" i="8"/>
  <c r="E89" i="8"/>
  <c r="D89" i="8"/>
  <c r="L88" i="8"/>
  <c r="K88" i="8"/>
  <c r="G88" i="8"/>
  <c r="F88" i="8"/>
  <c r="E88" i="8"/>
  <c r="D88" i="8"/>
  <c r="L87" i="8"/>
  <c r="K87" i="8"/>
  <c r="G87" i="8"/>
  <c r="F87" i="8"/>
  <c r="E87" i="8"/>
  <c r="D87" i="8"/>
  <c r="L86" i="8"/>
  <c r="K86" i="8"/>
  <c r="G86" i="8"/>
  <c r="F86" i="8"/>
  <c r="E86" i="8"/>
  <c r="D86" i="8"/>
  <c r="L85" i="8"/>
  <c r="K85" i="8"/>
  <c r="G85" i="8"/>
  <c r="F85" i="8"/>
  <c r="E85" i="8"/>
  <c r="D85" i="8"/>
  <c r="L84" i="8"/>
  <c r="K84" i="8"/>
  <c r="G84" i="8"/>
  <c r="F84" i="8"/>
  <c r="E84" i="8"/>
  <c r="D84" i="8"/>
  <c r="L83" i="8"/>
  <c r="K83" i="8"/>
  <c r="G83" i="8"/>
  <c r="F83" i="8"/>
  <c r="E83" i="8"/>
  <c r="D83" i="8"/>
  <c r="L82" i="8"/>
  <c r="K82" i="8"/>
  <c r="G82" i="8"/>
  <c r="F82" i="8"/>
  <c r="E82" i="8"/>
  <c r="D82" i="8"/>
  <c r="L81" i="8"/>
  <c r="K81" i="8"/>
  <c r="G81" i="8"/>
  <c r="F81" i="8"/>
  <c r="E81" i="8"/>
  <c r="D81" i="8"/>
  <c r="L80" i="8"/>
  <c r="K80" i="8"/>
  <c r="G80" i="8"/>
  <c r="F80" i="8"/>
  <c r="E80" i="8"/>
  <c r="D80" i="8"/>
  <c r="L79" i="8"/>
  <c r="K79" i="8"/>
  <c r="G79" i="8"/>
  <c r="F79" i="8"/>
  <c r="E79" i="8"/>
  <c r="D79" i="8"/>
  <c r="L78" i="8"/>
  <c r="K78" i="8"/>
  <c r="G78" i="8"/>
  <c r="F78" i="8"/>
  <c r="E78" i="8"/>
  <c r="D78" i="8"/>
  <c r="L77" i="8"/>
  <c r="K77" i="8"/>
  <c r="G77" i="8"/>
  <c r="F77" i="8"/>
  <c r="E77" i="8"/>
  <c r="D77" i="8"/>
  <c r="L76" i="8"/>
  <c r="K76" i="8"/>
  <c r="G76" i="8"/>
  <c r="F76" i="8"/>
  <c r="E76" i="8"/>
  <c r="D76" i="8"/>
  <c r="L75" i="8"/>
  <c r="K75" i="8"/>
  <c r="G75" i="8"/>
  <c r="F75" i="8"/>
  <c r="E75" i="8"/>
  <c r="D75" i="8"/>
  <c r="L74" i="8"/>
  <c r="K74" i="8"/>
  <c r="G74" i="8"/>
  <c r="F74" i="8"/>
  <c r="E74" i="8"/>
  <c r="D74" i="8"/>
  <c r="L73" i="8"/>
  <c r="K73" i="8"/>
  <c r="G73" i="8"/>
  <c r="F73" i="8"/>
  <c r="E73" i="8"/>
  <c r="D73" i="8"/>
  <c r="L72" i="8"/>
  <c r="K72" i="8"/>
  <c r="G72" i="8"/>
  <c r="F72" i="8"/>
  <c r="E72" i="8"/>
  <c r="D72" i="8"/>
  <c r="L71" i="8"/>
  <c r="K71" i="8"/>
  <c r="G71" i="8"/>
  <c r="F71" i="8"/>
  <c r="E71" i="8"/>
  <c r="D71" i="8"/>
  <c r="L70" i="8"/>
  <c r="K70" i="8"/>
  <c r="G70" i="8"/>
  <c r="F70" i="8"/>
  <c r="E70" i="8"/>
  <c r="D70" i="8"/>
  <c r="L69" i="8"/>
  <c r="K69" i="8"/>
  <c r="G69" i="8"/>
  <c r="F69" i="8"/>
  <c r="E69" i="8"/>
  <c r="D69" i="8"/>
  <c r="L68" i="8"/>
  <c r="K68" i="8"/>
  <c r="G68" i="8"/>
  <c r="F68" i="8"/>
  <c r="E68" i="8"/>
  <c r="D68" i="8"/>
  <c r="L67" i="8"/>
  <c r="K67" i="8"/>
  <c r="G67" i="8"/>
  <c r="F67" i="8"/>
  <c r="E67" i="8"/>
  <c r="D67" i="8"/>
  <c r="L66" i="8"/>
  <c r="K66" i="8"/>
  <c r="G66" i="8"/>
  <c r="F66" i="8"/>
  <c r="E66" i="8"/>
  <c r="D66" i="8"/>
  <c r="L65" i="8"/>
  <c r="K65" i="8"/>
  <c r="G65" i="8"/>
  <c r="F65" i="8"/>
  <c r="E65" i="8"/>
  <c r="D65" i="8"/>
  <c r="L64" i="8"/>
  <c r="K64" i="8"/>
  <c r="G64" i="8"/>
  <c r="F64" i="8"/>
  <c r="E64" i="8"/>
  <c r="D64" i="8"/>
  <c r="L63" i="8"/>
  <c r="K63" i="8"/>
  <c r="G63" i="8"/>
  <c r="F63" i="8"/>
  <c r="E63" i="8"/>
  <c r="D63" i="8"/>
  <c r="L62" i="8"/>
  <c r="K62" i="8"/>
  <c r="G62" i="8"/>
  <c r="F62" i="8"/>
  <c r="E62" i="8"/>
  <c r="D62" i="8"/>
  <c r="L61" i="8"/>
  <c r="K61" i="8"/>
  <c r="G61" i="8"/>
  <c r="F61" i="8"/>
  <c r="E61" i="8"/>
  <c r="D61" i="8"/>
  <c r="L60" i="8"/>
  <c r="K60" i="8"/>
  <c r="G60" i="8"/>
  <c r="F60" i="8"/>
  <c r="E60" i="8"/>
  <c r="D60" i="8"/>
  <c r="L59" i="8"/>
  <c r="K59" i="8"/>
  <c r="G59" i="8"/>
  <c r="F59" i="8"/>
  <c r="E59" i="8"/>
  <c r="D59" i="8"/>
  <c r="L58" i="8"/>
  <c r="K58" i="8"/>
  <c r="G58" i="8"/>
  <c r="F58" i="8"/>
  <c r="E58" i="8"/>
  <c r="D58" i="8"/>
  <c r="L57" i="8"/>
  <c r="K57" i="8"/>
  <c r="G57" i="8"/>
  <c r="F57" i="8"/>
  <c r="E57" i="8"/>
  <c r="D57" i="8"/>
  <c r="L56" i="8"/>
  <c r="K56" i="8"/>
  <c r="G56" i="8"/>
  <c r="F56" i="8"/>
  <c r="E56" i="8"/>
  <c r="D56" i="8"/>
  <c r="L55" i="8"/>
  <c r="K55" i="8"/>
  <c r="G55" i="8"/>
  <c r="F55" i="8"/>
  <c r="E55" i="8"/>
  <c r="D55" i="8"/>
  <c r="L54" i="8"/>
  <c r="K54" i="8"/>
  <c r="G54" i="8"/>
  <c r="F54" i="8"/>
  <c r="E54" i="8"/>
  <c r="D54" i="8"/>
  <c r="L53" i="8"/>
  <c r="K53" i="8"/>
  <c r="G53" i="8"/>
  <c r="F53" i="8"/>
  <c r="E53" i="8"/>
  <c r="D53" i="8"/>
  <c r="L52" i="8"/>
  <c r="K52" i="8"/>
  <c r="G52" i="8"/>
  <c r="F52" i="8"/>
  <c r="E52" i="8"/>
  <c r="D52" i="8"/>
  <c r="L51" i="8"/>
  <c r="K51" i="8"/>
  <c r="G51" i="8"/>
  <c r="F51" i="8"/>
  <c r="E51" i="8"/>
  <c r="D51" i="8"/>
  <c r="L50" i="8"/>
  <c r="K50" i="8"/>
  <c r="G50" i="8"/>
  <c r="F50" i="8"/>
  <c r="E50" i="8"/>
  <c r="D50" i="8"/>
  <c r="L49" i="8"/>
  <c r="K49" i="8"/>
  <c r="G49" i="8"/>
  <c r="F49" i="8"/>
  <c r="E49" i="8"/>
  <c r="D49" i="8"/>
  <c r="L48" i="8"/>
  <c r="K48" i="8"/>
  <c r="G48" i="8"/>
  <c r="F48" i="8"/>
  <c r="E48" i="8"/>
  <c r="D48" i="8"/>
  <c r="L47" i="8"/>
  <c r="K47" i="8"/>
  <c r="G47" i="8"/>
  <c r="F47" i="8"/>
  <c r="E47" i="8"/>
  <c r="D47" i="8"/>
  <c r="L46" i="8"/>
  <c r="K46" i="8"/>
  <c r="G46" i="8"/>
  <c r="F46" i="8"/>
  <c r="E46" i="8"/>
  <c r="D46" i="8"/>
  <c r="L45" i="8"/>
  <c r="K45" i="8"/>
  <c r="G45" i="8"/>
  <c r="F45" i="8"/>
  <c r="E45" i="8"/>
  <c r="D45" i="8"/>
  <c r="L44" i="8"/>
  <c r="K44" i="8"/>
  <c r="G44" i="8"/>
  <c r="F44" i="8"/>
  <c r="E44" i="8"/>
  <c r="D44" i="8"/>
  <c r="L43" i="8"/>
  <c r="K43" i="8"/>
  <c r="G43" i="8"/>
  <c r="F43" i="8"/>
  <c r="E43" i="8"/>
  <c r="D43" i="8"/>
  <c r="L42" i="8"/>
  <c r="K42" i="8"/>
  <c r="G42" i="8"/>
  <c r="F42" i="8"/>
  <c r="E42" i="8"/>
  <c r="D42" i="8"/>
  <c r="L41" i="8"/>
  <c r="K41" i="8"/>
  <c r="G41" i="8"/>
  <c r="F41" i="8"/>
  <c r="E41" i="8"/>
  <c r="D41" i="8"/>
  <c r="L40" i="8"/>
  <c r="K40" i="8"/>
  <c r="G40" i="8"/>
  <c r="F40" i="8"/>
  <c r="E40" i="8"/>
  <c r="D40" i="8"/>
  <c r="L39" i="8"/>
  <c r="K39" i="8"/>
  <c r="G39" i="8"/>
  <c r="F39" i="8"/>
  <c r="E39" i="8"/>
  <c r="D39" i="8"/>
  <c r="L38" i="8"/>
  <c r="K38" i="8"/>
  <c r="G38" i="8"/>
  <c r="F38" i="8"/>
  <c r="E38" i="8"/>
  <c r="D38" i="8"/>
  <c r="L37" i="8"/>
  <c r="K37" i="8"/>
  <c r="G37" i="8"/>
  <c r="F37" i="8"/>
  <c r="E37" i="8"/>
  <c r="D37" i="8"/>
  <c r="L36" i="8"/>
  <c r="K36" i="8"/>
  <c r="G36" i="8"/>
  <c r="F36" i="8"/>
  <c r="E36" i="8"/>
  <c r="D36" i="8"/>
  <c r="L35" i="8"/>
  <c r="K35" i="8"/>
  <c r="G35" i="8"/>
  <c r="F35" i="8"/>
  <c r="E35" i="8"/>
  <c r="D35" i="8"/>
  <c r="L34" i="8"/>
  <c r="K34" i="8"/>
  <c r="G34" i="8"/>
  <c r="F34" i="8"/>
  <c r="E34" i="8"/>
  <c r="D34" i="8"/>
  <c r="L33" i="8"/>
  <c r="K33" i="8"/>
  <c r="G33" i="8"/>
  <c r="F33" i="8"/>
  <c r="E33" i="8"/>
  <c r="D33" i="8"/>
  <c r="L32" i="8"/>
  <c r="K32" i="8"/>
  <c r="G32" i="8"/>
  <c r="F32" i="8"/>
  <c r="E32" i="8"/>
  <c r="D32" i="8"/>
  <c r="L31" i="8"/>
  <c r="K31" i="8"/>
  <c r="G31" i="8"/>
  <c r="F31" i="8"/>
  <c r="E31" i="8"/>
  <c r="D31" i="8"/>
  <c r="L30" i="8"/>
  <c r="K30" i="8"/>
  <c r="G30" i="8"/>
  <c r="F30" i="8"/>
  <c r="E30" i="8"/>
  <c r="D30" i="8"/>
  <c r="L29" i="8"/>
  <c r="K29" i="8"/>
  <c r="G29" i="8"/>
  <c r="F29" i="8"/>
  <c r="E29" i="8"/>
  <c r="D29" i="8"/>
  <c r="L28" i="8"/>
  <c r="K28" i="8"/>
  <c r="G28" i="8"/>
  <c r="F28" i="8"/>
  <c r="E28" i="8"/>
  <c r="D28" i="8"/>
  <c r="L27" i="8"/>
  <c r="K27" i="8"/>
  <c r="G27" i="8"/>
  <c r="F27" i="8"/>
  <c r="E27" i="8"/>
  <c r="D27" i="8"/>
  <c r="L26" i="8"/>
  <c r="K26" i="8"/>
  <c r="G26" i="8"/>
  <c r="F26" i="8"/>
  <c r="E26" i="8"/>
  <c r="D26" i="8"/>
  <c r="L25" i="8"/>
  <c r="K25" i="8"/>
  <c r="G25" i="8"/>
  <c r="F25" i="8"/>
  <c r="E25" i="8"/>
  <c r="D25" i="8"/>
  <c r="L24" i="8"/>
  <c r="K24" i="8"/>
  <c r="G24" i="8"/>
  <c r="F24" i="8"/>
  <c r="E24" i="8"/>
  <c r="D24" i="8"/>
  <c r="L23" i="8"/>
  <c r="K23" i="8"/>
  <c r="G23" i="8"/>
  <c r="F23" i="8"/>
  <c r="E23" i="8"/>
  <c r="D23" i="8"/>
  <c r="L22" i="8"/>
  <c r="K22" i="8"/>
  <c r="G22" i="8"/>
  <c r="F22" i="8"/>
  <c r="E22" i="8"/>
  <c r="D22" i="8"/>
  <c r="L21" i="8"/>
  <c r="K21" i="8"/>
  <c r="G21" i="8"/>
  <c r="F21" i="8"/>
  <c r="E21" i="8"/>
  <c r="D21" i="8"/>
  <c r="L20" i="8"/>
  <c r="K20" i="8"/>
  <c r="G20" i="8"/>
  <c r="F20" i="8"/>
  <c r="E20" i="8"/>
  <c r="D20" i="8"/>
  <c r="L19" i="8"/>
  <c r="K19" i="8"/>
  <c r="G19" i="8"/>
  <c r="F19" i="8"/>
  <c r="E19" i="8"/>
  <c r="D19" i="8"/>
  <c r="L18" i="8"/>
  <c r="K18" i="8"/>
  <c r="G18" i="8"/>
  <c r="F18" i="8"/>
  <c r="E18" i="8"/>
  <c r="D18" i="8"/>
  <c r="L17" i="8"/>
  <c r="K17" i="8"/>
  <c r="G17" i="8"/>
  <c r="F17" i="8"/>
  <c r="E17" i="8"/>
  <c r="D17" i="8"/>
  <c r="L16" i="8"/>
  <c r="K16" i="8"/>
  <c r="G16" i="8"/>
  <c r="F16" i="8"/>
  <c r="E16" i="8"/>
  <c r="D16" i="8"/>
  <c r="L15" i="8"/>
  <c r="K15" i="8"/>
  <c r="G15" i="8"/>
  <c r="F15" i="8"/>
  <c r="E15" i="8"/>
  <c r="D15" i="8"/>
  <c r="L14" i="8"/>
  <c r="K14" i="8"/>
  <c r="G14" i="8"/>
  <c r="F14" i="8"/>
  <c r="E14" i="8"/>
  <c r="D14" i="8"/>
  <c r="L13" i="8"/>
  <c r="K13" i="8"/>
  <c r="G13" i="8"/>
  <c r="F13" i="8"/>
  <c r="E13" i="8"/>
  <c r="D13" i="8"/>
  <c r="L12" i="8"/>
  <c r="K12" i="8"/>
  <c r="G12" i="8"/>
  <c r="F12" i="8"/>
  <c r="E12" i="8"/>
  <c r="D12" i="8"/>
  <c r="L11" i="8"/>
  <c r="K11" i="8"/>
  <c r="G11" i="8"/>
  <c r="F11" i="8"/>
  <c r="E11" i="8"/>
  <c r="D11" i="8"/>
  <c r="L10" i="8"/>
  <c r="K10" i="8"/>
  <c r="G10" i="8"/>
  <c r="F10" i="8"/>
  <c r="E10" i="8"/>
  <c r="D10" i="8"/>
  <c r="L9" i="8"/>
  <c r="K9" i="8"/>
  <c r="G9" i="8"/>
  <c r="F9" i="8"/>
  <c r="E9" i="8"/>
  <c r="D9" i="8"/>
  <c r="L8" i="8"/>
  <c r="K8" i="8"/>
  <c r="G8" i="8"/>
  <c r="F8" i="8"/>
  <c r="E8" i="8"/>
  <c r="D8" i="8"/>
  <c r="L7" i="8"/>
  <c r="K7" i="8"/>
  <c r="G7" i="8"/>
  <c r="F7" i="8"/>
  <c r="E7" i="8"/>
  <c r="D7" i="8"/>
  <c r="L6" i="8"/>
  <c r="K6" i="8"/>
  <c r="G6" i="8"/>
  <c r="F6" i="8"/>
  <c r="E6" i="8"/>
  <c r="D6" i="8"/>
  <c r="L5" i="8"/>
  <c r="K5" i="8"/>
  <c r="G5" i="8"/>
  <c r="F5" i="8"/>
  <c r="E5" i="8"/>
  <c r="D5" i="8"/>
  <c r="L4" i="8"/>
  <c r="K4" i="8"/>
  <c r="G4" i="8"/>
  <c r="F4" i="8"/>
  <c r="E4" i="8"/>
  <c r="D4" i="8"/>
  <c r="L3" i="8"/>
  <c r="K3" i="8"/>
  <c r="G3" i="8"/>
  <c r="F3" i="8"/>
  <c r="E3" i="8"/>
  <c r="D3" i="8"/>
  <c r="K2" i="8"/>
  <c r="L2" i="8" s="1"/>
  <c r="G2" i="8"/>
  <c r="F2" i="8"/>
  <c r="E2" i="8"/>
  <c r="D2" i="8"/>
  <c r="M500" i="7"/>
  <c r="L500" i="7"/>
  <c r="H500" i="7"/>
  <c r="F500" i="7"/>
  <c r="E500" i="7"/>
  <c r="C500" i="7"/>
  <c r="M499" i="7"/>
  <c r="L499" i="7"/>
  <c r="H499" i="7"/>
  <c r="F499" i="7"/>
  <c r="E499" i="7"/>
  <c r="C499" i="7"/>
  <c r="M498" i="7"/>
  <c r="L498" i="7"/>
  <c r="H498" i="7"/>
  <c r="F498" i="7"/>
  <c r="E498" i="7"/>
  <c r="C498" i="7"/>
  <c r="M497" i="7"/>
  <c r="L497" i="7"/>
  <c r="H497" i="7"/>
  <c r="F497" i="7"/>
  <c r="E497" i="7"/>
  <c r="C497" i="7"/>
  <c r="M496" i="7"/>
  <c r="L496" i="7"/>
  <c r="H496" i="7"/>
  <c r="F496" i="7"/>
  <c r="E496" i="7"/>
  <c r="C496" i="7"/>
  <c r="M495" i="7"/>
  <c r="L495" i="7"/>
  <c r="H495" i="7"/>
  <c r="F495" i="7"/>
  <c r="E495" i="7"/>
  <c r="C495" i="7"/>
  <c r="M494" i="7"/>
  <c r="L494" i="7"/>
  <c r="H494" i="7"/>
  <c r="F494" i="7"/>
  <c r="E494" i="7"/>
  <c r="C494" i="7"/>
  <c r="M493" i="7"/>
  <c r="L493" i="7"/>
  <c r="H493" i="7"/>
  <c r="F493" i="7"/>
  <c r="E493" i="7"/>
  <c r="C493" i="7"/>
  <c r="M492" i="7"/>
  <c r="L492" i="7"/>
  <c r="H492" i="7"/>
  <c r="F492" i="7"/>
  <c r="E492" i="7"/>
  <c r="C492" i="7"/>
  <c r="M491" i="7"/>
  <c r="L491" i="7"/>
  <c r="H491" i="7"/>
  <c r="F491" i="7"/>
  <c r="E491" i="7"/>
  <c r="C491" i="7"/>
  <c r="M490" i="7"/>
  <c r="L490" i="7"/>
  <c r="H490" i="7"/>
  <c r="F490" i="7"/>
  <c r="E490" i="7"/>
  <c r="C490" i="7"/>
  <c r="M489" i="7"/>
  <c r="L489" i="7"/>
  <c r="H489" i="7"/>
  <c r="F489" i="7"/>
  <c r="E489" i="7"/>
  <c r="C489" i="7"/>
  <c r="M488" i="7"/>
  <c r="L488" i="7"/>
  <c r="H488" i="7"/>
  <c r="F488" i="7"/>
  <c r="E488" i="7"/>
  <c r="C488" i="7"/>
  <c r="M487" i="7"/>
  <c r="L487" i="7"/>
  <c r="H487" i="7"/>
  <c r="F487" i="7"/>
  <c r="E487" i="7"/>
  <c r="C487" i="7"/>
  <c r="M486" i="7"/>
  <c r="L486" i="7"/>
  <c r="H486" i="7"/>
  <c r="F486" i="7"/>
  <c r="E486" i="7"/>
  <c r="C486" i="7"/>
  <c r="M485" i="7"/>
  <c r="L485" i="7"/>
  <c r="H485" i="7"/>
  <c r="F485" i="7"/>
  <c r="E485" i="7"/>
  <c r="C485" i="7"/>
  <c r="M484" i="7"/>
  <c r="L484" i="7"/>
  <c r="H484" i="7"/>
  <c r="F484" i="7"/>
  <c r="E484" i="7"/>
  <c r="C484" i="7"/>
  <c r="M483" i="7"/>
  <c r="L483" i="7"/>
  <c r="H483" i="7"/>
  <c r="F483" i="7"/>
  <c r="E483" i="7"/>
  <c r="C483" i="7"/>
  <c r="M482" i="7"/>
  <c r="L482" i="7"/>
  <c r="H482" i="7"/>
  <c r="F482" i="7"/>
  <c r="E482" i="7"/>
  <c r="C482" i="7"/>
  <c r="M481" i="7"/>
  <c r="L481" i="7"/>
  <c r="H481" i="7"/>
  <c r="F481" i="7"/>
  <c r="E481" i="7"/>
  <c r="C481" i="7"/>
  <c r="M480" i="7"/>
  <c r="L480" i="7"/>
  <c r="H480" i="7"/>
  <c r="F480" i="7"/>
  <c r="E480" i="7"/>
  <c r="C480" i="7"/>
  <c r="M479" i="7"/>
  <c r="L479" i="7"/>
  <c r="H479" i="7"/>
  <c r="F479" i="7"/>
  <c r="E479" i="7"/>
  <c r="C479" i="7"/>
  <c r="M478" i="7"/>
  <c r="L478" i="7"/>
  <c r="H478" i="7"/>
  <c r="F478" i="7"/>
  <c r="E478" i="7"/>
  <c r="C478" i="7"/>
  <c r="M477" i="7"/>
  <c r="L477" i="7"/>
  <c r="H477" i="7"/>
  <c r="F477" i="7"/>
  <c r="E477" i="7"/>
  <c r="C477" i="7"/>
  <c r="M476" i="7"/>
  <c r="L476" i="7"/>
  <c r="H476" i="7"/>
  <c r="F476" i="7"/>
  <c r="E476" i="7"/>
  <c r="C476" i="7"/>
  <c r="M475" i="7"/>
  <c r="L475" i="7"/>
  <c r="H475" i="7"/>
  <c r="F475" i="7"/>
  <c r="E475" i="7"/>
  <c r="C475" i="7"/>
  <c r="M474" i="7"/>
  <c r="L474" i="7"/>
  <c r="H474" i="7"/>
  <c r="F474" i="7"/>
  <c r="E474" i="7"/>
  <c r="C474" i="7"/>
  <c r="M473" i="7"/>
  <c r="L473" i="7"/>
  <c r="H473" i="7"/>
  <c r="F473" i="7"/>
  <c r="E473" i="7"/>
  <c r="C473" i="7"/>
  <c r="M472" i="7"/>
  <c r="L472" i="7"/>
  <c r="H472" i="7"/>
  <c r="F472" i="7"/>
  <c r="E472" i="7"/>
  <c r="C472" i="7"/>
  <c r="M471" i="7"/>
  <c r="L471" i="7"/>
  <c r="H471" i="7"/>
  <c r="F471" i="7"/>
  <c r="E471" i="7"/>
  <c r="C471" i="7"/>
  <c r="M470" i="7"/>
  <c r="L470" i="7"/>
  <c r="H470" i="7"/>
  <c r="F470" i="7"/>
  <c r="E470" i="7"/>
  <c r="C470" i="7"/>
  <c r="M469" i="7"/>
  <c r="L469" i="7"/>
  <c r="H469" i="7"/>
  <c r="F469" i="7"/>
  <c r="E469" i="7"/>
  <c r="C469" i="7"/>
  <c r="M468" i="7"/>
  <c r="L468" i="7"/>
  <c r="H468" i="7"/>
  <c r="F468" i="7"/>
  <c r="E468" i="7"/>
  <c r="C468" i="7"/>
  <c r="M467" i="7"/>
  <c r="L467" i="7"/>
  <c r="H467" i="7"/>
  <c r="F467" i="7"/>
  <c r="E467" i="7"/>
  <c r="C467" i="7"/>
  <c r="M466" i="7"/>
  <c r="L466" i="7"/>
  <c r="H466" i="7"/>
  <c r="F466" i="7"/>
  <c r="E466" i="7"/>
  <c r="C466" i="7"/>
  <c r="M465" i="7"/>
  <c r="L465" i="7"/>
  <c r="H465" i="7"/>
  <c r="F465" i="7"/>
  <c r="E465" i="7"/>
  <c r="C465" i="7"/>
  <c r="M464" i="7"/>
  <c r="L464" i="7"/>
  <c r="H464" i="7"/>
  <c r="F464" i="7"/>
  <c r="E464" i="7"/>
  <c r="C464" i="7"/>
  <c r="M463" i="7"/>
  <c r="L463" i="7"/>
  <c r="H463" i="7"/>
  <c r="F463" i="7"/>
  <c r="E463" i="7"/>
  <c r="C463" i="7"/>
  <c r="M462" i="7"/>
  <c r="L462" i="7"/>
  <c r="H462" i="7"/>
  <c r="F462" i="7"/>
  <c r="E462" i="7"/>
  <c r="C462" i="7"/>
  <c r="M461" i="7"/>
  <c r="L461" i="7"/>
  <c r="H461" i="7"/>
  <c r="F461" i="7"/>
  <c r="E461" i="7"/>
  <c r="C461" i="7"/>
  <c r="M460" i="7"/>
  <c r="L460" i="7"/>
  <c r="H460" i="7"/>
  <c r="F460" i="7"/>
  <c r="E460" i="7"/>
  <c r="C460" i="7"/>
  <c r="M459" i="7"/>
  <c r="L459" i="7"/>
  <c r="H459" i="7"/>
  <c r="F459" i="7"/>
  <c r="E459" i="7"/>
  <c r="C459" i="7"/>
  <c r="M458" i="7"/>
  <c r="L458" i="7"/>
  <c r="H458" i="7"/>
  <c r="F458" i="7"/>
  <c r="E458" i="7"/>
  <c r="C458" i="7"/>
  <c r="M457" i="7"/>
  <c r="L457" i="7"/>
  <c r="H457" i="7"/>
  <c r="F457" i="7"/>
  <c r="E457" i="7"/>
  <c r="C457" i="7"/>
  <c r="M456" i="7"/>
  <c r="L456" i="7"/>
  <c r="H456" i="7"/>
  <c r="F456" i="7"/>
  <c r="E456" i="7"/>
  <c r="C456" i="7"/>
  <c r="M455" i="7"/>
  <c r="L455" i="7"/>
  <c r="H455" i="7"/>
  <c r="F455" i="7"/>
  <c r="E455" i="7"/>
  <c r="C455" i="7"/>
  <c r="M454" i="7"/>
  <c r="L454" i="7"/>
  <c r="H454" i="7"/>
  <c r="F454" i="7"/>
  <c r="E454" i="7"/>
  <c r="C454" i="7"/>
  <c r="M453" i="7"/>
  <c r="L453" i="7"/>
  <c r="H453" i="7"/>
  <c r="F453" i="7"/>
  <c r="E453" i="7"/>
  <c r="C453" i="7"/>
  <c r="M452" i="7"/>
  <c r="L452" i="7"/>
  <c r="H452" i="7"/>
  <c r="F452" i="7"/>
  <c r="E452" i="7"/>
  <c r="C452" i="7"/>
  <c r="M451" i="7"/>
  <c r="L451" i="7"/>
  <c r="H451" i="7"/>
  <c r="F451" i="7"/>
  <c r="E451" i="7"/>
  <c r="C451" i="7"/>
  <c r="M450" i="7"/>
  <c r="L450" i="7"/>
  <c r="H450" i="7"/>
  <c r="F450" i="7"/>
  <c r="E450" i="7"/>
  <c r="C450" i="7"/>
  <c r="M449" i="7"/>
  <c r="L449" i="7"/>
  <c r="H449" i="7"/>
  <c r="F449" i="7"/>
  <c r="E449" i="7"/>
  <c r="C449" i="7"/>
  <c r="M448" i="7"/>
  <c r="L448" i="7"/>
  <c r="H448" i="7"/>
  <c r="F448" i="7"/>
  <c r="E448" i="7"/>
  <c r="C448" i="7"/>
  <c r="M447" i="7"/>
  <c r="L447" i="7"/>
  <c r="H447" i="7"/>
  <c r="F447" i="7"/>
  <c r="E447" i="7"/>
  <c r="C447" i="7"/>
  <c r="M446" i="7"/>
  <c r="L446" i="7"/>
  <c r="H446" i="7"/>
  <c r="F446" i="7"/>
  <c r="E446" i="7"/>
  <c r="C446" i="7"/>
  <c r="M445" i="7"/>
  <c r="L445" i="7"/>
  <c r="H445" i="7"/>
  <c r="F445" i="7"/>
  <c r="E445" i="7"/>
  <c r="C445" i="7"/>
  <c r="M444" i="7"/>
  <c r="L444" i="7"/>
  <c r="H444" i="7"/>
  <c r="F444" i="7"/>
  <c r="E444" i="7"/>
  <c r="C444" i="7"/>
  <c r="M443" i="7"/>
  <c r="L443" i="7"/>
  <c r="H443" i="7"/>
  <c r="F443" i="7"/>
  <c r="E443" i="7"/>
  <c r="C443" i="7"/>
  <c r="M442" i="7"/>
  <c r="L442" i="7"/>
  <c r="H442" i="7"/>
  <c r="F442" i="7"/>
  <c r="E442" i="7"/>
  <c r="C442" i="7"/>
  <c r="M441" i="7"/>
  <c r="L441" i="7"/>
  <c r="H441" i="7"/>
  <c r="F441" i="7"/>
  <c r="E441" i="7"/>
  <c r="C441" i="7"/>
  <c r="M440" i="7"/>
  <c r="L440" i="7"/>
  <c r="H440" i="7"/>
  <c r="F440" i="7"/>
  <c r="E440" i="7"/>
  <c r="C440" i="7"/>
  <c r="M439" i="7"/>
  <c r="L439" i="7"/>
  <c r="H439" i="7"/>
  <c r="F439" i="7"/>
  <c r="E439" i="7"/>
  <c r="C439" i="7"/>
  <c r="M438" i="7"/>
  <c r="L438" i="7"/>
  <c r="H438" i="7"/>
  <c r="F438" i="7"/>
  <c r="E438" i="7"/>
  <c r="C438" i="7"/>
  <c r="M437" i="7"/>
  <c r="L437" i="7"/>
  <c r="H437" i="7"/>
  <c r="F437" i="7"/>
  <c r="E437" i="7"/>
  <c r="C437" i="7"/>
  <c r="M436" i="7"/>
  <c r="L436" i="7"/>
  <c r="H436" i="7"/>
  <c r="F436" i="7"/>
  <c r="E436" i="7"/>
  <c r="C436" i="7"/>
  <c r="M435" i="7"/>
  <c r="L435" i="7"/>
  <c r="H435" i="7"/>
  <c r="F435" i="7"/>
  <c r="E435" i="7"/>
  <c r="C435" i="7"/>
  <c r="M434" i="7"/>
  <c r="L434" i="7"/>
  <c r="H434" i="7"/>
  <c r="F434" i="7"/>
  <c r="E434" i="7"/>
  <c r="C434" i="7"/>
  <c r="M433" i="7"/>
  <c r="L433" i="7"/>
  <c r="H433" i="7"/>
  <c r="F433" i="7"/>
  <c r="E433" i="7"/>
  <c r="C433" i="7"/>
  <c r="M432" i="7"/>
  <c r="L432" i="7"/>
  <c r="H432" i="7"/>
  <c r="F432" i="7"/>
  <c r="E432" i="7"/>
  <c r="C432" i="7"/>
  <c r="M431" i="7"/>
  <c r="L431" i="7"/>
  <c r="H431" i="7"/>
  <c r="F431" i="7"/>
  <c r="E431" i="7"/>
  <c r="C431" i="7"/>
  <c r="M430" i="7"/>
  <c r="L430" i="7"/>
  <c r="H430" i="7"/>
  <c r="F430" i="7"/>
  <c r="E430" i="7"/>
  <c r="C430" i="7"/>
  <c r="M429" i="7"/>
  <c r="L429" i="7"/>
  <c r="H429" i="7"/>
  <c r="F429" i="7"/>
  <c r="E429" i="7"/>
  <c r="C429" i="7"/>
  <c r="M428" i="7"/>
  <c r="L428" i="7"/>
  <c r="H428" i="7"/>
  <c r="F428" i="7"/>
  <c r="E428" i="7"/>
  <c r="C428" i="7"/>
  <c r="M427" i="7"/>
  <c r="L427" i="7"/>
  <c r="H427" i="7"/>
  <c r="F427" i="7"/>
  <c r="E427" i="7"/>
  <c r="C427" i="7"/>
  <c r="M426" i="7"/>
  <c r="L426" i="7"/>
  <c r="H426" i="7"/>
  <c r="F426" i="7"/>
  <c r="E426" i="7"/>
  <c r="C426" i="7"/>
  <c r="M425" i="7"/>
  <c r="L425" i="7"/>
  <c r="H425" i="7"/>
  <c r="F425" i="7"/>
  <c r="E425" i="7"/>
  <c r="C425" i="7"/>
  <c r="M424" i="7"/>
  <c r="L424" i="7"/>
  <c r="H424" i="7"/>
  <c r="F424" i="7"/>
  <c r="E424" i="7"/>
  <c r="C424" i="7"/>
  <c r="M423" i="7"/>
  <c r="L423" i="7"/>
  <c r="H423" i="7"/>
  <c r="F423" i="7"/>
  <c r="E423" i="7"/>
  <c r="C423" i="7"/>
  <c r="M422" i="7"/>
  <c r="L422" i="7"/>
  <c r="H422" i="7"/>
  <c r="F422" i="7"/>
  <c r="E422" i="7"/>
  <c r="C422" i="7"/>
  <c r="M421" i="7"/>
  <c r="L421" i="7"/>
  <c r="H421" i="7"/>
  <c r="F421" i="7"/>
  <c r="E421" i="7"/>
  <c r="C421" i="7"/>
  <c r="M420" i="7"/>
  <c r="L420" i="7"/>
  <c r="H420" i="7"/>
  <c r="F420" i="7"/>
  <c r="E420" i="7"/>
  <c r="C420" i="7"/>
  <c r="M419" i="7"/>
  <c r="L419" i="7"/>
  <c r="H419" i="7"/>
  <c r="F419" i="7"/>
  <c r="E419" i="7"/>
  <c r="C419" i="7"/>
  <c r="M418" i="7"/>
  <c r="L418" i="7"/>
  <c r="H418" i="7"/>
  <c r="F418" i="7"/>
  <c r="E418" i="7"/>
  <c r="C418" i="7"/>
  <c r="M417" i="7"/>
  <c r="L417" i="7"/>
  <c r="H417" i="7"/>
  <c r="F417" i="7"/>
  <c r="E417" i="7"/>
  <c r="C417" i="7"/>
  <c r="M416" i="7"/>
  <c r="L416" i="7"/>
  <c r="H416" i="7"/>
  <c r="F416" i="7"/>
  <c r="E416" i="7"/>
  <c r="C416" i="7"/>
  <c r="M415" i="7"/>
  <c r="L415" i="7"/>
  <c r="H415" i="7"/>
  <c r="F415" i="7"/>
  <c r="E415" i="7"/>
  <c r="C415" i="7"/>
  <c r="M414" i="7"/>
  <c r="L414" i="7"/>
  <c r="H414" i="7"/>
  <c r="F414" i="7"/>
  <c r="E414" i="7"/>
  <c r="C414" i="7"/>
  <c r="M413" i="7"/>
  <c r="L413" i="7"/>
  <c r="H413" i="7"/>
  <c r="F413" i="7"/>
  <c r="E413" i="7"/>
  <c r="C413" i="7"/>
  <c r="M412" i="7"/>
  <c r="L412" i="7"/>
  <c r="H412" i="7"/>
  <c r="F412" i="7"/>
  <c r="E412" i="7"/>
  <c r="C412" i="7"/>
  <c r="M411" i="7"/>
  <c r="L411" i="7"/>
  <c r="H411" i="7"/>
  <c r="F411" i="7"/>
  <c r="E411" i="7"/>
  <c r="C411" i="7"/>
  <c r="M410" i="7"/>
  <c r="L410" i="7"/>
  <c r="H410" i="7"/>
  <c r="F410" i="7"/>
  <c r="E410" i="7"/>
  <c r="C410" i="7"/>
  <c r="M409" i="7"/>
  <c r="L409" i="7"/>
  <c r="H409" i="7"/>
  <c r="F409" i="7"/>
  <c r="E409" i="7"/>
  <c r="C409" i="7"/>
  <c r="M408" i="7"/>
  <c r="L408" i="7"/>
  <c r="H408" i="7"/>
  <c r="F408" i="7"/>
  <c r="E408" i="7"/>
  <c r="C408" i="7"/>
  <c r="M407" i="7"/>
  <c r="L407" i="7"/>
  <c r="H407" i="7"/>
  <c r="F407" i="7"/>
  <c r="E407" i="7"/>
  <c r="C407" i="7"/>
  <c r="M406" i="7"/>
  <c r="L406" i="7"/>
  <c r="H406" i="7"/>
  <c r="F406" i="7"/>
  <c r="E406" i="7"/>
  <c r="C406" i="7"/>
  <c r="M405" i="7"/>
  <c r="L405" i="7"/>
  <c r="H405" i="7"/>
  <c r="F405" i="7"/>
  <c r="E405" i="7"/>
  <c r="C405" i="7"/>
  <c r="M404" i="7"/>
  <c r="L404" i="7"/>
  <c r="H404" i="7"/>
  <c r="F404" i="7"/>
  <c r="E404" i="7"/>
  <c r="C404" i="7"/>
  <c r="M403" i="7"/>
  <c r="L403" i="7"/>
  <c r="H403" i="7"/>
  <c r="F403" i="7"/>
  <c r="E403" i="7"/>
  <c r="C403" i="7"/>
  <c r="M402" i="7"/>
  <c r="L402" i="7"/>
  <c r="H402" i="7"/>
  <c r="F402" i="7"/>
  <c r="E402" i="7"/>
  <c r="C402" i="7"/>
  <c r="M401" i="7"/>
  <c r="L401" i="7"/>
  <c r="H401" i="7"/>
  <c r="F401" i="7"/>
  <c r="E401" i="7"/>
  <c r="C401" i="7"/>
  <c r="M400" i="7"/>
  <c r="L400" i="7"/>
  <c r="H400" i="7"/>
  <c r="F400" i="7"/>
  <c r="E400" i="7"/>
  <c r="C400" i="7"/>
  <c r="M399" i="7"/>
  <c r="L399" i="7"/>
  <c r="H399" i="7"/>
  <c r="F399" i="7"/>
  <c r="E399" i="7"/>
  <c r="C399" i="7"/>
  <c r="M398" i="7"/>
  <c r="L398" i="7"/>
  <c r="H398" i="7"/>
  <c r="F398" i="7"/>
  <c r="E398" i="7"/>
  <c r="C398" i="7"/>
  <c r="M397" i="7"/>
  <c r="L397" i="7"/>
  <c r="H397" i="7"/>
  <c r="F397" i="7"/>
  <c r="E397" i="7"/>
  <c r="C397" i="7"/>
  <c r="M396" i="7"/>
  <c r="L396" i="7"/>
  <c r="H396" i="7"/>
  <c r="F396" i="7"/>
  <c r="E396" i="7"/>
  <c r="C396" i="7"/>
  <c r="M395" i="7"/>
  <c r="L395" i="7"/>
  <c r="H395" i="7"/>
  <c r="F395" i="7"/>
  <c r="E395" i="7"/>
  <c r="C395" i="7"/>
  <c r="M394" i="7"/>
  <c r="L394" i="7"/>
  <c r="H394" i="7"/>
  <c r="F394" i="7"/>
  <c r="E394" i="7"/>
  <c r="C394" i="7"/>
  <c r="M393" i="7"/>
  <c r="L393" i="7"/>
  <c r="H393" i="7"/>
  <c r="F393" i="7"/>
  <c r="E393" i="7"/>
  <c r="C393" i="7"/>
  <c r="M392" i="7"/>
  <c r="L392" i="7"/>
  <c r="H392" i="7"/>
  <c r="F392" i="7"/>
  <c r="E392" i="7"/>
  <c r="C392" i="7"/>
  <c r="M391" i="7"/>
  <c r="L391" i="7"/>
  <c r="H391" i="7"/>
  <c r="F391" i="7"/>
  <c r="E391" i="7"/>
  <c r="C391" i="7"/>
  <c r="M390" i="7"/>
  <c r="L390" i="7"/>
  <c r="H390" i="7"/>
  <c r="F390" i="7"/>
  <c r="E390" i="7"/>
  <c r="C390" i="7"/>
  <c r="M389" i="7"/>
  <c r="L389" i="7"/>
  <c r="H389" i="7"/>
  <c r="F389" i="7"/>
  <c r="E389" i="7"/>
  <c r="C389" i="7"/>
  <c r="M388" i="7"/>
  <c r="L388" i="7"/>
  <c r="H388" i="7"/>
  <c r="F388" i="7"/>
  <c r="E388" i="7"/>
  <c r="C388" i="7"/>
  <c r="M387" i="7"/>
  <c r="L387" i="7"/>
  <c r="H387" i="7"/>
  <c r="F387" i="7"/>
  <c r="E387" i="7"/>
  <c r="C387" i="7"/>
  <c r="M386" i="7"/>
  <c r="L386" i="7"/>
  <c r="H386" i="7"/>
  <c r="F386" i="7"/>
  <c r="E386" i="7"/>
  <c r="C386" i="7"/>
  <c r="M385" i="7"/>
  <c r="L385" i="7"/>
  <c r="H385" i="7"/>
  <c r="F385" i="7"/>
  <c r="E385" i="7"/>
  <c r="C385" i="7"/>
  <c r="M384" i="7"/>
  <c r="L384" i="7"/>
  <c r="H384" i="7"/>
  <c r="F384" i="7"/>
  <c r="E384" i="7"/>
  <c r="C384" i="7"/>
  <c r="M383" i="7"/>
  <c r="L383" i="7"/>
  <c r="H383" i="7"/>
  <c r="F383" i="7"/>
  <c r="E383" i="7"/>
  <c r="C383" i="7"/>
  <c r="M382" i="7"/>
  <c r="L382" i="7"/>
  <c r="H382" i="7"/>
  <c r="F382" i="7"/>
  <c r="E382" i="7"/>
  <c r="C382" i="7"/>
  <c r="M381" i="7"/>
  <c r="L381" i="7"/>
  <c r="H381" i="7"/>
  <c r="F381" i="7"/>
  <c r="E381" i="7"/>
  <c r="C381" i="7"/>
  <c r="M380" i="7"/>
  <c r="L380" i="7"/>
  <c r="H380" i="7"/>
  <c r="F380" i="7"/>
  <c r="E380" i="7"/>
  <c r="C380" i="7"/>
  <c r="M379" i="7"/>
  <c r="L379" i="7"/>
  <c r="H379" i="7"/>
  <c r="F379" i="7"/>
  <c r="E379" i="7"/>
  <c r="C379" i="7"/>
  <c r="M378" i="7"/>
  <c r="L378" i="7"/>
  <c r="H378" i="7"/>
  <c r="F378" i="7"/>
  <c r="E378" i="7"/>
  <c r="C378" i="7"/>
  <c r="M377" i="7"/>
  <c r="L377" i="7"/>
  <c r="H377" i="7"/>
  <c r="F377" i="7"/>
  <c r="E377" i="7"/>
  <c r="C377" i="7"/>
  <c r="M376" i="7"/>
  <c r="L376" i="7"/>
  <c r="H376" i="7"/>
  <c r="F376" i="7"/>
  <c r="E376" i="7"/>
  <c r="C376" i="7"/>
  <c r="M375" i="7"/>
  <c r="L375" i="7"/>
  <c r="H375" i="7"/>
  <c r="F375" i="7"/>
  <c r="E375" i="7"/>
  <c r="C375" i="7"/>
  <c r="M374" i="7"/>
  <c r="L374" i="7"/>
  <c r="H374" i="7"/>
  <c r="F374" i="7"/>
  <c r="E374" i="7"/>
  <c r="C374" i="7"/>
  <c r="M373" i="7"/>
  <c r="L373" i="7"/>
  <c r="H373" i="7"/>
  <c r="F373" i="7"/>
  <c r="E373" i="7"/>
  <c r="C373" i="7"/>
  <c r="M372" i="7"/>
  <c r="L372" i="7"/>
  <c r="H372" i="7"/>
  <c r="F372" i="7"/>
  <c r="E372" i="7"/>
  <c r="C372" i="7"/>
  <c r="M371" i="7"/>
  <c r="L371" i="7"/>
  <c r="H371" i="7"/>
  <c r="F371" i="7"/>
  <c r="E371" i="7"/>
  <c r="C371" i="7"/>
  <c r="M370" i="7"/>
  <c r="L370" i="7"/>
  <c r="H370" i="7"/>
  <c r="F370" i="7"/>
  <c r="E370" i="7"/>
  <c r="C370" i="7"/>
  <c r="M369" i="7"/>
  <c r="L369" i="7"/>
  <c r="H369" i="7"/>
  <c r="F369" i="7"/>
  <c r="E369" i="7"/>
  <c r="C369" i="7"/>
  <c r="M368" i="7"/>
  <c r="L368" i="7"/>
  <c r="H368" i="7"/>
  <c r="F368" i="7"/>
  <c r="E368" i="7"/>
  <c r="C368" i="7"/>
  <c r="M367" i="7"/>
  <c r="L367" i="7"/>
  <c r="H367" i="7"/>
  <c r="F367" i="7"/>
  <c r="E367" i="7"/>
  <c r="C367" i="7"/>
  <c r="M366" i="7"/>
  <c r="L366" i="7"/>
  <c r="H366" i="7"/>
  <c r="F366" i="7"/>
  <c r="E366" i="7"/>
  <c r="C366" i="7"/>
  <c r="M365" i="7"/>
  <c r="L365" i="7"/>
  <c r="H365" i="7"/>
  <c r="F365" i="7"/>
  <c r="E365" i="7"/>
  <c r="C365" i="7"/>
  <c r="M364" i="7"/>
  <c r="L364" i="7"/>
  <c r="H364" i="7"/>
  <c r="F364" i="7"/>
  <c r="E364" i="7"/>
  <c r="C364" i="7"/>
  <c r="M363" i="7"/>
  <c r="L363" i="7"/>
  <c r="H363" i="7"/>
  <c r="F363" i="7"/>
  <c r="E363" i="7"/>
  <c r="C363" i="7"/>
  <c r="M362" i="7"/>
  <c r="L362" i="7"/>
  <c r="H362" i="7"/>
  <c r="F362" i="7"/>
  <c r="E362" i="7"/>
  <c r="C362" i="7"/>
  <c r="M361" i="7"/>
  <c r="L361" i="7"/>
  <c r="H361" i="7"/>
  <c r="F361" i="7"/>
  <c r="E361" i="7"/>
  <c r="C361" i="7"/>
  <c r="M360" i="7"/>
  <c r="L360" i="7"/>
  <c r="H360" i="7"/>
  <c r="F360" i="7"/>
  <c r="E360" i="7"/>
  <c r="C360" i="7"/>
  <c r="M359" i="7"/>
  <c r="L359" i="7"/>
  <c r="H359" i="7"/>
  <c r="F359" i="7"/>
  <c r="E359" i="7"/>
  <c r="C359" i="7"/>
  <c r="M358" i="7"/>
  <c r="L358" i="7"/>
  <c r="H358" i="7"/>
  <c r="F358" i="7"/>
  <c r="E358" i="7"/>
  <c r="C358" i="7"/>
  <c r="M357" i="7"/>
  <c r="L357" i="7"/>
  <c r="H357" i="7"/>
  <c r="F357" i="7"/>
  <c r="E357" i="7"/>
  <c r="C357" i="7"/>
  <c r="M356" i="7"/>
  <c r="L356" i="7"/>
  <c r="H356" i="7"/>
  <c r="F356" i="7"/>
  <c r="E356" i="7"/>
  <c r="C356" i="7"/>
  <c r="M355" i="7"/>
  <c r="L355" i="7"/>
  <c r="H355" i="7"/>
  <c r="F355" i="7"/>
  <c r="E355" i="7"/>
  <c r="C355" i="7"/>
  <c r="M354" i="7"/>
  <c r="L354" i="7"/>
  <c r="H354" i="7"/>
  <c r="F354" i="7"/>
  <c r="E354" i="7"/>
  <c r="C354" i="7"/>
  <c r="M353" i="7"/>
  <c r="L353" i="7"/>
  <c r="H353" i="7"/>
  <c r="F353" i="7"/>
  <c r="E353" i="7"/>
  <c r="C353" i="7"/>
  <c r="M352" i="7"/>
  <c r="L352" i="7"/>
  <c r="H352" i="7"/>
  <c r="F352" i="7"/>
  <c r="E352" i="7"/>
  <c r="C352" i="7"/>
  <c r="M351" i="7"/>
  <c r="L351" i="7"/>
  <c r="H351" i="7"/>
  <c r="F351" i="7"/>
  <c r="E351" i="7"/>
  <c r="C351" i="7"/>
  <c r="M350" i="7"/>
  <c r="L350" i="7"/>
  <c r="H350" i="7"/>
  <c r="F350" i="7"/>
  <c r="E350" i="7"/>
  <c r="C350" i="7"/>
  <c r="M349" i="7"/>
  <c r="L349" i="7"/>
  <c r="H349" i="7"/>
  <c r="F349" i="7"/>
  <c r="E349" i="7"/>
  <c r="C349" i="7"/>
  <c r="M348" i="7"/>
  <c r="L348" i="7"/>
  <c r="H348" i="7"/>
  <c r="F348" i="7"/>
  <c r="E348" i="7"/>
  <c r="C348" i="7"/>
  <c r="M347" i="7"/>
  <c r="L347" i="7"/>
  <c r="H347" i="7"/>
  <c r="F347" i="7"/>
  <c r="E347" i="7"/>
  <c r="C347" i="7"/>
  <c r="M346" i="7"/>
  <c r="L346" i="7"/>
  <c r="H346" i="7"/>
  <c r="F346" i="7"/>
  <c r="E346" i="7"/>
  <c r="C346" i="7"/>
  <c r="M345" i="7"/>
  <c r="L345" i="7"/>
  <c r="H345" i="7"/>
  <c r="F345" i="7"/>
  <c r="E345" i="7"/>
  <c r="C345" i="7"/>
  <c r="M344" i="7"/>
  <c r="L344" i="7"/>
  <c r="H344" i="7"/>
  <c r="F344" i="7"/>
  <c r="E344" i="7"/>
  <c r="C344" i="7"/>
  <c r="M343" i="7"/>
  <c r="L343" i="7"/>
  <c r="H343" i="7"/>
  <c r="F343" i="7"/>
  <c r="E343" i="7"/>
  <c r="C343" i="7"/>
  <c r="M342" i="7"/>
  <c r="L342" i="7"/>
  <c r="H342" i="7"/>
  <c r="F342" i="7"/>
  <c r="E342" i="7"/>
  <c r="C342" i="7"/>
  <c r="M341" i="7"/>
  <c r="L341" i="7"/>
  <c r="H341" i="7"/>
  <c r="F341" i="7"/>
  <c r="E341" i="7"/>
  <c r="C341" i="7"/>
  <c r="M340" i="7"/>
  <c r="L340" i="7"/>
  <c r="H340" i="7"/>
  <c r="F340" i="7"/>
  <c r="E340" i="7"/>
  <c r="C340" i="7"/>
  <c r="M339" i="7"/>
  <c r="L339" i="7"/>
  <c r="H339" i="7"/>
  <c r="F339" i="7"/>
  <c r="E339" i="7"/>
  <c r="C339" i="7"/>
  <c r="M338" i="7"/>
  <c r="L338" i="7"/>
  <c r="H338" i="7"/>
  <c r="F338" i="7"/>
  <c r="E338" i="7"/>
  <c r="C338" i="7"/>
  <c r="M337" i="7"/>
  <c r="L337" i="7"/>
  <c r="H337" i="7"/>
  <c r="F337" i="7"/>
  <c r="E337" i="7"/>
  <c r="C337" i="7"/>
  <c r="M336" i="7"/>
  <c r="L336" i="7"/>
  <c r="H336" i="7"/>
  <c r="F336" i="7"/>
  <c r="E336" i="7"/>
  <c r="C336" i="7"/>
  <c r="M335" i="7"/>
  <c r="L335" i="7"/>
  <c r="H335" i="7"/>
  <c r="F335" i="7"/>
  <c r="E335" i="7"/>
  <c r="C335" i="7"/>
  <c r="M334" i="7"/>
  <c r="L334" i="7"/>
  <c r="H334" i="7"/>
  <c r="F334" i="7"/>
  <c r="E334" i="7"/>
  <c r="C334" i="7"/>
  <c r="M333" i="7"/>
  <c r="L333" i="7"/>
  <c r="H333" i="7"/>
  <c r="F333" i="7"/>
  <c r="E333" i="7"/>
  <c r="C333" i="7"/>
  <c r="M332" i="7"/>
  <c r="L332" i="7"/>
  <c r="H332" i="7"/>
  <c r="F332" i="7"/>
  <c r="E332" i="7"/>
  <c r="C332" i="7"/>
  <c r="M331" i="7"/>
  <c r="L331" i="7"/>
  <c r="H331" i="7"/>
  <c r="F331" i="7"/>
  <c r="E331" i="7"/>
  <c r="C331" i="7"/>
  <c r="M330" i="7"/>
  <c r="L330" i="7"/>
  <c r="H330" i="7"/>
  <c r="F330" i="7"/>
  <c r="E330" i="7"/>
  <c r="C330" i="7"/>
  <c r="M329" i="7"/>
  <c r="L329" i="7"/>
  <c r="H329" i="7"/>
  <c r="F329" i="7"/>
  <c r="E329" i="7"/>
  <c r="C329" i="7"/>
  <c r="M328" i="7"/>
  <c r="L328" i="7"/>
  <c r="H328" i="7"/>
  <c r="F328" i="7"/>
  <c r="E328" i="7"/>
  <c r="C328" i="7"/>
  <c r="M327" i="7"/>
  <c r="L327" i="7"/>
  <c r="H327" i="7"/>
  <c r="F327" i="7"/>
  <c r="E327" i="7"/>
  <c r="C327" i="7"/>
  <c r="M326" i="7"/>
  <c r="L326" i="7"/>
  <c r="H326" i="7"/>
  <c r="F326" i="7"/>
  <c r="E326" i="7"/>
  <c r="C326" i="7"/>
  <c r="M325" i="7"/>
  <c r="L325" i="7"/>
  <c r="H325" i="7"/>
  <c r="F325" i="7"/>
  <c r="E325" i="7"/>
  <c r="C325" i="7"/>
  <c r="M324" i="7"/>
  <c r="L324" i="7"/>
  <c r="H324" i="7"/>
  <c r="F324" i="7"/>
  <c r="E324" i="7"/>
  <c r="C324" i="7"/>
  <c r="M323" i="7"/>
  <c r="L323" i="7"/>
  <c r="H323" i="7"/>
  <c r="F323" i="7"/>
  <c r="E323" i="7"/>
  <c r="C323" i="7"/>
  <c r="M322" i="7"/>
  <c r="L322" i="7"/>
  <c r="H322" i="7"/>
  <c r="F322" i="7"/>
  <c r="E322" i="7"/>
  <c r="C322" i="7"/>
  <c r="M321" i="7"/>
  <c r="L321" i="7"/>
  <c r="H321" i="7"/>
  <c r="F321" i="7"/>
  <c r="E321" i="7"/>
  <c r="C321" i="7"/>
  <c r="M320" i="7"/>
  <c r="L320" i="7"/>
  <c r="H320" i="7"/>
  <c r="F320" i="7"/>
  <c r="E320" i="7"/>
  <c r="C320" i="7"/>
  <c r="M319" i="7"/>
  <c r="L319" i="7"/>
  <c r="H319" i="7"/>
  <c r="F319" i="7"/>
  <c r="E319" i="7"/>
  <c r="C319" i="7"/>
  <c r="M318" i="7"/>
  <c r="L318" i="7"/>
  <c r="H318" i="7"/>
  <c r="F318" i="7"/>
  <c r="E318" i="7"/>
  <c r="C318" i="7"/>
  <c r="M317" i="7"/>
  <c r="L317" i="7"/>
  <c r="H317" i="7"/>
  <c r="F317" i="7"/>
  <c r="E317" i="7"/>
  <c r="C317" i="7"/>
  <c r="M316" i="7"/>
  <c r="L316" i="7"/>
  <c r="H316" i="7"/>
  <c r="F316" i="7"/>
  <c r="E316" i="7"/>
  <c r="C316" i="7"/>
  <c r="M315" i="7"/>
  <c r="L315" i="7"/>
  <c r="H315" i="7"/>
  <c r="F315" i="7"/>
  <c r="E315" i="7"/>
  <c r="C315" i="7"/>
  <c r="M314" i="7"/>
  <c r="L314" i="7"/>
  <c r="H314" i="7"/>
  <c r="F314" i="7"/>
  <c r="E314" i="7"/>
  <c r="C314" i="7"/>
  <c r="M313" i="7"/>
  <c r="L313" i="7"/>
  <c r="H313" i="7"/>
  <c r="F313" i="7"/>
  <c r="E313" i="7"/>
  <c r="C313" i="7"/>
  <c r="M312" i="7"/>
  <c r="L312" i="7"/>
  <c r="H312" i="7"/>
  <c r="F312" i="7"/>
  <c r="E312" i="7"/>
  <c r="C312" i="7"/>
  <c r="M311" i="7"/>
  <c r="L311" i="7"/>
  <c r="H311" i="7"/>
  <c r="F311" i="7"/>
  <c r="E311" i="7"/>
  <c r="C311" i="7"/>
  <c r="M310" i="7"/>
  <c r="L310" i="7"/>
  <c r="H310" i="7"/>
  <c r="F310" i="7"/>
  <c r="E310" i="7"/>
  <c r="C310" i="7"/>
  <c r="M309" i="7"/>
  <c r="L309" i="7"/>
  <c r="H309" i="7"/>
  <c r="F309" i="7"/>
  <c r="E309" i="7"/>
  <c r="C309" i="7"/>
  <c r="M308" i="7"/>
  <c r="L308" i="7"/>
  <c r="H308" i="7"/>
  <c r="F308" i="7"/>
  <c r="E308" i="7"/>
  <c r="C308" i="7"/>
  <c r="M307" i="7"/>
  <c r="L307" i="7"/>
  <c r="H307" i="7"/>
  <c r="F307" i="7"/>
  <c r="E307" i="7"/>
  <c r="C307" i="7"/>
  <c r="M306" i="7"/>
  <c r="L306" i="7"/>
  <c r="H306" i="7"/>
  <c r="F306" i="7"/>
  <c r="E306" i="7"/>
  <c r="C306" i="7"/>
  <c r="M305" i="7"/>
  <c r="L305" i="7"/>
  <c r="H305" i="7"/>
  <c r="F305" i="7"/>
  <c r="E305" i="7"/>
  <c r="C305" i="7"/>
  <c r="M304" i="7"/>
  <c r="L304" i="7"/>
  <c r="H304" i="7"/>
  <c r="F304" i="7"/>
  <c r="E304" i="7"/>
  <c r="C304" i="7"/>
  <c r="M303" i="7"/>
  <c r="L303" i="7"/>
  <c r="H303" i="7"/>
  <c r="F303" i="7"/>
  <c r="E303" i="7"/>
  <c r="C303" i="7"/>
  <c r="M302" i="7"/>
  <c r="L302" i="7"/>
  <c r="H302" i="7"/>
  <c r="F302" i="7"/>
  <c r="E302" i="7"/>
  <c r="C302" i="7"/>
  <c r="M301" i="7"/>
  <c r="L301" i="7"/>
  <c r="H301" i="7"/>
  <c r="F301" i="7"/>
  <c r="E301" i="7"/>
  <c r="C301" i="7"/>
  <c r="M300" i="7"/>
  <c r="L300" i="7"/>
  <c r="H300" i="7"/>
  <c r="F300" i="7"/>
  <c r="E300" i="7"/>
  <c r="C300" i="7"/>
  <c r="M299" i="7"/>
  <c r="L299" i="7"/>
  <c r="H299" i="7"/>
  <c r="F299" i="7"/>
  <c r="E299" i="7"/>
  <c r="C299" i="7"/>
  <c r="M298" i="7"/>
  <c r="L298" i="7"/>
  <c r="H298" i="7"/>
  <c r="F298" i="7"/>
  <c r="E298" i="7"/>
  <c r="C298" i="7"/>
  <c r="M297" i="7"/>
  <c r="L297" i="7"/>
  <c r="H297" i="7"/>
  <c r="F297" i="7"/>
  <c r="E297" i="7"/>
  <c r="C297" i="7"/>
  <c r="M296" i="7"/>
  <c r="L296" i="7"/>
  <c r="H296" i="7"/>
  <c r="F296" i="7"/>
  <c r="E296" i="7"/>
  <c r="C296" i="7"/>
  <c r="M295" i="7"/>
  <c r="L295" i="7"/>
  <c r="H295" i="7"/>
  <c r="F295" i="7"/>
  <c r="E295" i="7"/>
  <c r="C295" i="7"/>
  <c r="M294" i="7"/>
  <c r="L294" i="7"/>
  <c r="H294" i="7"/>
  <c r="F294" i="7"/>
  <c r="E294" i="7"/>
  <c r="C294" i="7"/>
  <c r="M293" i="7"/>
  <c r="L293" i="7"/>
  <c r="H293" i="7"/>
  <c r="F293" i="7"/>
  <c r="E293" i="7"/>
  <c r="C293" i="7"/>
  <c r="M292" i="7"/>
  <c r="L292" i="7"/>
  <c r="H292" i="7"/>
  <c r="F292" i="7"/>
  <c r="E292" i="7"/>
  <c r="C292" i="7"/>
  <c r="M291" i="7"/>
  <c r="L291" i="7"/>
  <c r="H291" i="7"/>
  <c r="F291" i="7"/>
  <c r="E291" i="7"/>
  <c r="C291" i="7"/>
  <c r="M290" i="7"/>
  <c r="L290" i="7"/>
  <c r="H290" i="7"/>
  <c r="F290" i="7"/>
  <c r="E290" i="7"/>
  <c r="C290" i="7"/>
  <c r="M289" i="7"/>
  <c r="L289" i="7"/>
  <c r="H289" i="7"/>
  <c r="F289" i="7"/>
  <c r="E289" i="7"/>
  <c r="C289" i="7"/>
  <c r="M288" i="7"/>
  <c r="L288" i="7"/>
  <c r="H288" i="7"/>
  <c r="F288" i="7"/>
  <c r="E288" i="7"/>
  <c r="C288" i="7"/>
  <c r="M287" i="7"/>
  <c r="L287" i="7"/>
  <c r="H287" i="7"/>
  <c r="F287" i="7"/>
  <c r="E287" i="7"/>
  <c r="C287" i="7"/>
  <c r="M286" i="7"/>
  <c r="L286" i="7"/>
  <c r="H286" i="7"/>
  <c r="F286" i="7"/>
  <c r="E286" i="7"/>
  <c r="C286" i="7"/>
  <c r="M285" i="7"/>
  <c r="L285" i="7"/>
  <c r="H285" i="7"/>
  <c r="F285" i="7"/>
  <c r="E285" i="7"/>
  <c r="C285" i="7"/>
  <c r="M284" i="7"/>
  <c r="L284" i="7"/>
  <c r="H284" i="7"/>
  <c r="F284" i="7"/>
  <c r="E284" i="7"/>
  <c r="C284" i="7"/>
  <c r="M283" i="7"/>
  <c r="L283" i="7"/>
  <c r="H283" i="7"/>
  <c r="F283" i="7"/>
  <c r="E283" i="7"/>
  <c r="C283" i="7"/>
  <c r="M282" i="7"/>
  <c r="L282" i="7"/>
  <c r="H282" i="7"/>
  <c r="F282" i="7"/>
  <c r="E282" i="7"/>
  <c r="C282" i="7"/>
  <c r="M281" i="7"/>
  <c r="L281" i="7"/>
  <c r="H281" i="7"/>
  <c r="F281" i="7"/>
  <c r="E281" i="7"/>
  <c r="C281" i="7"/>
  <c r="M280" i="7"/>
  <c r="L280" i="7"/>
  <c r="H280" i="7"/>
  <c r="F280" i="7"/>
  <c r="E280" i="7"/>
  <c r="C280" i="7"/>
  <c r="M279" i="7"/>
  <c r="L279" i="7"/>
  <c r="H279" i="7"/>
  <c r="F279" i="7"/>
  <c r="E279" i="7"/>
  <c r="C279" i="7"/>
  <c r="M278" i="7"/>
  <c r="L278" i="7"/>
  <c r="H278" i="7"/>
  <c r="F278" i="7"/>
  <c r="E278" i="7"/>
  <c r="C278" i="7"/>
  <c r="M277" i="7"/>
  <c r="L277" i="7"/>
  <c r="H277" i="7"/>
  <c r="F277" i="7"/>
  <c r="E277" i="7"/>
  <c r="C277" i="7"/>
  <c r="M276" i="7"/>
  <c r="L276" i="7"/>
  <c r="H276" i="7"/>
  <c r="F276" i="7"/>
  <c r="E276" i="7"/>
  <c r="C276" i="7"/>
  <c r="M275" i="7"/>
  <c r="L275" i="7"/>
  <c r="H275" i="7"/>
  <c r="F275" i="7"/>
  <c r="E275" i="7"/>
  <c r="C275" i="7"/>
  <c r="M274" i="7"/>
  <c r="L274" i="7"/>
  <c r="H274" i="7"/>
  <c r="F274" i="7"/>
  <c r="E274" i="7"/>
  <c r="C274" i="7"/>
  <c r="M273" i="7"/>
  <c r="L273" i="7"/>
  <c r="H273" i="7"/>
  <c r="F273" i="7"/>
  <c r="E273" i="7"/>
  <c r="C273" i="7"/>
  <c r="M272" i="7"/>
  <c r="L272" i="7"/>
  <c r="H272" i="7"/>
  <c r="F272" i="7"/>
  <c r="E272" i="7"/>
  <c r="C272" i="7"/>
  <c r="M271" i="7"/>
  <c r="L271" i="7"/>
  <c r="H271" i="7"/>
  <c r="F271" i="7"/>
  <c r="E271" i="7"/>
  <c r="C271" i="7"/>
  <c r="M270" i="7"/>
  <c r="L270" i="7"/>
  <c r="H270" i="7"/>
  <c r="F270" i="7"/>
  <c r="E270" i="7"/>
  <c r="C270" i="7"/>
  <c r="M269" i="7"/>
  <c r="L269" i="7"/>
  <c r="H269" i="7"/>
  <c r="F269" i="7"/>
  <c r="E269" i="7"/>
  <c r="C269" i="7"/>
  <c r="M268" i="7"/>
  <c r="L268" i="7"/>
  <c r="H268" i="7"/>
  <c r="F268" i="7"/>
  <c r="E268" i="7"/>
  <c r="C268" i="7"/>
  <c r="M267" i="7"/>
  <c r="L267" i="7"/>
  <c r="H267" i="7"/>
  <c r="F267" i="7"/>
  <c r="E267" i="7"/>
  <c r="C267" i="7"/>
  <c r="M266" i="7"/>
  <c r="L266" i="7"/>
  <c r="H266" i="7"/>
  <c r="F266" i="7"/>
  <c r="E266" i="7"/>
  <c r="C266" i="7"/>
  <c r="M265" i="7"/>
  <c r="L265" i="7"/>
  <c r="H265" i="7"/>
  <c r="F265" i="7"/>
  <c r="E265" i="7"/>
  <c r="C265" i="7"/>
  <c r="M264" i="7"/>
  <c r="L264" i="7"/>
  <c r="H264" i="7"/>
  <c r="F264" i="7"/>
  <c r="E264" i="7"/>
  <c r="C264" i="7"/>
  <c r="M263" i="7"/>
  <c r="L263" i="7"/>
  <c r="H263" i="7"/>
  <c r="F263" i="7"/>
  <c r="E263" i="7"/>
  <c r="C263" i="7"/>
  <c r="M262" i="7"/>
  <c r="L262" i="7"/>
  <c r="H262" i="7"/>
  <c r="F262" i="7"/>
  <c r="E262" i="7"/>
  <c r="C262" i="7"/>
  <c r="M261" i="7"/>
  <c r="L261" i="7"/>
  <c r="H261" i="7"/>
  <c r="F261" i="7"/>
  <c r="E261" i="7"/>
  <c r="C261" i="7"/>
  <c r="M260" i="7"/>
  <c r="L260" i="7"/>
  <c r="H260" i="7"/>
  <c r="F260" i="7"/>
  <c r="E260" i="7"/>
  <c r="C260" i="7"/>
  <c r="M259" i="7"/>
  <c r="L259" i="7"/>
  <c r="H259" i="7"/>
  <c r="F259" i="7"/>
  <c r="E259" i="7"/>
  <c r="C259" i="7"/>
  <c r="M258" i="7"/>
  <c r="L258" i="7"/>
  <c r="H258" i="7"/>
  <c r="F258" i="7"/>
  <c r="E258" i="7"/>
  <c r="C258" i="7"/>
  <c r="M257" i="7"/>
  <c r="L257" i="7"/>
  <c r="H257" i="7"/>
  <c r="F257" i="7"/>
  <c r="E257" i="7"/>
  <c r="C257" i="7"/>
  <c r="M256" i="7"/>
  <c r="L256" i="7"/>
  <c r="H256" i="7"/>
  <c r="F256" i="7"/>
  <c r="E256" i="7"/>
  <c r="C256" i="7"/>
  <c r="M255" i="7"/>
  <c r="L255" i="7"/>
  <c r="H255" i="7"/>
  <c r="F255" i="7"/>
  <c r="E255" i="7"/>
  <c r="C255" i="7"/>
  <c r="M254" i="7"/>
  <c r="L254" i="7"/>
  <c r="H254" i="7"/>
  <c r="F254" i="7"/>
  <c r="E254" i="7"/>
  <c r="C254" i="7"/>
  <c r="M253" i="7"/>
  <c r="L253" i="7"/>
  <c r="H253" i="7"/>
  <c r="F253" i="7"/>
  <c r="E253" i="7"/>
  <c r="C253" i="7"/>
  <c r="M252" i="7"/>
  <c r="L252" i="7"/>
  <c r="H252" i="7"/>
  <c r="F252" i="7"/>
  <c r="E252" i="7"/>
  <c r="C252" i="7"/>
  <c r="M251" i="7"/>
  <c r="L251" i="7"/>
  <c r="H251" i="7"/>
  <c r="F251" i="7"/>
  <c r="E251" i="7"/>
  <c r="C251" i="7"/>
  <c r="M250" i="7"/>
  <c r="L250" i="7"/>
  <c r="H250" i="7"/>
  <c r="F250" i="7"/>
  <c r="E250" i="7"/>
  <c r="C250" i="7"/>
  <c r="M249" i="7"/>
  <c r="L249" i="7"/>
  <c r="H249" i="7"/>
  <c r="F249" i="7"/>
  <c r="E249" i="7"/>
  <c r="C249" i="7"/>
  <c r="M248" i="7"/>
  <c r="L248" i="7"/>
  <c r="H248" i="7"/>
  <c r="F248" i="7"/>
  <c r="E248" i="7"/>
  <c r="C248" i="7"/>
  <c r="M247" i="7"/>
  <c r="L247" i="7"/>
  <c r="H247" i="7"/>
  <c r="F247" i="7"/>
  <c r="E247" i="7"/>
  <c r="C247" i="7"/>
  <c r="M246" i="7"/>
  <c r="L246" i="7"/>
  <c r="H246" i="7"/>
  <c r="F246" i="7"/>
  <c r="E246" i="7"/>
  <c r="C246" i="7"/>
  <c r="M245" i="7"/>
  <c r="L245" i="7"/>
  <c r="H245" i="7"/>
  <c r="F245" i="7"/>
  <c r="E245" i="7"/>
  <c r="C245" i="7"/>
  <c r="M244" i="7"/>
  <c r="L244" i="7"/>
  <c r="H244" i="7"/>
  <c r="F244" i="7"/>
  <c r="E244" i="7"/>
  <c r="C244" i="7"/>
  <c r="M243" i="7"/>
  <c r="L243" i="7"/>
  <c r="H243" i="7"/>
  <c r="F243" i="7"/>
  <c r="E243" i="7"/>
  <c r="C243" i="7"/>
  <c r="M242" i="7"/>
  <c r="L242" i="7"/>
  <c r="H242" i="7"/>
  <c r="F242" i="7"/>
  <c r="E242" i="7"/>
  <c r="C242" i="7"/>
  <c r="M241" i="7"/>
  <c r="L241" i="7"/>
  <c r="H241" i="7"/>
  <c r="F241" i="7"/>
  <c r="E241" i="7"/>
  <c r="C241" i="7"/>
  <c r="M240" i="7"/>
  <c r="L240" i="7"/>
  <c r="H240" i="7"/>
  <c r="F240" i="7"/>
  <c r="E240" i="7"/>
  <c r="C240" i="7"/>
  <c r="M239" i="7"/>
  <c r="L239" i="7"/>
  <c r="H239" i="7"/>
  <c r="F239" i="7"/>
  <c r="E239" i="7"/>
  <c r="C239" i="7"/>
  <c r="M238" i="7"/>
  <c r="L238" i="7"/>
  <c r="H238" i="7"/>
  <c r="F238" i="7"/>
  <c r="E238" i="7"/>
  <c r="C238" i="7"/>
  <c r="M237" i="7"/>
  <c r="L237" i="7"/>
  <c r="H237" i="7"/>
  <c r="F237" i="7"/>
  <c r="E237" i="7"/>
  <c r="C237" i="7"/>
  <c r="M236" i="7"/>
  <c r="L236" i="7"/>
  <c r="H236" i="7"/>
  <c r="F236" i="7"/>
  <c r="E236" i="7"/>
  <c r="C236" i="7"/>
  <c r="M235" i="7"/>
  <c r="L235" i="7"/>
  <c r="H235" i="7"/>
  <c r="F235" i="7"/>
  <c r="E235" i="7"/>
  <c r="C235" i="7"/>
  <c r="M234" i="7"/>
  <c r="L234" i="7"/>
  <c r="H234" i="7"/>
  <c r="F234" i="7"/>
  <c r="E234" i="7"/>
  <c r="C234" i="7"/>
  <c r="M233" i="7"/>
  <c r="L233" i="7"/>
  <c r="H233" i="7"/>
  <c r="F233" i="7"/>
  <c r="E233" i="7"/>
  <c r="C233" i="7"/>
  <c r="M232" i="7"/>
  <c r="L232" i="7"/>
  <c r="H232" i="7"/>
  <c r="F232" i="7"/>
  <c r="E232" i="7"/>
  <c r="C232" i="7"/>
  <c r="M231" i="7"/>
  <c r="L231" i="7"/>
  <c r="H231" i="7"/>
  <c r="F231" i="7"/>
  <c r="E231" i="7"/>
  <c r="C231" i="7"/>
  <c r="M230" i="7"/>
  <c r="L230" i="7"/>
  <c r="H230" i="7"/>
  <c r="F230" i="7"/>
  <c r="E230" i="7"/>
  <c r="C230" i="7"/>
  <c r="M229" i="7"/>
  <c r="L229" i="7"/>
  <c r="H229" i="7"/>
  <c r="F229" i="7"/>
  <c r="E229" i="7"/>
  <c r="C229" i="7"/>
  <c r="M228" i="7"/>
  <c r="L228" i="7"/>
  <c r="H228" i="7"/>
  <c r="F228" i="7"/>
  <c r="E228" i="7"/>
  <c r="C228" i="7"/>
  <c r="M227" i="7"/>
  <c r="L227" i="7"/>
  <c r="H227" i="7"/>
  <c r="F227" i="7"/>
  <c r="E227" i="7"/>
  <c r="C227" i="7"/>
  <c r="M226" i="7"/>
  <c r="L226" i="7"/>
  <c r="H226" i="7"/>
  <c r="F226" i="7"/>
  <c r="E226" i="7"/>
  <c r="C226" i="7"/>
  <c r="M225" i="7"/>
  <c r="L225" i="7"/>
  <c r="H225" i="7"/>
  <c r="F225" i="7"/>
  <c r="E225" i="7"/>
  <c r="C225" i="7"/>
  <c r="M224" i="7"/>
  <c r="L224" i="7"/>
  <c r="H224" i="7"/>
  <c r="F224" i="7"/>
  <c r="E224" i="7"/>
  <c r="C224" i="7"/>
  <c r="M223" i="7"/>
  <c r="L223" i="7"/>
  <c r="H223" i="7"/>
  <c r="F223" i="7"/>
  <c r="E223" i="7"/>
  <c r="C223" i="7"/>
  <c r="M222" i="7"/>
  <c r="L222" i="7"/>
  <c r="H222" i="7"/>
  <c r="F222" i="7"/>
  <c r="E222" i="7"/>
  <c r="C222" i="7"/>
  <c r="M221" i="7"/>
  <c r="L221" i="7"/>
  <c r="H221" i="7"/>
  <c r="F221" i="7"/>
  <c r="E221" i="7"/>
  <c r="C221" i="7"/>
  <c r="M220" i="7"/>
  <c r="L220" i="7"/>
  <c r="H220" i="7"/>
  <c r="F220" i="7"/>
  <c r="E220" i="7"/>
  <c r="C220" i="7"/>
  <c r="M219" i="7"/>
  <c r="L219" i="7"/>
  <c r="H219" i="7"/>
  <c r="F219" i="7"/>
  <c r="E219" i="7"/>
  <c r="C219" i="7"/>
  <c r="M218" i="7"/>
  <c r="L218" i="7"/>
  <c r="H218" i="7"/>
  <c r="F218" i="7"/>
  <c r="E218" i="7"/>
  <c r="C218" i="7"/>
  <c r="M217" i="7"/>
  <c r="L217" i="7"/>
  <c r="H217" i="7"/>
  <c r="F217" i="7"/>
  <c r="E217" i="7"/>
  <c r="C217" i="7"/>
  <c r="M216" i="7"/>
  <c r="L216" i="7"/>
  <c r="H216" i="7"/>
  <c r="F216" i="7"/>
  <c r="E216" i="7"/>
  <c r="C216" i="7"/>
  <c r="M215" i="7"/>
  <c r="L215" i="7"/>
  <c r="H215" i="7"/>
  <c r="F215" i="7"/>
  <c r="E215" i="7"/>
  <c r="C215" i="7"/>
  <c r="M214" i="7"/>
  <c r="L214" i="7"/>
  <c r="H214" i="7"/>
  <c r="F214" i="7"/>
  <c r="E214" i="7"/>
  <c r="C214" i="7"/>
  <c r="M213" i="7"/>
  <c r="L213" i="7"/>
  <c r="H213" i="7"/>
  <c r="F213" i="7"/>
  <c r="E213" i="7"/>
  <c r="C213" i="7"/>
  <c r="M212" i="7"/>
  <c r="L212" i="7"/>
  <c r="H212" i="7"/>
  <c r="F212" i="7"/>
  <c r="E212" i="7"/>
  <c r="C212" i="7"/>
  <c r="M211" i="7"/>
  <c r="L211" i="7"/>
  <c r="H211" i="7"/>
  <c r="F211" i="7"/>
  <c r="E211" i="7"/>
  <c r="C211" i="7"/>
  <c r="M210" i="7"/>
  <c r="L210" i="7"/>
  <c r="H210" i="7"/>
  <c r="F210" i="7"/>
  <c r="E210" i="7"/>
  <c r="C210" i="7"/>
  <c r="M209" i="7"/>
  <c r="L209" i="7"/>
  <c r="H209" i="7"/>
  <c r="F209" i="7"/>
  <c r="E209" i="7"/>
  <c r="C209" i="7"/>
  <c r="M208" i="7"/>
  <c r="L208" i="7"/>
  <c r="H208" i="7"/>
  <c r="F208" i="7"/>
  <c r="E208" i="7"/>
  <c r="C208" i="7"/>
  <c r="M207" i="7"/>
  <c r="L207" i="7"/>
  <c r="H207" i="7"/>
  <c r="F207" i="7"/>
  <c r="E207" i="7"/>
  <c r="C207" i="7"/>
  <c r="M206" i="7"/>
  <c r="L206" i="7"/>
  <c r="H206" i="7"/>
  <c r="F206" i="7"/>
  <c r="E206" i="7"/>
  <c r="C206" i="7"/>
  <c r="M205" i="7"/>
  <c r="L205" i="7"/>
  <c r="H205" i="7"/>
  <c r="F205" i="7"/>
  <c r="E205" i="7"/>
  <c r="C205" i="7"/>
  <c r="M204" i="7"/>
  <c r="L204" i="7"/>
  <c r="H204" i="7"/>
  <c r="F204" i="7"/>
  <c r="E204" i="7"/>
  <c r="C204" i="7"/>
  <c r="M203" i="7"/>
  <c r="L203" i="7"/>
  <c r="H203" i="7"/>
  <c r="F203" i="7"/>
  <c r="E203" i="7"/>
  <c r="C203" i="7"/>
  <c r="M202" i="7"/>
  <c r="L202" i="7"/>
  <c r="H202" i="7"/>
  <c r="F202" i="7"/>
  <c r="E202" i="7"/>
  <c r="C202" i="7"/>
  <c r="M201" i="7"/>
  <c r="L201" i="7"/>
  <c r="H201" i="7"/>
  <c r="F201" i="7"/>
  <c r="E201" i="7"/>
  <c r="C201" i="7"/>
  <c r="M200" i="7"/>
  <c r="L200" i="7"/>
  <c r="H200" i="7"/>
  <c r="F200" i="7"/>
  <c r="E200" i="7"/>
  <c r="C200" i="7"/>
  <c r="M199" i="7"/>
  <c r="L199" i="7"/>
  <c r="H199" i="7"/>
  <c r="F199" i="7"/>
  <c r="E199" i="7"/>
  <c r="C199" i="7"/>
  <c r="M198" i="7"/>
  <c r="L198" i="7"/>
  <c r="H198" i="7"/>
  <c r="F198" i="7"/>
  <c r="E198" i="7"/>
  <c r="C198" i="7"/>
  <c r="M197" i="7"/>
  <c r="L197" i="7"/>
  <c r="H197" i="7"/>
  <c r="F197" i="7"/>
  <c r="E197" i="7"/>
  <c r="C197" i="7"/>
  <c r="M196" i="7"/>
  <c r="L196" i="7"/>
  <c r="H196" i="7"/>
  <c r="F196" i="7"/>
  <c r="E196" i="7"/>
  <c r="C196" i="7"/>
  <c r="M195" i="7"/>
  <c r="L195" i="7"/>
  <c r="H195" i="7"/>
  <c r="F195" i="7"/>
  <c r="E195" i="7"/>
  <c r="C195" i="7"/>
  <c r="M194" i="7"/>
  <c r="L194" i="7"/>
  <c r="H194" i="7"/>
  <c r="F194" i="7"/>
  <c r="E194" i="7"/>
  <c r="C194" i="7"/>
  <c r="M193" i="7"/>
  <c r="L193" i="7"/>
  <c r="H193" i="7"/>
  <c r="F193" i="7"/>
  <c r="E193" i="7"/>
  <c r="C193" i="7"/>
  <c r="M192" i="7"/>
  <c r="L192" i="7"/>
  <c r="H192" i="7"/>
  <c r="F192" i="7"/>
  <c r="E192" i="7"/>
  <c r="C192" i="7"/>
  <c r="M191" i="7"/>
  <c r="L191" i="7"/>
  <c r="H191" i="7"/>
  <c r="F191" i="7"/>
  <c r="E191" i="7"/>
  <c r="C191" i="7"/>
  <c r="M190" i="7"/>
  <c r="L190" i="7"/>
  <c r="H190" i="7"/>
  <c r="F190" i="7"/>
  <c r="E190" i="7"/>
  <c r="C190" i="7"/>
  <c r="M189" i="7"/>
  <c r="L189" i="7"/>
  <c r="H189" i="7"/>
  <c r="F189" i="7"/>
  <c r="E189" i="7"/>
  <c r="C189" i="7"/>
  <c r="M188" i="7"/>
  <c r="L188" i="7"/>
  <c r="H188" i="7"/>
  <c r="F188" i="7"/>
  <c r="E188" i="7"/>
  <c r="C188" i="7"/>
  <c r="M187" i="7"/>
  <c r="L187" i="7"/>
  <c r="H187" i="7"/>
  <c r="F187" i="7"/>
  <c r="E187" i="7"/>
  <c r="C187" i="7"/>
  <c r="M186" i="7"/>
  <c r="L186" i="7"/>
  <c r="H186" i="7"/>
  <c r="F186" i="7"/>
  <c r="E186" i="7"/>
  <c r="C186" i="7"/>
  <c r="M185" i="7"/>
  <c r="L185" i="7"/>
  <c r="H185" i="7"/>
  <c r="F185" i="7"/>
  <c r="E185" i="7"/>
  <c r="C185" i="7"/>
  <c r="M184" i="7"/>
  <c r="L184" i="7"/>
  <c r="H184" i="7"/>
  <c r="F184" i="7"/>
  <c r="E184" i="7"/>
  <c r="C184" i="7"/>
  <c r="M183" i="7"/>
  <c r="L183" i="7"/>
  <c r="H183" i="7"/>
  <c r="F183" i="7"/>
  <c r="E183" i="7"/>
  <c r="C183" i="7"/>
  <c r="M182" i="7"/>
  <c r="L182" i="7"/>
  <c r="H182" i="7"/>
  <c r="F182" i="7"/>
  <c r="E182" i="7"/>
  <c r="C182" i="7"/>
  <c r="M181" i="7"/>
  <c r="L181" i="7"/>
  <c r="H181" i="7"/>
  <c r="F181" i="7"/>
  <c r="E181" i="7"/>
  <c r="C181" i="7"/>
  <c r="M180" i="7"/>
  <c r="L180" i="7"/>
  <c r="H180" i="7"/>
  <c r="F180" i="7"/>
  <c r="E180" i="7"/>
  <c r="C180" i="7"/>
  <c r="M179" i="7"/>
  <c r="L179" i="7"/>
  <c r="H179" i="7"/>
  <c r="F179" i="7"/>
  <c r="E179" i="7"/>
  <c r="C179" i="7"/>
  <c r="M178" i="7"/>
  <c r="L178" i="7"/>
  <c r="H178" i="7"/>
  <c r="F178" i="7"/>
  <c r="E178" i="7"/>
  <c r="C178" i="7"/>
  <c r="M177" i="7"/>
  <c r="L177" i="7"/>
  <c r="H177" i="7"/>
  <c r="F177" i="7"/>
  <c r="E177" i="7"/>
  <c r="C177" i="7"/>
  <c r="M176" i="7"/>
  <c r="L176" i="7"/>
  <c r="H176" i="7"/>
  <c r="F176" i="7"/>
  <c r="E176" i="7"/>
  <c r="C176" i="7"/>
  <c r="M175" i="7"/>
  <c r="L175" i="7"/>
  <c r="H175" i="7"/>
  <c r="F175" i="7"/>
  <c r="E175" i="7"/>
  <c r="C175" i="7"/>
  <c r="M174" i="7"/>
  <c r="L174" i="7"/>
  <c r="H174" i="7"/>
  <c r="F174" i="7"/>
  <c r="E174" i="7"/>
  <c r="C174" i="7"/>
  <c r="M173" i="7"/>
  <c r="L173" i="7"/>
  <c r="H173" i="7"/>
  <c r="F173" i="7"/>
  <c r="E173" i="7"/>
  <c r="C173" i="7"/>
  <c r="M172" i="7"/>
  <c r="L172" i="7"/>
  <c r="H172" i="7"/>
  <c r="F172" i="7"/>
  <c r="E172" i="7"/>
  <c r="C172" i="7"/>
  <c r="M171" i="7"/>
  <c r="L171" i="7"/>
  <c r="H171" i="7"/>
  <c r="F171" i="7"/>
  <c r="E171" i="7"/>
  <c r="C171" i="7"/>
  <c r="M170" i="7"/>
  <c r="L170" i="7"/>
  <c r="H170" i="7"/>
  <c r="F170" i="7"/>
  <c r="E170" i="7"/>
  <c r="C170" i="7"/>
  <c r="M169" i="7"/>
  <c r="L169" i="7"/>
  <c r="H169" i="7"/>
  <c r="F169" i="7"/>
  <c r="E169" i="7"/>
  <c r="C169" i="7"/>
  <c r="M168" i="7"/>
  <c r="L168" i="7"/>
  <c r="H168" i="7"/>
  <c r="F168" i="7"/>
  <c r="E168" i="7"/>
  <c r="C168" i="7"/>
  <c r="M167" i="7"/>
  <c r="L167" i="7"/>
  <c r="H167" i="7"/>
  <c r="F167" i="7"/>
  <c r="E167" i="7"/>
  <c r="C167" i="7"/>
  <c r="M166" i="7"/>
  <c r="L166" i="7"/>
  <c r="H166" i="7"/>
  <c r="F166" i="7"/>
  <c r="E166" i="7"/>
  <c r="C166" i="7"/>
  <c r="M165" i="7"/>
  <c r="L165" i="7"/>
  <c r="H165" i="7"/>
  <c r="F165" i="7"/>
  <c r="E165" i="7"/>
  <c r="C165" i="7"/>
  <c r="M164" i="7"/>
  <c r="L164" i="7"/>
  <c r="H164" i="7"/>
  <c r="F164" i="7"/>
  <c r="E164" i="7"/>
  <c r="C164" i="7"/>
  <c r="M163" i="7"/>
  <c r="L163" i="7"/>
  <c r="H163" i="7"/>
  <c r="F163" i="7"/>
  <c r="E163" i="7"/>
  <c r="C163" i="7"/>
  <c r="M162" i="7"/>
  <c r="L162" i="7"/>
  <c r="H162" i="7"/>
  <c r="F162" i="7"/>
  <c r="E162" i="7"/>
  <c r="C162" i="7"/>
  <c r="M161" i="7"/>
  <c r="L161" i="7"/>
  <c r="H161" i="7"/>
  <c r="F161" i="7"/>
  <c r="E161" i="7"/>
  <c r="C161" i="7"/>
  <c r="M160" i="7"/>
  <c r="L160" i="7"/>
  <c r="H160" i="7"/>
  <c r="F160" i="7"/>
  <c r="E160" i="7"/>
  <c r="C160" i="7"/>
  <c r="M159" i="7"/>
  <c r="L159" i="7"/>
  <c r="H159" i="7"/>
  <c r="F159" i="7"/>
  <c r="E159" i="7"/>
  <c r="C159" i="7"/>
  <c r="M158" i="7"/>
  <c r="L158" i="7"/>
  <c r="H158" i="7"/>
  <c r="F158" i="7"/>
  <c r="E158" i="7"/>
  <c r="C158" i="7"/>
  <c r="M157" i="7"/>
  <c r="L157" i="7"/>
  <c r="H157" i="7"/>
  <c r="F157" i="7"/>
  <c r="E157" i="7"/>
  <c r="C157" i="7"/>
  <c r="M156" i="7"/>
  <c r="L156" i="7"/>
  <c r="H156" i="7"/>
  <c r="F156" i="7"/>
  <c r="E156" i="7"/>
  <c r="C156" i="7"/>
  <c r="M155" i="7"/>
  <c r="L155" i="7"/>
  <c r="H155" i="7"/>
  <c r="F155" i="7"/>
  <c r="E155" i="7"/>
  <c r="C155" i="7"/>
  <c r="M154" i="7"/>
  <c r="L154" i="7"/>
  <c r="H154" i="7"/>
  <c r="F154" i="7"/>
  <c r="E154" i="7"/>
  <c r="C154" i="7"/>
  <c r="M153" i="7"/>
  <c r="L153" i="7"/>
  <c r="H153" i="7"/>
  <c r="F153" i="7"/>
  <c r="E153" i="7"/>
  <c r="C153" i="7"/>
  <c r="M152" i="7"/>
  <c r="L152" i="7"/>
  <c r="H152" i="7"/>
  <c r="F152" i="7"/>
  <c r="E152" i="7"/>
  <c r="C152" i="7"/>
  <c r="M151" i="7"/>
  <c r="L151" i="7"/>
  <c r="H151" i="7"/>
  <c r="F151" i="7"/>
  <c r="E151" i="7"/>
  <c r="C151" i="7"/>
  <c r="M150" i="7"/>
  <c r="L150" i="7"/>
  <c r="H150" i="7"/>
  <c r="F150" i="7"/>
  <c r="E150" i="7"/>
  <c r="C150" i="7"/>
  <c r="M149" i="7"/>
  <c r="L149" i="7"/>
  <c r="H149" i="7"/>
  <c r="F149" i="7"/>
  <c r="E149" i="7"/>
  <c r="C149" i="7"/>
  <c r="M148" i="7"/>
  <c r="L148" i="7"/>
  <c r="H148" i="7"/>
  <c r="F148" i="7"/>
  <c r="E148" i="7"/>
  <c r="C148" i="7"/>
  <c r="M147" i="7"/>
  <c r="L147" i="7"/>
  <c r="H147" i="7"/>
  <c r="F147" i="7"/>
  <c r="E147" i="7"/>
  <c r="C147" i="7"/>
  <c r="M146" i="7"/>
  <c r="L146" i="7"/>
  <c r="H146" i="7"/>
  <c r="F146" i="7"/>
  <c r="E146" i="7"/>
  <c r="C146" i="7"/>
  <c r="M145" i="7"/>
  <c r="L145" i="7"/>
  <c r="H145" i="7"/>
  <c r="F145" i="7"/>
  <c r="E145" i="7"/>
  <c r="C145" i="7"/>
  <c r="M144" i="7"/>
  <c r="L144" i="7"/>
  <c r="H144" i="7"/>
  <c r="F144" i="7"/>
  <c r="E144" i="7"/>
  <c r="C144" i="7"/>
  <c r="M143" i="7"/>
  <c r="L143" i="7"/>
  <c r="H143" i="7"/>
  <c r="F143" i="7"/>
  <c r="E143" i="7"/>
  <c r="C143" i="7"/>
  <c r="M142" i="7"/>
  <c r="L142" i="7"/>
  <c r="H142" i="7"/>
  <c r="F142" i="7"/>
  <c r="E142" i="7"/>
  <c r="C142" i="7"/>
  <c r="M141" i="7"/>
  <c r="L141" i="7"/>
  <c r="H141" i="7"/>
  <c r="F141" i="7"/>
  <c r="E141" i="7"/>
  <c r="C141" i="7"/>
  <c r="M140" i="7"/>
  <c r="L140" i="7"/>
  <c r="H140" i="7"/>
  <c r="F140" i="7"/>
  <c r="E140" i="7"/>
  <c r="C140" i="7"/>
  <c r="M139" i="7"/>
  <c r="L139" i="7"/>
  <c r="H139" i="7"/>
  <c r="F139" i="7"/>
  <c r="E139" i="7"/>
  <c r="C139" i="7"/>
  <c r="M138" i="7"/>
  <c r="L138" i="7"/>
  <c r="H138" i="7"/>
  <c r="F138" i="7"/>
  <c r="E138" i="7"/>
  <c r="C138" i="7"/>
  <c r="M137" i="7"/>
  <c r="L137" i="7"/>
  <c r="H137" i="7"/>
  <c r="F137" i="7"/>
  <c r="E137" i="7"/>
  <c r="C137" i="7"/>
  <c r="M136" i="7"/>
  <c r="L136" i="7"/>
  <c r="H136" i="7"/>
  <c r="F136" i="7"/>
  <c r="E136" i="7"/>
  <c r="C136" i="7"/>
  <c r="M135" i="7"/>
  <c r="L135" i="7"/>
  <c r="H135" i="7"/>
  <c r="F135" i="7"/>
  <c r="E135" i="7"/>
  <c r="C135" i="7"/>
  <c r="M134" i="7"/>
  <c r="L134" i="7"/>
  <c r="H134" i="7"/>
  <c r="F134" i="7"/>
  <c r="E134" i="7"/>
  <c r="C134" i="7"/>
  <c r="M133" i="7"/>
  <c r="L133" i="7"/>
  <c r="H133" i="7"/>
  <c r="F133" i="7"/>
  <c r="E133" i="7"/>
  <c r="C133" i="7"/>
  <c r="M132" i="7"/>
  <c r="L132" i="7"/>
  <c r="H132" i="7"/>
  <c r="F132" i="7"/>
  <c r="E132" i="7"/>
  <c r="C132" i="7"/>
  <c r="M131" i="7"/>
  <c r="L131" i="7"/>
  <c r="H131" i="7"/>
  <c r="F131" i="7"/>
  <c r="E131" i="7"/>
  <c r="C131" i="7"/>
  <c r="M130" i="7"/>
  <c r="L130" i="7"/>
  <c r="H130" i="7"/>
  <c r="F130" i="7"/>
  <c r="E130" i="7"/>
  <c r="C130" i="7"/>
  <c r="M129" i="7"/>
  <c r="L129" i="7"/>
  <c r="H129" i="7"/>
  <c r="F129" i="7"/>
  <c r="E129" i="7"/>
  <c r="C129" i="7"/>
  <c r="M128" i="7"/>
  <c r="L128" i="7"/>
  <c r="H128" i="7"/>
  <c r="F128" i="7"/>
  <c r="E128" i="7"/>
  <c r="C128" i="7"/>
  <c r="M127" i="7"/>
  <c r="L127" i="7"/>
  <c r="H127" i="7"/>
  <c r="F127" i="7"/>
  <c r="E127" i="7"/>
  <c r="C127" i="7"/>
  <c r="M126" i="7"/>
  <c r="L126" i="7"/>
  <c r="H126" i="7"/>
  <c r="F126" i="7"/>
  <c r="E126" i="7"/>
  <c r="C126" i="7"/>
  <c r="M125" i="7"/>
  <c r="L125" i="7"/>
  <c r="H125" i="7"/>
  <c r="F125" i="7"/>
  <c r="E125" i="7"/>
  <c r="C125" i="7"/>
  <c r="M124" i="7"/>
  <c r="L124" i="7"/>
  <c r="H124" i="7"/>
  <c r="F124" i="7"/>
  <c r="E124" i="7"/>
  <c r="C124" i="7"/>
  <c r="M123" i="7"/>
  <c r="L123" i="7"/>
  <c r="H123" i="7"/>
  <c r="F123" i="7"/>
  <c r="E123" i="7"/>
  <c r="C123" i="7"/>
  <c r="M122" i="7"/>
  <c r="L122" i="7"/>
  <c r="H122" i="7"/>
  <c r="F122" i="7"/>
  <c r="E122" i="7"/>
  <c r="C122" i="7"/>
  <c r="M121" i="7"/>
  <c r="L121" i="7"/>
  <c r="H121" i="7"/>
  <c r="F121" i="7"/>
  <c r="E121" i="7"/>
  <c r="C121" i="7"/>
  <c r="M120" i="7"/>
  <c r="L120" i="7"/>
  <c r="H120" i="7"/>
  <c r="F120" i="7"/>
  <c r="E120" i="7"/>
  <c r="C120" i="7"/>
  <c r="M119" i="7"/>
  <c r="L119" i="7"/>
  <c r="H119" i="7"/>
  <c r="F119" i="7"/>
  <c r="E119" i="7"/>
  <c r="C119" i="7"/>
  <c r="M118" i="7"/>
  <c r="L118" i="7"/>
  <c r="H118" i="7"/>
  <c r="F118" i="7"/>
  <c r="E118" i="7"/>
  <c r="C118" i="7"/>
  <c r="M117" i="7"/>
  <c r="L117" i="7"/>
  <c r="H117" i="7"/>
  <c r="F117" i="7"/>
  <c r="E117" i="7"/>
  <c r="C117" i="7"/>
  <c r="M116" i="7"/>
  <c r="L116" i="7"/>
  <c r="H116" i="7"/>
  <c r="F116" i="7"/>
  <c r="E116" i="7"/>
  <c r="C116" i="7"/>
  <c r="M115" i="7"/>
  <c r="L115" i="7"/>
  <c r="H115" i="7"/>
  <c r="F115" i="7"/>
  <c r="E115" i="7"/>
  <c r="C115" i="7"/>
  <c r="M114" i="7"/>
  <c r="L114" i="7"/>
  <c r="H114" i="7"/>
  <c r="F114" i="7"/>
  <c r="E114" i="7"/>
  <c r="C114" i="7"/>
  <c r="M113" i="7"/>
  <c r="L113" i="7"/>
  <c r="H113" i="7"/>
  <c r="F113" i="7"/>
  <c r="E113" i="7"/>
  <c r="C113" i="7"/>
  <c r="M112" i="7"/>
  <c r="L112" i="7"/>
  <c r="H112" i="7"/>
  <c r="F112" i="7"/>
  <c r="E112" i="7"/>
  <c r="C112" i="7"/>
  <c r="M111" i="7"/>
  <c r="L111" i="7"/>
  <c r="H111" i="7"/>
  <c r="F111" i="7"/>
  <c r="E111" i="7"/>
  <c r="C111" i="7"/>
  <c r="M110" i="7"/>
  <c r="L110" i="7"/>
  <c r="H110" i="7"/>
  <c r="F110" i="7"/>
  <c r="E110" i="7"/>
  <c r="C110" i="7"/>
  <c r="M109" i="7"/>
  <c r="L109" i="7"/>
  <c r="H109" i="7"/>
  <c r="F109" i="7"/>
  <c r="E109" i="7"/>
  <c r="C109" i="7"/>
  <c r="M108" i="7"/>
  <c r="L108" i="7"/>
  <c r="H108" i="7"/>
  <c r="F108" i="7"/>
  <c r="E108" i="7"/>
  <c r="C108" i="7"/>
  <c r="M107" i="7"/>
  <c r="L107" i="7"/>
  <c r="H107" i="7"/>
  <c r="F107" i="7"/>
  <c r="E107" i="7"/>
  <c r="C107" i="7"/>
  <c r="M106" i="7"/>
  <c r="L106" i="7"/>
  <c r="H106" i="7"/>
  <c r="F106" i="7"/>
  <c r="E106" i="7"/>
  <c r="C106" i="7"/>
  <c r="M105" i="7"/>
  <c r="L105" i="7"/>
  <c r="H105" i="7"/>
  <c r="F105" i="7"/>
  <c r="E105" i="7"/>
  <c r="C105" i="7"/>
  <c r="M104" i="7"/>
  <c r="L104" i="7"/>
  <c r="H104" i="7"/>
  <c r="F104" i="7"/>
  <c r="E104" i="7"/>
  <c r="C104" i="7"/>
  <c r="M103" i="7"/>
  <c r="L103" i="7"/>
  <c r="H103" i="7"/>
  <c r="F103" i="7"/>
  <c r="E103" i="7"/>
  <c r="C103" i="7"/>
  <c r="M102" i="7"/>
  <c r="L102" i="7"/>
  <c r="H102" i="7"/>
  <c r="F102" i="7"/>
  <c r="E102" i="7"/>
  <c r="C102" i="7"/>
  <c r="M101" i="7"/>
  <c r="L101" i="7"/>
  <c r="H101" i="7"/>
  <c r="F101" i="7"/>
  <c r="E101" i="7"/>
  <c r="C101" i="7"/>
  <c r="M100" i="7"/>
  <c r="L100" i="7"/>
  <c r="H100" i="7"/>
  <c r="F100" i="7"/>
  <c r="E100" i="7"/>
  <c r="C100" i="7"/>
  <c r="M99" i="7"/>
  <c r="L99" i="7"/>
  <c r="H99" i="7"/>
  <c r="F99" i="7"/>
  <c r="E99" i="7"/>
  <c r="C99" i="7"/>
  <c r="M98" i="7"/>
  <c r="L98" i="7"/>
  <c r="H98" i="7"/>
  <c r="F98" i="7"/>
  <c r="E98" i="7"/>
  <c r="C98" i="7"/>
  <c r="M97" i="7"/>
  <c r="L97" i="7"/>
  <c r="H97" i="7"/>
  <c r="F97" i="7"/>
  <c r="E97" i="7"/>
  <c r="C97" i="7"/>
  <c r="M96" i="7"/>
  <c r="L96" i="7"/>
  <c r="H96" i="7"/>
  <c r="F96" i="7"/>
  <c r="E96" i="7"/>
  <c r="C96" i="7"/>
  <c r="M95" i="7"/>
  <c r="L95" i="7"/>
  <c r="H95" i="7"/>
  <c r="F95" i="7"/>
  <c r="E95" i="7"/>
  <c r="C95" i="7"/>
  <c r="M94" i="7"/>
  <c r="L94" i="7"/>
  <c r="H94" i="7"/>
  <c r="F94" i="7"/>
  <c r="E94" i="7"/>
  <c r="C94" i="7"/>
  <c r="M93" i="7"/>
  <c r="L93" i="7"/>
  <c r="H93" i="7"/>
  <c r="F93" i="7"/>
  <c r="E93" i="7"/>
  <c r="C93" i="7"/>
  <c r="M92" i="7"/>
  <c r="L92" i="7"/>
  <c r="H92" i="7"/>
  <c r="F92" i="7"/>
  <c r="E92" i="7"/>
  <c r="C92" i="7"/>
  <c r="M91" i="7"/>
  <c r="L91" i="7"/>
  <c r="H91" i="7"/>
  <c r="F91" i="7"/>
  <c r="E91" i="7"/>
  <c r="C91" i="7"/>
  <c r="M90" i="7"/>
  <c r="L90" i="7"/>
  <c r="H90" i="7"/>
  <c r="F90" i="7"/>
  <c r="E90" i="7"/>
  <c r="C90" i="7"/>
  <c r="M89" i="7"/>
  <c r="L89" i="7"/>
  <c r="H89" i="7"/>
  <c r="F89" i="7"/>
  <c r="E89" i="7"/>
  <c r="C89" i="7"/>
  <c r="M88" i="7"/>
  <c r="L88" i="7"/>
  <c r="H88" i="7"/>
  <c r="F88" i="7"/>
  <c r="E88" i="7"/>
  <c r="C88" i="7"/>
  <c r="M87" i="7"/>
  <c r="L87" i="7"/>
  <c r="H87" i="7"/>
  <c r="F87" i="7"/>
  <c r="E87" i="7"/>
  <c r="C87" i="7"/>
  <c r="M86" i="7"/>
  <c r="L86" i="7"/>
  <c r="H86" i="7"/>
  <c r="F86" i="7"/>
  <c r="E86" i="7"/>
  <c r="C86" i="7"/>
  <c r="M85" i="7"/>
  <c r="L85" i="7"/>
  <c r="H85" i="7"/>
  <c r="F85" i="7"/>
  <c r="E85" i="7"/>
  <c r="C85" i="7"/>
  <c r="M84" i="7"/>
  <c r="L84" i="7"/>
  <c r="H84" i="7"/>
  <c r="F84" i="7"/>
  <c r="E84" i="7"/>
  <c r="C84" i="7"/>
  <c r="M83" i="7"/>
  <c r="L83" i="7"/>
  <c r="H83" i="7"/>
  <c r="F83" i="7"/>
  <c r="E83" i="7"/>
  <c r="C83" i="7"/>
  <c r="M82" i="7"/>
  <c r="L82" i="7"/>
  <c r="H82" i="7"/>
  <c r="F82" i="7"/>
  <c r="E82" i="7"/>
  <c r="C82" i="7"/>
  <c r="M81" i="7"/>
  <c r="L81" i="7"/>
  <c r="H81" i="7"/>
  <c r="F81" i="7"/>
  <c r="E81" i="7"/>
  <c r="C81" i="7"/>
  <c r="M80" i="7"/>
  <c r="L80" i="7"/>
  <c r="H80" i="7"/>
  <c r="F80" i="7"/>
  <c r="E80" i="7"/>
  <c r="C80" i="7"/>
  <c r="M79" i="7"/>
  <c r="L79" i="7"/>
  <c r="H79" i="7"/>
  <c r="F79" i="7"/>
  <c r="E79" i="7"/>
  <c r="C79" i="7"/>
  <c r="M78" i="7"/>
  <c r="L78" i="7"/>
  <c r="H78" i="7"/>
  <c r="F78" i="7"/>
  <c r="E78" i="7"/>
  <c r="C78" i="7"/>
  <c r="M77" i="7"/>
  <c r="L77" i="7"/>
  <c r="H77" i="7"/>
  <c r="F77" i="7"/>
  <c r="E77" i="7"/>
  <c r="C77" i="7"/>
  <c r="M76" i="7"/>
  <c r="L76" i="7"/>
  <c r="H76" i="7"/>
  <c r="F76" i="7"/>
  <c r="E76" i="7"/>
  <c r="C76" i="7"/>
  <c r="M75" i="7"/>
  <c r="L75" i="7"/>
  <c r="H75" i="7"/>
  <c r="F75" i="7"/>
  <c r="E75" i="7"/>
  <c r="C75" i="7"/>
  <c r="M74" i="7"/>
  <c r="L74" i="7"/>
  <c r="H74" i="7"/>
  <c r="F74" i="7"/>
  <c r="E74" i="7"/>
  <c r="C74" i="7"/>
  <c r="M73" i="7"/>
  <c r="L73" i="7"/>
  <c r="H73" i="7"/>
  <c r="F73" i="7"/>
  <c r="E73" i="7"/>
  <c r="C73" i="7"/>
  <c r="M72" i="7"/>
  <c r="L72" i="7"/>
  <c r="H72" i="7"/>
  <c r="F72" i="7"/>
  <c r="E72" i="7"/>
  <c r="C72" i="7"/>
  <c r="M71" i="7"/>
  <c r="L71" i="7"/>
  <c r="H71" i="7"/>
  <c r="F71" i="7"/>
  <c r="E71" i="7"/>
  <c r="C71" i="7"/>
  <c r="M70" i="7"/>
  <c r="L70" i="7"/>
  <c r="H70" i="7"/>
  <c r="F70" i="7"/>
  <c r="E70" i="7"/>
  <c r="C70" i="7"/>
  <c r="M69" i="7"/>
  <c r="L69" i="7"/>
  <c r="H69" i="7"/>
  <c r="F69" i="7"/>
  <c r="E69" i="7"/>
  <c r="C69" i="7"/>
  <c r="M68" i="7"/>
  <c r="L68" i="7"/>
  <c r="H68" i="7"/>
  <c r="F68" i="7"/>
  <c r="E68" i="7"/>
  <c r="C68" i="7"/>
  <c r="M67" i="7"/>
  <c r="L67" i="7"/>
  <c r="H67" i="7"/>
  <c r="F67" i="7"/>
  <c r="E67" i="7"/>
  <c r="C67" i="7"/>
  <c r="M66" i="7"/>
  <c r="L66" i="7"/>
  <c r="H66" i="7"/>
  <c r="F66" i="7"/>
  <c r="E66" i="7"/>
  <c r="C66" i="7"/>
  <c r="M65" i="7"/>
  <c r="L65" i="7"/>
  <c r="H65" i="7"/>
  <c r="F65" i="7"/>
  <c r="E65" i="7"/>
  <c r="C65" i="7"/>
  <c r="M64" i="7"/>
  <c r="L64" i="7"/>
  <c r="H64" i="7"/>
  <c r="F64" i="7"/>
  <c r="E64" i="7"/>
  <c r="C64" i="7"/>
  <c r="M63" i="7"/>
  <c r="L63" i="7"/>
  <c r="H63" i="7"/>
  <c r="F63" i="7"/>
  <c r="E63" i="7"/>
  <c r="C63" i="7"/>
  <c r="M62" i="7"/>
  <c r="L62" i="7"/>
  <c r="H62" i="7"/>
  <c r="F62" i="7"/>
  <c r="E62" i="7"/>
  <c r="C62" i="7"/>
  <c r="M61" i="7"/>
  <c r="L61" i="7"/>
  <c r="H61" i="7"/>
  <c r="F61" i="7"/>
  <c r="E61" i="7"/>
  <c r="C61" i="7"/>
  <c r="M60" i="7"/>
  <c r="L60" i="7"/>
  <c r="H60" i="7"/>
  <c r="F60" i="7"/>
  <c r="E60" i="7"/>
  <c r="C60" i="7"/>
  <c r="M59" i="7"/>
  <c r="L59" i="7"/>
  <c r="H59" i="7"/>
  <c r="F59" i="7"/>
  <c r="E59" i="7"/>
  <c r="C59" i="7"/>
  <c r="M58" i="7"/>
  <c r="L58" i="7"/>
  <c r="H58" i="7"/>
  <c r="F58" i="7"/>
  <c r="E58" i="7"/>
  <c r="C58" i="7"/>
  <c r="M57" i="7"/>
  <c r="L57" i="7"/>
  <c r="H57" i="7"/>
  <c r="F57" i="7"/>
  <c r="E57" i="7"/>
  <c r="C57" i="7"/>
  <c r="M56" i="7"/>
  <c r="L56" i="7"/>
  <c r="H56" i="7"/>
  <c r="F56" i="7"/>
  <c r="E56" i="7"/>
  <c r="C56" i="7"/>
  <c r="M55" i="7"/>
  <c r="L55" i="7"/>
  <c r="H55" i="7"/>
  <c r="F55" i="7"/>
  <c r="E55" i="7"/>
  <c r="C55" i="7"/>
  <c r="M54" i="7"/>
  <c r="L54" i="7"/>
  <c r="H54" i="7"/>
  <c r="F54" i="7"/>
  <c r="E54" i="7"/>
  <c r="C54" i="7"/>
  <c r="M53" i="7"/>
  <c r="L53" i="7"/>
  <c r="H53" i="7"/>
  <c r="F53" i="7"/>
  <c r="E53" i="7"/>
  <c r="C53" i="7"/>
  <c r="M52" i="7"/>
  <c r="L52" i="7"/>
  <c r="H52" i="7"/>
  <c r="F52" i="7"/>
  <c r="E52" i="7"/>
  <c r="C52" i="7"/>
  <c r="M51" i="7"/>
  <c r="L51" i="7"/>
  <c r="H51" i="7"/>
  <c r="F51" i="7"/>
  <c r="E51" i="7"/>
  <c r="C51" i="7"/>
  <c r="M50" i="7"/>
  <c r="L50" i="7"/>
  <c r="H50" i="7"/>
  <c r="F50" i="7"/>
  <c r="E50" i="7"/>
  <c r="C50" i="7"/>
  <c r="M49" i="7"/>
  <c r="L49" i="7"/>
  <c r="H49" i="7"/>
  <c r="F49" i="7"/>
  <c r="E49" i="7"/>
  <c r="C49" i="7"/>
  <c r="M48" i="7"/>
  <c r="L48" i="7"/>
  <c r="H48" i="7"/>
  <c r="F48" i="7"/>
  <c r="E48" i="7"/>
  <c r="C48" i="7"/>
  <c r="M47" i="7"/>
  <c r="L47" i="7"/>
  <c r="H47" i="7"/>
  <c r="F47" i="7"/>
  <c r="E47" i="7"/>
  <c r="C47" i="7"/>
  <c r="M46" i="7"/>
  <c r="L46" i="7"/>
  <c r="H46" i="7"/>
  <c r="F46" i="7"/>
  <c r="E46" i="7"/>
  <c r="C46" i="7"/>
  <c r="M45" i="7"/>
  <c r="L45" i="7"/>
  <c r="H45" i="7"/>
  <c r="F45" i="7"/>
  <c r="E45" i="7"/>
  <c r="C45" i="7"/>
  <c r="M44" i="7"/>
  <c r="L44" i="7"/>
  <c r="H44" i="7"/>
  <c r="F44" i="7"/>
  <c r="E44" i="7"/>
  <c r="C44" i="7"/>
  <c r="M43" i="7"/>
  <c r="L43" i="7"/>
  <c r="H43" i="7"/>
  <c r="F43" i="7"/>
  <c r="E43" i="7"/>
  <c r="C43" i="7"/>
  <c r="M42" i="7"/>
  <c r="L42" i="7"/>
  <c r="H42" i="7"/>
  <c r="F42" i="7"/>
  <c r="E42" i="7"/>
  <c r="C42" i="7"/>
  <c r="M41" i="7"/>
  <c r="L41" i="7"/>
  <c r="H41" i="7"/>
  <c r="F41" i="7"/>
  <c r="E41" i="7"/>
  <c r="C41" i="7"/>
  <c r="M40" i="7"/>
  <c r="L40" i="7"/>
  <c r="H40" i="7"/>
  <c r="F40" i="7"/>
  <c r="E40" i="7"/>
  <c r="C40" i="7"/>
  <c r="M39" i="7"/>
  <c r="L39" i="7"/>
  <c r="H39" i="7"/>
  <c r="F39" i="7"/>
  <c r="E39" i="7"/>
  <c r="C39" i="7"/>
  <c r="M38" i="7"/>
  <c r="L38" i="7"/>
  <c r="H38" i="7"/>
  <c r="F38" i="7"/>
  <c r="E38" i="7"/>
  <c r="C38" i="7"/>
  <c r="M37" i="7"/>
  <c r="L37" i="7"/>
  <c r="H37" i="7"/>
  <c r="F37" i="7"/>
  <c r="E37" i="7"/>
  <c r="C37" i="7"/>
  <c r="M36" i="7"/>
  <c r="L36" i="7"/>
  <c r="H36" i="7"/>
  <c r="F36" i="7"/>
  <c r="E36" i="7"/>
  <c r="C36" i="7"/>
  <c r="M35" i="7"/>
  <c r="L35" i="7"/>
  <c r="H35" i="7"/>
  <c r="F35" i="7"/>
  <c r="E35" i="7"/>
  <c r="C35" i="7"/>
  <c r="M34" i="7"/>
  <c r="L34" i="7"/>
  <c r="H34" i="7"/>
  <c r="F34" i="7"/>
  <c r="E34" i="7"/>
  <c r="C34" i="7"/>
  <c r="M33" i="7"/>
  <c r="L33" i="7"/>
  <c r="H33" i="7"/>
  <c r="F33" i="7"/>
  <c r="E33" i="7"/>
  <c r="C33" i="7"/>
  <c r="M32" i="7"/>
  <c r="L32" i="7"/>
  <c r="H32" i="7"/>
  <c r="F32" i="7"/>
  <c r="E32" i="7"/>
  <c r="C32" i="7"/>
  <c r="M31" i="7"/>
  <c r="L31" i="7"/>
  <c r="H31" i="7"/>
  <c r="F31" i="7"/>
  <c r="E31" i="7"/>
  <c r="C31" i="7"/>
  <c r="M30" i="7"/>
  <c r="L30" i="7"/>
  <c r="H30" i="7"/>
  <c r="F30" i="7"/>
  <c r="E30" i="7"/>
  <c r="C30" i="7"/>
  <c r="M29" i="7"/>
  <c r="L29" i="7"/>
  <c r="H29" i="7"/>
  <c r="F29" i="7"/>
  <c r="E29" i="7"/>
  <c r="C29" i="7"/>
  <c r="M28" i="7"/>
  <c r="L28" i="7"/>
  <c r="H28" i="7"/>
  <c r="F28" i="7"/>
  <c r="E28" i="7"/>
  <c r="C28" i="7"/>
  <c r="M27" i="7"/>
  <c r="L27" i="7"/>
  <c r="H27" i="7"/>
  <c r="F27" i="7"/>
  <c r="E27" i="7"/>
  <c r="C27" i="7"/>
  <c r="M26" i="7"/>
  <c r="L26" i="7"/>
  <c r="H26" i="7"/>
  <c r="F26" i="7"/>
  <c r="E26" i="7"/>
  <c r="C26" i="7"/>
  <c r="M25" i="7"/>
  <c r="L25" i="7"/>
  <c r="H25" i="7"/>
  <c r="F25" i="7"/>
  <c r="E25" i="7"/>
  <c r="C25" i="7"/>
  <c r="M24" i="7"/>
  <c r="L24" i="7"/>
  <c r="H24" i="7"/>
  <c r="F24" i="7"/>
  <c r="E24" i="7"/>
  <c r="C24" i="7"/>
  <c r="M23" i="7"/>
  <c r="L23" i="7"/>
  <c r="H23" i="7"/>
  <c r="F23" i="7"/>
  <c r="E23" i="7"/>
  <c r="C23" i="7"/>
  <c r="M22" i="7"/>
  <c r="L22" i="7"/>
  <c r="H22" i="7"/>
  <c r="F22" i="7"/>
  <c r="E22" i="7"/>
  <c r="C22" i="7"/>
  <c r="M21" i="7"/>
  <c r="L21" i="7"/>
  <c r="H21" i="7"/>
  <c r="F21" i="7"/>
  <c r="E21" i="7"/>
  <c r="C21" i="7"/>
  <c r="M20" i="7"/>
  <c r="L20" i="7"/>
  <c r="H20" i="7"/>
  <c r="F20" i="7"/>
  <c r="E20" i="7"/>
  <c r="C20" i="7"/>
  <c r="M19" i="7"/>
  <c r="L19" i="7"/>
  <c r="H19" i="7"/>
  <c r="F19" i="7"/>
  <c r="E19" i="7"/>
  <c r="C19" i="7"/>
  <c r="M18" i="7"/>
  <c r="L18" i="7"/>
  <c r="H18" i="7"/>
  <c r="F18" i="7"/>
  <c r="E18" i="7"/>
  <c r="C18" i="7"/>
  <c r="M17" i="7"/>
  <c r="L17" i="7"/>
  <c r="H17" i="7"/>
  <c r="F17" i="7"/>
  <c r="E17" i="7"/>
  <c r="C17" i="7"/>
  <c r="M16" i="7"/>
  <c r="L16" i="7"/>
  <c r="H16" i="7"/>
  <c r="F16" i="7"/>
  <c r="E16" i="7"/>
  <c r="C16" i="7"/>
  <c r="M15" i="7"/>
  <c r="L15" i="7"/>
  <c r="H15" i="7"/>
  <c r="F15" i="7"/>
  <c r="E15" i="7"/>
  <c r="C15" i="7"/>
  <c r="M14" i="7"/>
  <c r="L14" i="7"/>
  <c r="H14" i="7"/>
  <c r="F14" i="7"/>
  <c r="E14" i="7"/>
  <c r="C14" i="7"/>
  <c r="M13" i="7"/>
  <c r="L13" i="7"/>
  <c r="H13" i="7"/>
  <c r="F13" i="7"/>
  <c r="E13" i="7"/>
  <c r="C13" i="7"/>
  <c r="M12" i="7"/>
  <c r="L12" i="7"/>
  <c r="H12" i="7"/>
  <c r="F12" i="7"/>
  <c r="E12" i="7"/>
  <c r="C12" i="7"/>
  <c r="M11" i="7"/>
  <c r="L11" i="7"/>
  <c r="H11" i="7"/>
  <c r="F11" i="7"/>
  <c r="E11" i="7"/>
  <c r="C11" i="7"/>
  <c r="M10" i="7"/>
  <c r="L10" i="7"/>
  <c r="H10" i="7"/>
  <c r="F10" i="7"/>
  <c r="E10" i="7"/>
  <c r="C10" i="7"/>
  <c r="M9" i="7"/>
  <c r="L9" i="7"/>
  <c r="H9" i="7"/>
  <c r="F9" i="7"/>
  <c r="E9" i="7"/>
  <c r="C9" i="7"/>
  <c r="M8" i="7"/>
  <c r="L8" i="7"/>
  <c r="H8" i="7"/>
  <c r="F8" i="7"/>
  <c r="E8" i="7"/>
  <c r="C8" i="7"/>
  <c r="M7" i="7"/>
  <c r="L7" i="7"/>
  <c r="H7" i="7"/>
  <c r="F7" i="7"/>
  <c r="E7" i="7"/>
  <c r="C7" i="7"/>
  <c r="M6" i="7"/>
  <c r="L6" i="7"/>
  <c r="H6" i="7"/>
  <c r="F6" i="7"/>
  <c r="E6" i="7"/>
  <c r="C6" i="7"/>
  <c r="M5" i="7"/>
  <c r="L5" i="7"/>
  <c r="H5" i="7"/>
  <c r="F5" i="7"/>
  <c r="E5" i="7"/>
  <c r="C5" i="7"/>
  <c r="M4" i="7"/>
  <c r="L4" i="7"/>
  <c r="H4" i="7"/>
  <c r="F4" i="7"/>
  <c r="E4" i="7"/>
  <c r="C4" i="7"/>
  <c r="M3" i="7"/>
  <c r="L3" i="7"/>
  <c r="H3" i="7"/>
  <c r="F3" i="7"/>
  <c r="E3" i="7"/>
  <c r="C3" i="7"/>
  <c r="L2" i="7"/>
  <c r="M2" i="7" s="1"/>
  <c r="H2" i="7"/>
  <c r="F2" i="7"/>
  <c r="E2" i="7"/>
  <c r="C2" i="7"/>
  <c r="J500" i="6"/>
  <c r="I500" i="6"/>
  <c r="D500" i="6"/>
  <c r="J499" i="6"/>
  <c r="I499" i="6"/>
  <c r="D499" i="6"/>
  <c r="J498" i="6"/>
  <c r="I498" i="6"/>
  <c r="D498" i="6"/>
  <c r="J497" i="6"/>
  <c r="I497" i="6"/>
  <c r="D497" i="6"/>
  <c r="J496" i="6"/>
  <c r="I496" i="6"/>
  <c r="D496" i="6"/>
  <c r="J495" i="6"/>
  <c r="I495" i="6"/>
  <c r="D495" i="6"/>
  <c r="J494" i="6"/>
  <c r="I494" i="6"/>
  <c r="D494" i="6"/>
  <c r="J493" i="6"/>
  <c r="I493" i="6"/>
  <c r="D493" i="6"/>
  <c r="J492" i="6"/>
  <c r="I492" i="6"/>
  <c r="D492" i="6"/>
  <c r="J491" i="6"/>
  <c r="I491" i="6"/>
  <c r="D491" i="6"/>
  <c r="J490" i="6"/>
  <c r="I490" i="6"/>
  <c r="D490" i="6"/>
  <c r="J489" i="6"/>
  <c r="I489" i="6"/>
  <c r="D489" i="6"/>
  <c r="J488" i="6"/>
  <c r="I488" i="6"/>
  <c r="D488" i="6"/>
  <c r="J487" i="6"/>
  <c r="I487" i="6"/>
  <c r="D487" i="6"/>
  <c r="J486" i="6"/>
  <c r="I486" i="6"/>
  <c r="D486" i="6"/>
  <c r="J485" i="6"/>
  <c r="I485" i="6"/>
  <c r="D485" i="6"/>
  <c r="J484" i="6"/>
  <c r="I484" i="6"/>
  <c r="D484" i="6"/>
  <c r="J483" i="6"/>
  <c r="I483" i="6"/>
  <c r="D483" i="6"/>
  <c r="J482" i="6"/>
  <c r="I482" i="6"/>
  <c r="D482" i="6"/>
  <c r="J481" i="6"/>
  <c r="I481" i="6"/>
  <c r="D481" i="6"/>
  <c r="J480" i="6"/>
  <c r="I480" i="6"/>
  <c r="D480" i="6"/>
  <c r="J479" i="6"/>
  <c r="I479" i="6"/>
  <c r="D479" i="6"/>
  <c r="J478" i="6"/>
  <c r="I478" i="6"/>
  <c r="D478" i="6"/>
  <c r="J477" i="6"/>
  <c r="I477" i="6"/>
  <c r="D477" i="6"/>
  <c r="J476" i="6"/>
  <c r="I476" i="6"/>
  <c r="D476" i="6"/>
  <c r="J475" i="6"/>
  <c r="I475" i="6"/>
  <c r="D475" i="6"/>
  <c r="J474" i="6"/>
  <c r="I474" i="6"/>
  <c r="D474" i="6"/>
  <c r="J473" i="6"/>
  <c r="I473" i="6"/>
  <c r="D473" i="6"/>
  <c r="J472" i="6"/>
  <c r="I472" i="6"/>
  <c r="D472" i="6"/>
  <c r="J471" i="6"/>
  <c r="I471" i="6"/>
  <c r="D471" i="6"/>
  <c r="J470" i="6"/>
  <c r="I470" i="6"/>
  <c r="D470" i="6"/>
  <c r="J469" i="6"/>
  <c r="I469" i="6"/>
  <c r="D469" i="6"/>
  <c r="J468" i="6"/>
  <c r="I468" i="6"/>
  <c r="D468" i="6"/>
  <c r="J467" i="6"/>
  <c r="I467" i="6"/>
  <c r="D467" i="6"/>
  <c r="J466" i="6"/>
  <c r="I466" i="6"/>
  <c r="D466" i="6"/>
  <c r="J465" i="6"/>
  <c r="I465" i="6"/>
  <c r="D465" i="6"/>
  <c r="J464" i="6"/>
  <c r="I464" i="6"/>
  <c r="D464" i="6"/>
  <c r="J463" i="6"/>
  <c r="I463" i="6"/>
  <c r="D463" i="6"/>
  <c r="J462" i="6"/>
  <c r="I462" i="6"/>
  <c r="D462" i="6"/>
  <c r="J461" i="6"/>
  <c r="I461" i="6"/>
  <c r="D461" i="6"/>
  <c r="J460" i="6"/>
  <c r="I460" i="6"/>
  <c r="D460" i="6"/>
  <c r="J459" i="6"/>
  <c r="I459" i="6"/>
  <c r="D459" i="6"/>
  <c r="J458" i="6"/>
  <c r="I458" i="6"/>
  <c r="D458" i="6"/>
  <c r="J457" i="6"/>
  <c r="I457" i="6"/>
  <c r="D457" i="6"/>
  <c r="J456" i="6"/>
  <c r="I456" i="6"/>
  <c r="D456" i="6"/>
  <c r="J455" i="6"/>
  <c r="I455" i="6"/>
  <c r="D455" i="6"/>
  <c r="J454" i="6"/>
  <c r="I454" i="6"/>
  <c r="D454" i="6"/>
  <c r="J453" i="6"/>
  <c r="I453" i="6"/>
  <c r="D453" i="6"/>
  <c r="J452" i="6"/>
  <c r="I452" i="6"/>
  <c r="D452" i="6"/>
  <c r="J451" i="6"/>
  <c r="I451" i="6"/>
  <c r="D451" i="6"/>
  <c r="J450" i="6"/>
  <c r="I450" i="6"/>
  <c r="D450" i="6"/>
  <c r="J449" i="6"/>
  <c r="I449" i="6"/>
  <c r="D449" i="6"/>
  <c r="J448" i="6"/>
  <c r="I448" i="6"/>
  <c r="D448" i="6"/>
  <c r="J447" i="6"/>
  <c r="I447" i="6"/>
  <c r="D447" i="6"/>
  <c r="J446" i="6"/>
  <c r="I446" i="6"/>
  <c r="D446" i="6"/>
  <c r="J445" i="6"/>
  <c r="I445" i="6"/>
  <c r="D445" i="6"/>
  <c r="J444" i="6"/>
  <c r="I444" i="6"/>
  <c r="D444" i="6"/>
  <c r="J443" i="6"/>
  <c r="I443" i="6"/>
  <c r="D443" i="6"/>
  <c r="J442" i="6"/>
  <c r="I442" i="6"/>
  <c r="D442" i="6"/>
  <c r="J441" i="6"/>
  <c r="I441" i="6"/>
  <c r="D441" i="6"/>
  <c r="J440" i="6"/>
  <c r="I440" i="6"/>
  <c r="D440" i="6"/>
  <c r="J439" i="6"/>
  <c r="I439" i="6"/>
  <c r="D439" i="6"/>
  <c r="J438" i="6"/>
  <c r="I438" i="6"/>
  <c r="D438" i="6"/>
  <c r="J437" i="6"/>
  <c r="I437" i="6"/>
  <c r="D437" i="6"/>
  <c r="J436" i="6"/>
  <c r="I436" i="6"/>
  <c r="D436" i="6"/>
  <c r="J435" i="6"/>
  <c r="I435" i="6"/>
  <c r="D435" i="6"/>
  <c r="J434" i="6"/>
  <c r="I434" i="6"/>
  <c r="D434" i="6"/>
  <c r="J433" i="6"/>
  <c r="I433" i="6"/>
  <c r="D433" i="6"/>
  <c r="J432" i="6"/>
  <c r="I432" i="6"/>
  <c r="D432" i="6"/>
  <c r="J431" i="6"/>
  <c r="I431" i="6"/>
  <c r="D431" i="6"/>
  <c r="J430" i="6"/>
  <c r="I430" i="6"/>
  <c r="D430" i="6"/>
  <c r="J429" i="6"/>
  <c r="I429" i="6"/>
  <c r="D429" i="6"/>
  <c r="J428" i="6"/>
  <c r="I428" i="6"/>
  <c r="D428" i="6"/>
  <c r="J427" i="6"/>
  <c r="I427" i="6"/>
  <c r="D427" i="6"/>
  <c r="J426" i="6"/>
  <c r="I426" i="6"/>
  <c r="D426" i="6"/>
  <c r="J425" i="6"/>
  <c r="I425" i="6"/>
  <c r="D425" i="6"/>
  <c r="J424" i="6"/>
  <c r="I424" i="6"/>
  <c r="D424" i="6"/>
  <c r="J423" i="6"/>
  <c r="I423" i="6"/>
  <c r="D423" i="6"/>
  <c r="J422" i="6"/>
  <c r="I422" i="6"/>
  <c r="D422" i="6"/>
  <c r="J421" i="6"/>
  <c r="I421" i="6"/>
  <c r="D421" i="6"/>
  <c r="J420" i="6"/>
  <c r="I420" i="6"/>
  <c r="D420" i="6"/>
  <c r="J419" i="6"/>
  <c r="I419" i="6"/>
  <c r="D419" i="6"/>
  <c r="J418" i="6"/>
  <c r="I418" i="6"/>
  <c r="D418" i="6"/>
  <c r="J417" i="6"/>
  <c r="I417" i="6"/>
  <c r="D417" i="6"/>
  <c r="J416" i="6"/>
  <c r="I416" i="6"/>
  <c r="D416" i="6"/>
  <c r="J415" i="6"/>
  <c r="I415" i="6"/>
  <c r="D415" i="6"/>
  <c r="J414" i="6"/>
  <c r="I414" i="6"/>
  <c r="D414" i="6"/>
  <c r="J413" i="6"/>
  <c r="I413" i="6"/>
  <c r="D413" i="6"/>
  <c r="J412" i="6"/>
  <c r="I412" i="6"/>
  <c r="D412" i="6"/>
  <c r="J411" i="6"/>
  <c r="I411" i="6"/>
  <c r="D411" i="6"/>
  <c r="J410" i="6"/>
  <c r="I410" i="6"/>
  <c r="D410" i="6"/>
  <c r="J409" i="6"/>
  <c r="I409" i="6"/>
  <c r="D409" i="6"/>
  <c r="J408" i="6"/>
  <c r="I408" i="6"/>
  <c r="D408" i="6"/>
  <c r="J407" i="6"/>
  <c r="I407" i="6"/>
  <c r="D407" i="6"/>
  <c r="J406" i="6"/>
  <c r="I406" i="6"/>
  <c r="D406" i="6"/>
  <c r="J405" i="6"/>
  <c r="I405" i="6"/>
  <c r="D405" i="6"/>
  <c r="J404" i="6"/>
  <c r="I404" i="6"/>
  <c r="D404" i="6"/>
  <c r="J403" i="6"/>
  <c r="I403" i="6"/>
  <c r="D403" i="6"/>
  <c r="J402" i="6"/>
  <c r="I402" i="6"/>
  <c r="D402" i="6"/>
  <c r="J401" i="6"/>
  <c r="I401" i="6"/>
  <c r="D401" i="6"/>
  <c r="J400" i="6"/>
  <c r="I400" i="6"/>
  <c r="D400" i="6"/>
  <c r="J399" i="6"/>
  <c r="I399" i="6"/>
  <c r="D399" i="6"/>
  <c r="J398" i="6"/>
  <c r="I398" i="6"/>
  <c r="D398" i="6"/>
  <c r="J397" i="6"/>
  <c r="I397" i="6"/>
  <c r="D397" i="6"/>
  <c r="J396" i="6"/>
  <c r="I396" i="6"/>
  <c r="D396" i="6"/>
  <c r="J395" i="6"/>
  <c r="I395" i="6"/>
  <c r="D395" i="6"/>
  <c r="J394" i="6"/>
  <c r="I394" i="6"/>
  <c r="D394" i="6"/>
  <c r="J393" i="6"/>
  <c r="I393" i="6"/>
  <c r="D393" i="6"/>
  <c r="J392" i="6"/>
  <c r="I392" i="6"/>
  <c r="D392" i="6"/>
  <c r="J391" i="6"/>
  <c r="I391" i="6"/>
  <c r="D391" i="6"/>
  <c r="J390" i="6"/>
  <c r="I390" i="6"/>
  <c r="D390" i="6"/>
  <c r="J389" i="6"/>
  <c r="I389" i="6"/>
  <c r="D389" i="6"/>
  <c r="J388" i="6"/>
  <c r="I388" i="6"/>
  <c r="D388" i="6"/>
  <c r="J387" i="6"/>
  <c r="I387" i="6"/>
  <c r="D387" i="6"/>
  <c r="J386" i="6"/>
  <c r="I386" i="6"/>
  <c r="D386" i="6"/>
  <c r="J385" i="6"/>
  <c r="I385" i="6"/>
  <c r="D385" i="6"/>
  <c r="J384" i="6"/>
  <c r="I384" i="6"/>
  <c r="D384" i="6"/>
  <c r="J383" i="6"/>
  <c r="I383" i="6"/>
  <c r="D383" i="6"/>
  <c r="J382" i="6"/>
  <c r="I382" i="6"/>
  <c r="D382" i="6"/>
  <c r="J381" i="6"/>
  <c r="I381" i="6"/>
  <c r="D381" i="6"/>
  <c r="J380" i="6"/>
  <c r="I380" i="6"/>
  <c r="D380" i="6"/>
  <c r="J379" i="6"/>
  <c r="I379" i="6"/>
  <c r="D379" i="6"/>
  <c r="J378" i="6"/>
  <c r="I378" i="6"/>
  <c r="D378" i="6"/>
  <c r="J377" i="6"/>
  <c r="I377" i="6"/>
  <c r="D377" i="6"/>
  <c r="J376" i="6"/>
  <c r="I376" i="6"/>
  <c r="D376" i="6"/>
  <c r="J375" i="6"/>
  <c r="I375" i="6"/>
  <c r="D375" i="6"/>
  <c r="J374" i="6"/>
  <c r="I374" i="6"/>
  <c r="D374" i="6"/>
  <c r="J373" i="6"/>
  <c r="I373" i="6"/>
  <c r="D373" i="6"/>
  <c r="J372" i="6"/>
  <c r="I372" i="6"/>
  <c r="D372" i="6"/>
  <c r="J371" i="6"/>
  <c r="I371" i="6"/>
  <c r="D371" i="6"/>
  <c r="J370" i="6"/>
  <c r="I370" i="6"/>
  <c r="D370" i="6"/>
  <c r="J369" i="6"/>
  <c r="I369" i="6"/>
  <c r="D369" i="6"/>
  <c r="J368" i="6"/>
  <c r="I368" i="6"/>
  <c r="D368" i="6"/>
  <c r="J367" i="6"/>
  <c r="I367" i="6"/>
  <c r="D367" i="6"/>
  <c r="J366" i="6"/>
  <c r="I366" i="6"/>
  <c r="D366" i="6"/>
  <c r="J365" i="6"/>
  <c r="I365" i="6"/>
  <c r="D365" i="6"/>
  <c r="J364" i="6"/>
  <c r="I364" i="6"/>
  <c r="D364" i="6"/>
  <c r="J363" i="6"/>
  <c r="I363" i="6"/>
  <c r="D363" i="6"/>
  <c r="J362" i="6"/>
  <c r="I362" i="6"/>
  <c r="D362" i="6"/>
  <c r="J361" i="6"/>
  <c r="I361" i="6"/>
  <c r="D361" i="6"/>
  <c r="J360" i="6"/>
  <c r="I360" i="6"/>
  <c r="D360" i="6"/>
  <c r="J359" i="6"/>
  <c r="I359" i="6"/>
  <c r="D359" i="6"/>
  <c r="J358" i="6"/>
  <c r="I358" i="6"/>
  <c r="D358" i="6"/>
  <c r="J357" i="6"/>
  <c r="I357" i="6"/>
  <c r="D357" i="6"/>
  <c r="J356" i="6"/>
  <c r="I356" i="6"/>
  <c r="D356" i="6"/>
  <c r="J355" i="6"/>
  <c r="I355" i="6"/>
  <c r="D355" i="6"/>
  <c r="J354" i="6"/>
  <c r="I354" i="6"/>
  <c r="D354" i="6"/>
  <c r="J353" i="6"/>
  <c r="I353" i="6"/>
  <c r="D353" i="6"/>
  <c r="J352" i="6"/>
  <c r="I352" i="6"/>
  <c r="D352" i="6"/>
  <c r="J351" i="6"/>
  <c r="I351" i="6"/>
  <c r="D351" i="6"/>
  <c r="J350" i="6"/>
  <c r="I350" i="6"/>
  <c r="D350" i="6"/>
  <c r="J349" i="6"/>
  <c r="I349" i="6"/>
  <c r="D349" i="6"/>
  <c r="J348" i="6"/>
  <c r="I348" i="6"/>
  <c r="D348" i="6"/>
  <c r="J347" i="6"/>
  <c r="I347" i="6"/>
  <c r="D347" i="6"/>
  <c r="J346" i="6"/>
  <c r="I346" i="6"/>
  <c r="D346" i="6"/>
  <c r="J345" i="6"/>
  <c r="I345" i="6"/>
  <c r="D345" i="6"/>
  <c r="J344" i="6"/>
  <c r="I344" i="6"/>
  <c r="D344" i="6"/>
  <c r="J343" i="6"/>
  <c r="I343" i="6"/>
  <c r="D343" i="6"/>
  <c r="J342" i="6"/>
  <c r="I342" i="6"/>
  <c r="D342" i="6"/>
  <c r="J341" i="6"/>
  <c r="I341" i="6"/>
  <c r="D341" i="6"/>
  <c r="J340" i="6"/>
  <c r="I340" i="6"/>
  <c r="D340" i="6"/>
  <c r="J339" i="6"/>
  <c r="I339" i="6"/>
  <c r="D339" i="6"/>
  <c r="J338" i="6"/>
  <c r="I338" i="6"/>
  <c r="D338" i="6"/>
  <c r="J337" i="6"/>
  <c r="I337" i="6"/>
  <c r="D337" i="6"/>
  <c r="J336" i="6"/>
  <c r="I336" i="6"/>
  <c r="D336" i="6"/>
  <c r="J335" i="6"/>
  <c r="I335" i="6"/>
  <c r="D335" i="6"/>
  <c r="J334" i="6"/>
  <c r="I334" i="6"/>
  <c r="D334" i="6"/>
  <c r="J333" i="6"/>
  <c r="I333" i="6"/>
  <c r="D333" i="6"/>
  <c r="J332" i="6"/>
  <c r="I332" i="6"/>
  <c r="D332" i="6"/>
  <c r="J331" i="6"/>
  <c r="I331" i="6"/>
  <c r="D331" i="6"/>
  <c r="J330" i="6"/>
  <c r="I330" i="6"/>
  <c r="D330" i="6"/>
  <c r="J329" i="6"/>
  <c r="I329" i="6"/>
  <c r="D329" i="6"/>
  <c r="J328" i="6"/>
  <c r="I328" i="6"/>
  <c r="D328" i="6"/>
  <c r="J327" i="6"/>
  <c r="I327" i="6"/>
  <c r="D327" i="6"/>
  <c r="J326" i="6"/>
  <c r="I326" i="6"/>
  <c r="D326" i="6"/>
  <c r="J325" i="6"/>
  <c r="I325" i="6"/>
  <c r="D325" i="6"/>
  <c r="J324" i="6"/>
  <c r="I324" i="6"/>
  <c r="D324" i="6"/>
  <c r="J323" i="6"/>
  <c r="I323" i="6"/>
  <c r="D323" i="6"/>
  <c r="J322" i="6"/>
  <c r="I322" i="6"/>
  <c r="D322" i="6"/>
  <c r="J321" i="6"/>
  <c r="I321" i="6"/>
  <c r="D321" i="6"/>
  <c r="J320" i="6"/>
  <c r="I320" i="6"/>
  <c r="D320" i="6"/>
  <c r="J319" i="6"/>
  <c r="I319" i="6"/>
  <c r="D319" i="6"/>
  <c r="J318" i="6"/>
  <c r="I318" i="6"/>
  <c r="D318" i="6"/>
  <c r="J317" i="6"/>
  <c r="I317" i="6"/>
  <c r="D317" i="6"/>
  <c r="J316" i="6"/>
  <c r="I316" i="6"/>
  <c r="D316" i="6"/>
  <c r="J315" i="6"/>
  <c r="I315" i="6"/>
  <c r="D315" i="6"/>
  <c r="J314" i="6"/>
  <c r="I314" i="6"/>
  <c r="D314" i="6"/>
  <c r="J313" i="6"/>
  <c r="I313" i="6"/>
  <c r="D313" i="6"/>
  <c r="J312" i="6"/>
  <c r="I312" i="6"/>
  <c r="D312" i="6"/>
  <c r="J311" i="6"/>
  <c r="I311" i="6"/>
  <c r="D311" i="6"/>
  <c r="J310" i="6"/>
  <c r="I310" i="6"/>
  <c r="D310" i="6"/>
  <c r="J309" i="6"/>
  <c r="I309" i="6"/>
  <c r="D309" i="6"/>
  <c r="J308" i="6"/>
  <c r="I308" i="6"/>
  <c r="D308" i="6"/>
  <c r="J307" i="6"/>
  <c r="I307" i="6"/>
  <c r="D307" i="6"/>
  <c r="J306" i="6"/>
  <c r="I306" i="6"/>
  <c r="D306" i="6"/>
  <c r="J305" i="6"/>
  <c r="I305" i="6"/>
  <c r="D305" i="6"/>
  <c r="J304" i="6"/>
  <c r="I304" i="6"/>
  <c r="D304" i="6"/>
  <c r="J303" i="6"/>
  <c r="I303" i="6"/>
  <c r="D303" i="6"/>
  <c r="J302" i="6"/>
  <c r="I302" i="6"/>
  <c r="D302" i="6"/>
  <c r="J301" i="6"/>
  <c r="I301" i="6"/>
  <c r="D301" i="6"/>
  <c r="J300" i="6"/>
  <c r="I300" i="6"/>
  <c r="D300" i="6"/>
  <c r="J299" i="6"/>
  <c r="I299" i="6"/>
  <c r="D299" i="6"/>
  <c r="J298" i="6"/>
  <c r="I298" i="6"/>
  <c r="D298" i="6"/>
  <c r="J297" i="6"/>
  <c r="I297" i="6"/>
  <c r="D297" i="6"/>
  <c r="J296" i="6"/>
  <c r="I296" i="6"/>
  <c r="D296" i="6"/>
  <c r="J295" i="6"/>
  <c r="I295" i="6"/>
  <c r="D295" i="6"/>
  <c r="J294" i="6"/>
  <c r="I294" i="6"/>
  <c r="D294" i="6"/>
  <c r="J293" i="6"/>
  <c r="I293" i="6"/>
  <c r="D293" i="6"/>
  <c r="J292" i="6"/>
  <c r="I292" i="6"/>
  <c r="D292" i="6"/>
  <c r="J291" i="6"/>
  <c r="I291" i="6"/>
  <c r="D291" i="6"/>
  <c r="J290" i="6"/>
  <c r="I290" i="6"/>
  <c r="D290" i="6"/>
  <c r="J289" i="6"/>
  <c r="I289" i="6"/>
  <c r="D289" i="6"/>
  <c r="J288" i="6"/>
  <c r="I288" i="6"/>
  <c r="D288" i="6"/>
  <c r="J287" i="6"/>
  <c r="I287" i="6"/>
  <c r="D287" i="6"/>
  <c r="J286" i="6"/>
  <c r="I286" i="6"/>
  <c r="D286" i="6"/>
  <c r="J285" i="6"/>
  <c r="I285" i="6"/>
  <c r="D285" i="6"/>
  <c r="J284" i="6"/>
  <c r="I284" i="6"/>
  <c r="D284" i="6"/>
  <c r="J283" i="6"/>
  <c r="I283" i="6"/>
  <c r="D283" i="6"/>
  <c r="J282" i="6"/>
  <c r="I282" i="6"/>
  <c r="D282" i="6"/>
  <c r="J281" i="6"/>
  <c r="I281" i="6"/>
  <c r="D281" i="6"/>
  <c r="J280" i="6"/>
  <c r="I280" i="6"/>
  <c r="D280" i="6"/>
  <c r="J279" i="6"/>
  <c r="I279" i="6"/>
  <c r="D279" i="6"/>
  <c r="J278" i="6"/>
  <c r="I278" i="6"/>
  <c r="D278" i="6"/>
  <c r="J277" i="6"/>
  <c r="I277" i="6"/>
  <c r="D277" i="6"/>
  <c r="J276" i="6"/>
  <c r="I276" i="6"/>
  <c r="D276" i="6"/>
  <c r="J275" i="6"/>
  <c r="I275" i="6"/>
  <c r="D275" i="6"/>
  <c r="J274" i="6"/>
  <c r="I274" i="6"/>
  <c r="D274" i="6"/>
  <c r="J273" i="6"/>
  <c r="I273" i="6"/>
  <c r="D273" i="6"/>
  <c r="J272" i="6"/>
  <c r="I272" i="6"/>
  <c r="D272" i="6"/>
  <c r="J271" i="6"/>
  <c r="I271" i="6"/>
  <c r="D271" i="6"/>
  <c r="J270" i="6"/>
  <c r="I270" i="6"/>
  <c r="D270" i="6"/>
  <c r="J269" i="6"/>
  <c r="I269" i="6"/>
  <c r="D269" i="6"/>
  <c r="J268" i="6"/>
  <c r="I268" i="6"/>
  <c r="D268" i="6"/>
  <c r="J267" i="6"/>
  <c r="I267" i="6"/>
  <c r="D267" i="6"/>
  <c r="J266" i="6"/>
  <c r="I266" i="6"/>
  <c r="D266" i="6"/>
  <c r="J265" i="6"/>
  <c r="I265" i="6"/>
  <c r="D265" i="6"/>
  <c r="J264" i="6"/>
  <c r="I264" i="6"/>
  <c r="D264" i="6"/>
  <c r="J263" i="6"/>
  <c r="I263" i="6"/>
  <c r="D263" i="6"/>
  <c r="J262" i="6"/>
  <c r="I262" i="6"/>
  <c r="D262" i="6"/>
  <c r="J261" i="6"/>
  <c r="I261" i="6"/>
  <c r="D261" i="6"/>
  <c r="J260" i="6"/>
  <c r="I260" i="6"/>
  <c r="D260" i="6"/>
  <c r="J259" i="6"/>
  <c r="I259" i="6"/>
  <c r="D259" i="6"/>
  <c r="J258" i="6"/>
  <c r="I258" i="6"/>
  <c r="D258" i="6"/>
  <c r="J257" i="6"/>
  <c r="I257" i="6"/>
  <c r="D257" i="6"/>
  <c r="J256" i="6"/>
  <c r="I256" i="6"/>
  <c r="D256" i="6"/>
  <c r="J255" i="6"/>
  <c r="I255" i="6"/>
  <c r="D255" i="6"/>
  <c r="J254" i="6"/>
  <c r="I254" i="6"/>
  <c r="D254" i="6"/>
  <c r="J253" i="6"/>
  <c r="I253" i="6"/>
  <c r="D253" i="6"/>
  <c r="J252" i="6"/>
  <c r="I252" i="6"/>
  <c r="D252" i="6"/>
  <c r="J251" i="6"/>
  <c r="I251" i="6"/>
  <c r="D251" i="6"/>
  <c r="J250" i="6"/>
  <c r="I250" i="6"/>
  <c r="D250" i="6"/>
  <c r="J249" i="6"/>
  <c r="I249" i="6"/>
  <c r="D249" i="6"/>
  <c r="J248" i="6"/>
  <c r="I248" i="6"/>
  <c r="D248" i="6"/>
  <c r="J247" i="6"/>
  <c r="I247" i="6"/>
  <c r="D247" i="6"/>
  <c r="J246" i="6"/>
  <c r="I246" i="6"/>
  <c r="D246" i="6"/>
  <c r="J245" i="6"/>
  <c r="I245" i="6"/>
  <c r="D245" i="6"/>
  <c r="J244" i="6"/>
  <c r="I244" i="6"/>
  <c r="D244" i="6"/>
  <c r="J243" i="6"/>
  <c r="I243" i="6"/>
  <c r="D243" i="6"/>
  <c r="J242" i="6"/>
  <c r="I242" i="6"/>
  <c r="D242" i="6"/>
  <c r="J241" i="6"/>
  <c r="I241" i="6"/>
  <c r="D241" i="6"/>
  <c r="J240" i="6"/>
  <c r="I240" i="6"/>
  <c r="D240" i="6"/>
  <c r="J239" i="6"/>
  <c r="I239" i="6"/>
  <c r="D239" i="6"/>
  <c r="J238" i="6"/>
  <c r="I238" i="6"/>
  <c r="D238" i="6"/>
  <c r="J237" i="6"/>
  <c r="I237" i="6"/>
  <c r="D237" i="6"/>
  <c r="J236" i="6"/>
  <c r="I236" i="6"/>
  <c r="D236" i="6"/>
  <c r="J235" i="6"/>
  <c r="I235" i="6"/>
  <c r="D235" i="6"/>
  <c r="J234" i="6"/>
  <c r="I234" i="6"/>
  <c r="D234" i="6"/>
  <c r="J233" i="6"/>
  <c r="I233" i="6"/>
  <c r="D233" i="6"/>
  <c r="J232" i="6"/>
  <c r="I232" i="6"/>
  <c r="D232" i="6"/>
  <c r="J231" i="6"/>
  <c r="I231" i="6"/>
  <c r="D231" i="6"/>
  <c r="J230" i="6"/>
  <c r="I230" i="6"/>
  <c r="D230" i="6"/>
  <c r="J229" i="6"/>
  <c r="I229" i="6"/>
  <c r="D229" i="6"/>
  <c r="J228" i="6"/>
  <c r="I228" i="6"/>
  <c r="D228" i="6"/>
  <c r="J227" i="6"/>
  <c r="I227" i="6"/>
  <c r="D227" i="6"/>
  <c r="J226" i="6"/>
  <c r="I226" i="6"/>
  <c r="D226" i="6"/>
  <c r="J225" i="6"/>
  <c r="I225" i="6"/>
  <c r="D225" i="6"/>
  <c r="J224" i="6"/>
  <c r="I224" i="6"/>
  <c r="D224" i="6"/>
  <c r="J223" i="6"/>
  <c r="I223" i="6"/>
  <c r="D223" i="6"/>
  <c r="J222" i="6"/>
  <c r="I222" i="6"/>
  <c r="D222" i="6"/>
  <c r="J221" i="6"/>
  <c r="I221" i="6"/>
  <c r="D221" i="6"/>
  <c r="J220" i="6"/>
  <c r="I220" i="6"/>
  <c r="D220" i="6"/>
  <c r="J219" i="6"/>
  <c r="I219" i="6"/>
  <c r="D219" i="6"/>
  <c r="J218" i="6"/>
  <c r="I218" i="6"/>
  <c r="D218" i="6"/>
  <c r="J217" i="6"/>
  <c r="I217" i="6"/>
  <c r="D217" i="6"/>
  <c r="J216" i="6"/>
  <c r="I216" i="6"/>
  <c r="D216" i="6"/>
  <c r="J215" i="6"/>
  <c r="I215" i="6"/>
  <c r="D215" i="6"/>
  <c r="J214" i="6"/>
  <c r="I214" i="6"/>
  <c r="D214" i="6"/>
  <c r="J213" i="6"/>
  <c r="I213" i="6"/>
  <c r="D213" i="6"/>
  <c r="J212" i="6"/>
  <c r="I212" i="6"/>
  <c r="D212" i="6"/>
  <c r="J211" i="6"/>
  <c r="I211" i="6"/>
  <c r="D211" i="6"/>
  <c r="J210" i="6"/>
  <c r="I210" i="6"/>
  <c r="D210" i="6"/>
  <c r="J209" i="6"/>
  <c r="I209" i="6"/>
  <c r="D209" i="6"/>
  <c r="J208" i="6"/>
  <c r="I208" i="6"/>
  <c r="D208" i="6"/>
  <c r="J207" i="6"/>
  <c r="I207" i="6"/>
  <c r="D207" i="6"/>
  <c r="J206" i="6"/>
  <c r="I206" i="6"/>
  <c r="D206" i="6"/>
  <c r="J205" i="6"/>
  <c r="I205" i="6"/>
  <c r="D205" i="6"/>
  <c r="J204" i="6"/>
  <c r="I204" i="6"/>
  <c r="D204" i="6"/>
  <c r="J203" i="6"/>
  <c r="I203" i="6"/>
  <c r="D203" i="6"/>
  <c r="J202" i="6"/>
  <c r="I202" i="6"/>
  <c r="D202" i="6"/>
  <c r="J201" i="6"/>
  <c r="I201" i="6"/>
  <c r="D201" i="6"/>
  <c r="J200" i="6"/>
  <c r="I200" i="6"/>
  <c r="D200" i="6"/>
  <c r="J199" i="6"/>
  <c r="I199" i="6"/>
  <c r="D199" i="6"/>
  <c r="J198" i="6"/>
  <c r="I198" i="6"/>
  <c r="D198" i="6"/>
  <c r="J197" i="6"/>
  <c r="I197" i="6"/>
  <c r="D197" i="6"/>
  <c r="J196" i="6"/>
  <c r="I196" i="6"/>
  <c r="D196" i="6"/>
  <c r="J195" i="6"/>
  <c r="I195" i="6"/>
  <c r="D195" i="6"/>
  <c r="J194" i="6"/>
  <c r="I194" i="6"/>
  <c r="D194" i="6"/>
  <c r="J193" i="6"/>
  <c r="I193" i="6"/>
  <c r="D193" i="6"/>
  <c r="J192" i="6"/>
  <c r="I192" i="6"/>
  <c r="D192" i="6"/>
  <c r="J191" i="6"/>
  <c r="I191" i="6"/>
  <c r="D191" i="6"/>
  <c r="J190" i="6"/>
  <c r="I190" i="6"/>
  <c r="D190" i="6"/>
  <c r="J189" i="6"/>
  <c r="I189" i="6"/>
  <c r="D189" i="6"/>
  <c r="J188" i="6"/>
  <c r="I188" i="6"/>
  <c r="D188" i="6"/>
  <c r="J187" i="6"/>
  <c r="I187" i="6"/>
  <c r="D187" i="6"/>
  <c r="J186" i="6"/>
  <c r="I186" i="6"/>
  <c r="D186" i="6"/>
  <c r="J185" i="6"/>
  <c r="I185" i="6"/>
  <c r="D185" i="6"/>
  <c r="J184" i="6"/>
  <c r="I184" i="6"/>
  <c r="D184" i="6"/>
  <c r="J183" i="6"/>
  <c r="I183" i="6"/>
  <c r="D183" i="6"/>
  <c r="J182" i="6"/>
  <c r="I182" i="6"/>
  <c r="D182" i="6"/>
  <c r="J181" i="6"/>
  <c r="I181" i="6"/>
  <c r="D181" i="6"/>
  <c r="J180" i="6"/>
  <c r="I180" i="6"/>
  <c r="D180" i="6"/>
  <c r="J179" i="6"/>
  <c r="I179" i="6"/>
  <c r="D179" i="6"/>
  <c r="J178" i="6"/>
  <c r="I178" i="6"/>
  <c r="D178" i="6"/>
  <c r="J177" i="6"/>
  <c r="I177" i="6"/>
  <c r="D177" i="6"/>
  <c r="J176" i="6"/>
  <c r="I176" i="6"/>
  <c r="D176" i="6"/>
  <c r="J175" i="6"/>
  <c r="I175" i="6"/>
  <c r="D175" i="6"/>
  <c r="J174" i="6"/>
  <c r="I174" i="6"/>
  <c r="D174" i="6"/>
  <c r="J173" i="6"/>
  <c r="I173" i="6"/>
  <c r="D173" i="6"/>
  <c r="J172" i="6"/>
  <c r="I172" i="6"/>
  <c r="D172" i="6"/>
  <c r="J171" i="6"/>
  <c r="I171" i="6"/>
  <c r="D171" i="6"/>
  <c r="J170" i="6"/>
  <c r="I170" i="6"/>
  <c r="D170" i="6"/>
  <c r="J169" i="6"/>
  <c r="I169" i="6"/>
  <c r="D169" i="6"/>
  <c r="J168" i="6"/>
  <c r="I168" i="6"/>
  <c r="D168" i="6"/>
  <c r="J167" i="6"/>
  <c r="I167" i="6"/>
  <c r="D167" i="6"/>
  <c r="J166" i="6"/>
  <c r="I166" i="6"/>
  <c r="D166" i="6"/>
  <c r="J165" i="6"/>
  <c r="I165" i="6"/>
  <c r="D165" i="6"/>
  <c r="J164" i="6"/>
  <c r="I164" i="6"/>
  <c r="D164" i="6"/>
  <c r="J163" i="6"/>
  <c r="I163" i="6"/>
  <c r="D163" i="6"/>
  <c r="J162" i="6"/>
  <c r="I162" i="6"/>
  <c r="D162" i="6"/>
  <c r="J161" i="6"/>
  <c r="I161" i="6"/>
  <c r="D161" i="6"/>
  <c r="J160" i="6"/>
  <c r="I160" i="6"/>
  <c r="D160" i="6"/>
  <c r="J159" i="6"/>
  <c r="I159" i="6"/>
  <c r="D159" i="6"/>
  <c r="J158" i="6"/>
  <c r="I158" i="6"/>
  <c r="D158" i="6"/>
  <c r="J157" i="6"/>
  <c r="I157" i="6"/>
  <c r="D157" i="6"/>
  <c r="J156" i="6"/>
  <c r="I156" i="6"/>
  <c r="D156" i="6"/>
  <c r="J155" i="6"/>
  <c r="I155" i="6"/>
  <c r="D155" i="6"/>
  <c r="J154" i="6"/>
  <c r="I154" i="6"/>
  <c r="D154" i="6"/>
  <c r="J153" i="6"/>
  <c r="I153" i="6"/>
  <c r="D153" i="6"/>
  <c r="J152" i="6"/>
  <c r="I152" i="6"/>
  <c r="D152" i="6"/>
  <c r="J151" i="6"/>
  <c r="I151" i="6"/>
  <c r="D151" i="6"/>
  <c r="J150" i="6"/>
  <c r="I150" i="6"/>
  <c r="D150" i="6"/>
  <c r="J149" i="6"/>
  <c r="I149" i="6"/>
  <c r="D149" i="6"/>
  <c r="J148" i="6"/>
  <c r="I148" i="6"/>
  <c r="D148" i="6"/>
  <c r="J147" i="6"/>
  <c r="I147" i="6"/>
  <c r="D147" i="6"/>
  <c r="J146" i="6"/>
  <c r="I146" i="6"/>
  <c r="D146" i="6"/>
  <c r="J145" i="6"/>
  <c r="I145" i="6"/>
  <c r="D145" i="6"/>
  <c r="J144" i="6"/>
  <c r="I144" i="6"/>
  <c r="D144" i="6"/>
  <c r="J143" i="6"/>
  <c r="I143" i="6"/>
  <c r="D143" i="6"/>
  <c r="J142" i="6"/>
  <c r="I142" i="6"/>
  <c r="D142" i="6"/>
  <c r="J141" i="6"/>
  <c r="I141" i="6"/>
  <c r="D141" i="6"/>
  <c r="J140" i="6"/>
  <c r="I140" i="6"/>
  <c r="D140" i="6"/>
  <c r="J139" i="6"/>
  <c r="I139" i="6"/>
  <c r="D139" i="6"/>
  <c r="J138" i="6"/>
  <c r="I138" i="6"/>
  <c r="D138" i="6"/>
  <c r="J137" i="6"/>
  <c r="I137" i="6"/>
  <c r="D137" i="6"/>
  <c r="J136" i="6"/>
  <c r="I136" i="6"/>
  <c r="D136" i="6"/>
  <c r="J135" i="6"/>
  <c r="I135" i="6"/>
  <c r="D135" i="6"/>
  <c r="J134" i="6"/>
  <c r="I134" i="6"/>
  <c r="D134" i="6"/>
  <c r="J133" i="6"/>
  <c r="I133" i="6"/>
  <c r="D133" i="6"/>
  <c r="J132" i="6"/>
  <c r="I132" i="6"/>
  <c r="D132" i="6"/>
  <c r="J131" i="6"/>
  <c r="I131" i="6"/>
  <c r="D131" i="6"/>
  <c r="J130" i="6"/>
  <c r="I130" i="6"/>
  <c r="D130" i="6"/>
  <c r="J129" i="6"/>
  <c r="I129" i="6"/>
  <c r="D129" i="6"/>
  <c r="J128" i="6"/>
  <c r="I128" i="6"/>
  <c r="D128" i="6"/>
  <c r="J127" i="6"/>
  <c r="I127" i="6"/>
  <c r="D127" i="6"/>
  <c r="J126" i="6"/>
  <c r="I126" i="6"/>
  <c r="D126" i="6"/>
  <c r="J125" i="6"/>
  <c r="I125" i="6"/>
  <c r="D125" i="6"/>
  <c r="J124" i="6"/>
  <c r="I124" i="6"/>
  <c r="D124" i="6"/>
  <c r="J123" i="6"/>
  <c r="I123" i="6"/>
  <c r="D123" i="6"/>
  <c r="J122" i="6"/>
  <c r="I122" i="6"/>
  <c r="D122" i="6"/>
  <c r="J121" i="6"/>
  <c r="I121" i="6"/>
  <c r="D121" i="6"/>
  <c r="J120" i="6"/>
  <c r="I120" i="6"/>
  <c r="D120" i="6"/>
  <c r="J119" i="6"/>
  <c r="I119" i="6"/>
  <c r="D119" i="6"/>
  <c r="J118" i="6"/>
  <c r="I118" i="6"/>
  <c r="D118" i="6"/>
  <c r="J117" i="6"/>
  <c r="I117" i="6"/>
  <c r="D117" i="6"/>
  <c r="J116" i="6"/>
  <c r="I116" i="6"/>
  <c r="D116" i="6"/>
  <c r="J115" i="6"/>
  <c r="I115" i="6"/>
  <c r="D115" i="6"/>
  <c r="J114" i="6"/>
  <c r="I114" i="6"/>
  <c r="D114" i="6"/>
  <c r="J113" i="6"/>
  <c r="I113" i="6"/>
  <c r="D113" i="6"/>
  <c r="J112" i="6"/>
  <c r="I112" i="6"/>
  <c r="D112" i="6"/>
  <c r="J111" i="6"/>
  <c r="I111" i="6"/>
  <c r="D111" i="6"/>
  <c r="J110" i="6"/>
  <c r="I110" i="6"/>
  <c r="D110" i="6"/>
  <c r="J109" i="6"/>
  <c r="I109" i="6"/>
  <c r="D109" i="6"/>
  <c r="J108" i="6"/>
  <c r="I108" i="6"/>
  <c r="D108" i="6"/>
  <c r="J107" i="6"/>
  <c r="I107" i="6"/>
  <c r="D107" i="6"/>
  <c r="J106" i="6"/>
  <c r="I106" i="6"/>
  <c r="D106" i="6"/>
  <c r="J105" i="6"/>
  <c r="I105" i="6"/>
  <c r="D105" i="6"/>
  <c r="J104" i="6"/>
  <c r="I104" i="6"/>
  <c r="D104" i="6"/>
  <c r="J103" i="6"/>
  <c r="I103" i="6"/>
  <c r="D103" i="6"/>
  <c r="J102" i="6"/>
  <c r="I102" i="6"/>
  <c r="D102" i="6"/>
  <c r="J101" i="6"/>
  <c r="I101" i="6"/>
  <c r="D101" i="6"/>
  <c r="J100" i="6"/>
  <c r="I100" i="6"/>
  <c r="D100" i="6"/>
  <c r="J99" i="6"/>
  <c r="I99" i="6"/>
  <c r="D99" i="6"/>
  <c r="J98" i="6"/>
  <c r="I98" i="6"/>
  <c r="D98" i="6"/>
  <c r="J97" i="6"/>
  <c r="I97" i="6"/>
  <c r="D97" i="6"/>
  <c r="J96" i="6"/>
  <c r="I96" i="6"/>
  <c r="D96" i="6"/>
  <c r="J95" i="6"/>
  <c r="I95" i="6"/>
  <c r="D95" i="6"/>
  <c r="J94" i="6"/>
  <c r="I94" i="6"/>
  <c r="D94" i="6"/>
  <c r="J93" i="6"/>
  <c r="I93" i="6"/>
  <c r="D93" i="6"/>
  <c r="J92" i="6"/>
  <c r="I92" i="6"/>
  <c r="D92" i="6"/>
  <c r="J91" i="6"/>
  <c r="I91" i="6"/>
  <c r="D91" i="6"/>
  <c r="J90" i="6"/>
  <c r="I90" i="6"/>
  <c r="D90" i="6"/>
  <c r="J89" i="6"/>
  <c r="I89" i="6"/>
  <c r="D89" i="6"/>
  <c r="J88" i="6"/>
  <c r="I88" i="6"/>
  <c r="D88" i="6"/>
  <c r="J87" i="6"/>
  <c r="I87" i="6"/>
  <c r="D87" i="6"/>
  <c r="J86" i="6"/>
  <c r="I86" i="6"/>
  <c r="D86" i="6"/>
  <c r="J85" i="6"/>
  <c r="I85" i="6"/>
  <c r="D85" i="6"/>
  <c r="J84" i="6"/>
  <c r="I84" i="6"/>
  <c r="D84" i="6"/>
  <c r="J83" i="6"/>
  <c r="I83" i="6"/>
  <c r="D83" i="6"/>
  <c r="J82" i="6"/>
  <c r="I82" i="6"/>
  <c r="D82" i="6"/>
  <c r="J81" i="6"/>
  <c r="I81" i="6"/>
  <c r="D81" i="6"/>
  <c r="J80" i="6"/>
  <c r="I80" i="6"/>
  <c r="D80" i="6"/>
  <c r="J79" i="6"/>
  <c r="I79" i="6"/>
  <c r="D79" i="6"/>
  <c r="J78" i="6"/>
  <c r="I78" i="6"/>
  <c r="D78" i="6"/>
  <c r="J77" i="6"/>
  <c r="I77" i="6"/>
  <c r="D77" i="6"/>
  <c r="J76" i="6"/>
  <c r="I76" i="6"/>
  <c r="D76" i="6"/>
  <c r="J75" i="6"/>
  <c r="I75" i="6"/>
  <c r="D75" i="6"/>
  <c r="J74" i="6"/>
  <c r="I74" i="6"/>
  <c r="D74" i="6"/>
  <c r="J73" i="6"/>
  <c r="I73" i="6"/>
  <c r="D73" i="6"/>
  <c r="J72" i="6"/>
  <c r="I72" i="6"/>
  <c r="D72" i="6"/>
  <c r="J71" i="6"/>
  <c r="I71" i="6"/>
  <c r="D71" i="6"/>
  <c r="J70" i="6"/>
  <c r="I70" i="6"/>
  <c r="D70" i="6"/>
  <c r="J69" i="6"/>
  <c r="I69" i="6"/>
  <c r="D69" i="6"/>
  <c r="J68" i="6"/>
  <c r="I68" i="6"/>
  <c r="D68" i="6"/>
  <c r="J67" i="6"/>
  <c r="I67" i="6"/>
  <c r="D67" i="6"/>
  <c r="J66" i="6"/>
  <c r="I66" i="6"/>
  <c r="D66" i="6"/>
  <c r="J65" i="6"/>
  <c r="I65" i="6"/>
  <c r="D65" i="6"/>
  <c r="J64" i="6"/>
  <c r="I64" i="6"/>
  <c r="D64" i="6"/>
  <c r="J63" i="6"/>
  <c r="I63" i="6"/>
  <c r="D63" i="6"/>
  <c r="J62" i="6"/>
  <c r="I62" i="6"/>
  <c r="D62" i="6"/>
  <c r="J61" i="6"/>
  <c r="I61" i="6"/>
  <c r="D61" i="6"/>
  <c r="J60" i="6"/>
  <c r="I60" i="6"/>
  <c r="D60" i="6"/>
  <c r="J59" i="6"/>
  <c r="I59" i="6"/>
  <c r="D59" i="6"/>
  <c r="J58" i="6"/>
  <c r="I58" i="6"/>
  <c r="D58" i="6"/>
  <c r="J57" i="6"/>
  <c r="I57" i="6"/>
  <c r="D57" i="6"/>
  <c r="J56" i="6"/>
  <c r="I56" i="6"/>
  <c r="D56" i="6"/>
  <c r="J55" i="6"/>
  <c r="I55" i="6"/>
  <c r="D55" i="6"/>
  <c r="J54" i="6"/>
  <c r="I54" i="6"/>
  <c r="D54" i="6"/>
  <c r="J53" i="6"/>
  <c r="I53" i="6"/>
  <c r="D53" i="6"/>
  <c r="J52" i="6"/>
  <c r="I52" i="6"/>
  <c r="D52" i="6"/>
  <c r="J51" i="6"/>
  <c r="I51" i="6"/>
  <c r="D51" i="6"/>
  <c r="J50" i="6"/>
  <c r="I50" i="6"/>
  <c r="D50" i="6"/>
  <c r="J49" i="6"/>
  <c r="I49" i="6"/>
  <c r="D49" i="6"/>
  <c r="J48" i="6"/>
  <c r="I48" i="6"/>
  <c r="D48" i="6"/>
  <c r="J47" i="6"/>
  <c r="I47" i="6"/>
  <c r="D47" i="6"/>
  <c r="J46" i="6"/>
  <c r="I46" i="6"/>
  <c r="D46" i="6"/>
  <c r="J45" i="6"/>
  <c r="I45" i="6"/>
  <c r="D45" i="6"/>
  <c r="J44" i="6"/>
  <c r="I44" i="6"/>
  <c r="D44" i="6"/>
  <c r="J43" i="6"/>
  <c r="I43" i="6"/>
  <c r="D43" i="6"/>
  <c r="J42" i="6"/>
  <c r="I42" i="6"/>
  <c r="D42" i="6"/>
  <c r="J41" i="6"/>
  <c r="I41" i="6"/>
  <c r="D41" i="6"/>
  <c r="J40" i="6"/>
  <c r="I40" i="6"/>
  <c r="D40" i="6"/>
  <c r="J39" i="6"/>
  <c r="I39" i="6"/>
  <c r="D39" i="6"/>
  <c r="J38" i="6"/>
  <c r="I38" i="6"/>
  <c r="D38" i="6"/>
  <c r="J37" i="6"/>
  <c r="I37" i="6"/>
  <c r="D37" i="6"/>
  <c r="J36" i="6"/>
  <c r="I36" i="6"/>
  <c r="D36" i="6"/>
  <c r="J35" i="6"/>
  <c r="I35" i="6"/>
  <c r="D35" i="6"/>
  <c r="J34" i="6"/>
  <c r="I34" i="6"/>
  <c r="D34" i="6"/>
  <c r="J33" i="6"/>
  <c r="I33" i="6"/>
  <c r="D33" i="6"/>
  <c r="J32" i="6"/>
  <c r="I32" i="6"/>
  <c r="D32" i="6"/>
  <c r="J31" i="6"/>
  <c r="I31" i="6"/>
  <c r="D31" i="6"/>
  <c r="J30" i="6"/>
  <c r="I30" i="6"/>
  <c r="D30" i="6"/>
  <c r="J29" i="6"/>
  <c r="I29" i="6"/>
  <c r="D29" i="6"/>
  <c r="J28" i="6"/>
  <c r="I28" i="6"/>
  <c r="D28" i="6"/>
  <c r="J27" i="6"/>
  <c r="I27" i="6"/>
  <c r="D27" i="6"/>
  <c r="J26" i="6"/>
  <c r="I26" i="6"/>
  <c r="D26" i="6"/>
  <c r="J25" i="6"/>
  <c r="I25" i="6"/>
  <c r="D25" i="6"/>
  <c r="J24" i="6"/>
  <c r="I24" i="6"/>
  <c r="D24" i="6"/>
  <c r="J23" i="6"/>
  <c r="I23" i="6"/>
  <c r="D23" i="6"/>
  <c r="J22" i="6"/>
  <c r="I22" i="6"/>
  <c r="D22" i="6"/>
  <c r="J21" i="6"/>
  <c r="I21" i="6"/>
  <c r="D21" i="6"/>
  <c r="J20" i="6"/>
  <c r="I20" i="6"/>
  <c r="D20" i="6"/>
  <c r="J19" i="6"/>
  <c r="I19" i="6"/>
  <c r="D19" i="6"/>
  <c r="J18" i="6"/>
  <c r="I18" i="6"/>
  <c r="D18" i="6"/>
  <c r="J17" i="6"/>
  <c r="I17" i="6"/>
  <c r="D17" i="6"/>
  <c r="J16" i="6"/>
  <c r="I16" i="6"/>
  <c r="D16" i="6"/>
  <c r="J15" i="6"/>
  <c r="I15" i="6"/>
  <c r="D15" i="6"/>
  <c r="J14" i="6"/>
  <c r="I14" i="6"/>
  <c r="D14" i="6"/>
  <c r="J13" i="6"/>
  <c r="I13" i="6"/>
  <c r="D13" i="6"/>
  <c r="J12" i="6"/>
  <c r="I12" i="6"/>
  <c r="D12" i="6"/>
  <c r="J11" i="6"/>
  <c r="I11" i="6"/>
  <c r="D11" i="6"/>
  <c r="J10" i="6"/>
  <c r="I10" i="6"/>
  <c r="D10" i="6"/>
  <c r="J9" i="6"/>
  <c r="I9" i="6"/>
  <c r="D9" i="6"/>
  <c r="J8" i="6"/>
  <c r="I8" i="6"/>
  <c r="D8" i="6"/>
  <c r="J7" i="6"/>
  <c r="I7" i="6"/>
  <c r="D7" i="6"/>
  <c r="J6" i="6"/>
  <c r="I6" i="6"/>
  <c r="D6" i="6"/>
  <c r="J5" i="6"/>
  <c r="I5" i="6"/>
  <c r="D5" i="6"/>
  <c r="J4" i="6"/>
  <c r="I4" i="6"/>
  <c r="D4" i="6"/>
  <c r="J3" i="6"/>
  <c r="I3" i="6"/>
  <c r="D3" i="6"/>
  <c r="I2" i="6"/>
  <c r="J2" i="6" s="1"/>
  <c r="D2" i="6"/>
  <c r="C22" i="4" l="1"/>
  <c r="B2" i="10"/>
  <c r="N80" i="2" l="1"/>
  <c r="M80" i="2"/>
  <c r="J80" i="2"/>
  <c r="K80" i="2"/>
  <c r="L80" i="2" s="1"/>
  <c r="E80" i="2"/>
  <c r="F80" i="2"/>
  <c r="G80" i="2"/>
  <c r="H80" i="2"/>
  <c r="I80" i="2"/>
  <c r="D80" i="2"/>
  <c r="O83" i="2"/>
  <c r="L83" i="2"/>
  <c r="P83" i="2" s="1"/>
  <c r="I83" i="2"/>
  <c r="I84" i="2"/>
  <c r="I85" i="2"/>
  <c r="I86" i="2"/>
  <c r="I87" i="2"/>
  <c r="O86" i="2"/>
  <c r="O96" i="2"/>
  <c r="N93" i="2"/>
  <c r="M93" i="2"/>
  <c r="L96" i="2"/>
  <c r="K93" i="2"/>
  <c r="J93" i="2"/>
  <c r="I96" i="2"/>
  <c r="H93" i="2"/>
  <c r="G93" i="2"/>
  <c r="F93" i="2"/>
  <c r="E93" i="2"/>
  <c r="O111" i="2"/>
  <c r="N105" i="2"/>
  <c r="M105" i="2"/>
  <c r="L111" i="2"/>
  <c r="L110" i="2"/>
  <c r="L106" i="2"/>
  <c r="K105" i="2"/>
  <c r="J105" i="2"/>
  <c r="I111" i="2"/>
  <c r="P111" i="2" s="1"/>
  <c r="H105" i="2"/>
  <c r="G105" i="2"/>
  <c r="F105" i="2"/>
  <c r="E105" i="2"/>
  <c r="D105" i="2"/>
  <c r="K47" i="1"/>
  <c r="K46" i="1"/>
  <c r="K45" i="1"/>
  <c r="K44" i="1"/>
  <c r="J45" i="1"/>
  <c r="J44" i="1"/>
  <c r="H44" i="1"/>
  <c r="I44" i="1"/>
  <c r="I46" i="1"/>
  <c r="I47" i="1"/>
  <c r="I45" i="1"/>
  <c r="G44" i="1"/>
  <c r="F44" i="1"/>
  <c r="E44" i="1"/>
  <c r="D44" i="1"/>
  <c r="J46" i="1"/>
  <c r="J47" i="1"/>
  <c r="H46" i="1"/>
  <c r="H47" i="1"/>
  <c r="G46" i="1"/>
  <c r="G47" i="1"/>
  <c r="F11" i="1"/>
  <c r="E11" i="1"/>
  <c r="D11" i="1"/>
  <c r="G15" i="1"/>
  <c r="G16" i="1"/>
  <c r="J10" i="1"/>
  <c r="J21" i="1"/>
  <c r="J29" i="1"/>
  <c r="J35" i="1"/>
  <c r="I49" i="1"/>
  <c r="I48" i="1" s="1"/>
  <c r="I20" i="1"/>
  <c r="I19" i="1" s="1"/>
  <c r="I9" i="1"/>
  <c r="O13" i="2"/>
  <c r="O14" i="2"/>
  <c r="O17" i="2"/>
  <c r="O19" i="2"/>
  <c r="O22" i="2"/>
  <c r="O23" i="2"/>
  <c r="O24" i="2"/>
  <c r="O25" i="2"/>
  <c r="O27" i="2"/>
  <c r="O28" i="2"/>
  <c r="O29" i="2"/>
  <c r="O30" i="2"/>
  <c r="O31" i="2"/>
  <c r="O32" i="2"/>
  <c r="O34" i="2"/>
  <c r="O36" i="2"/>
  <c r="O37" i="2"/>
  <c r="O38" i="2"/>
  <c r="O39" i="2"/>
  <c r="O40" i="2"/>
  <c r="O41" i="2"/>
  <c r="O43" i="2"/>
  <c r="O48" i="2"/>
  <c r="O49" i="2"/>
  <c r="O50" i="2"/>
  <c r="O52" i="2"/>
  <c r="O53" i="2"/>
  <c r="O54" i="2"/>
  <c r="O56" i="2"/>
  <c r="O57" i="2"/>
  <c r="O58" i="2"/>
  <c r="O59" i="2"/>
  <c r="O60" i="2"/>
  <c r="O61" i="2"/>
  <c r="O62" i="2"/>
  <c r="O63" i="2"/>
  <c r="O64" i="2"/>
  <c r="O68" i="2"/>
  <c r="O69" i="2"/>
  <c r="O71" i="2"/>
  <c r="O72" i="2"/>
  <c r="O74" i="2"/>
  <c r="O78" i="2"/>
  <c r="O79" i="2"/>
  <c r="O81" i="2"/>
  <c r="O82" i="2"/>
  <c r="O84" i="2"/>
  <c r="O85" i="2"/>
  <c r="O87" i="2"/>
  <c r="O88" i="2"/>
  <c r="O91" i="2"/>
  <c r="O92" i="2"/>
  <c r="O94" i="2"/>
  <c r="O95" i="2"/>
  <c r="O97" i="2"/>
  <c r="O98" i="2"/>
  <c r="O99" i="2"/>
  <c r="O100" i="2"/>
  <c r="O102" i="2"/>
  <c r="O103" i="2"/>
  <c r="O104" i="2"/>
  <c r="O106" i="2"/>
  <c r="O107" i="2"/>
  <c r="O108" i="2"/>
  <c r="O109" i="2"/>
  <c r="O110" i="2"/>
  <c r="O112" i="2"/>
  <c r="O114" i="2"/>
  <c r="O115" i="2"/>
  <c r="N113" i="2"/>
  <c r="N101" i="2"/>
  <c r="N90" i="2"/>
  <c r="N77" i="2"/>
  <c r="N73" i="2"/>
  <c r="N70" i="2"/>
  <c r="N67" i="2"/>
  <c r="N55" i="2"/>
  <c r="N51" i="2"/>
  <c r="N47" i="2"/>
  <c r="N42" i="2"/>
  <c r="N35" i="2"/>
  <c r="N33" i="2" s="1"/>
  <c r="N26" i="2"/>
  <c r="N21" i="2"/>
  <c r="N20" i="2" s="1"/>
  <c r="N18" i="2"/>
  <c r="N16" i="2"/>
  <c r="N12" i="2"/>
  <c r="N11" i="2" s="1"/>
  <c r="M113" i="2"/>
  <c r="M101" i="2"/>
  <c r="M90" i="2"/>
  <c r="M77" i="2"/>
  <c r="M73" i="2"/>
  <c r="M70" i="2"/>
  <c r="M67" i="2"/>
  <c r="M55" i="2"/>
  <c r="M51" i="2"/>
  <c r="M47" i="2"/>
  <c r="M42" i="2"/>
  <c r="M35" i="2"/>
  <c r="M33" i="2" s="1"/>
  <c r="M26" i="2"/>
  <c r="M21" i="2"/>
  <c r="M20" i="2" s="1"/>
  <c r="M18" i="2"/>
  <c r="M16" i="2"/>
  <c r="M12" i="2"/>
  <c r="M11" i="2" s="1"/>
  <c r="L13" i="2"/>
  <c r="L14" i="2"/>
  <c r="L17" i="2"/>
  <c r="L19" i="2"/>
  <c r="L22" i="2"/>
  <c r="L23" i="2"/>
  <c r="L24" i="2"/>
  <c r="L25" i="2"/>
  <c r="L27" i="2"/>
  <c r="L28" i="2"/>
  <c r="L29" i="2"/>
  <c r="L30" i="2"/>
  <c r="L31" i="2"/>
  <c r="L32" i="2"/>
  <c r="L34" i="2"/>
  <c r="L36" i="2"/>
  <c r="L37" i="2"/>
  <c r="L38" i="2"/>
  <c r="L39" i="2"/>
  <c r="L40" i="2"/>
  <c r="L41" i="2"/>
  <c r="L43" i="2"/>
  <c r="L48" i="2"/>
  <c r="L49" i="2"/>
  <c r="L50" i="2"/>
  <c r="L52" i="2"/>
  <c r="L53" i="2"/>
  <c r="L54" i="2"/>
  <c r="L56" i="2"/>
  <c r="L57" i="2"/>
  <c r="L58" i="2"/>
  <c r="L59" i="2"/>
  <c r="L60" i="2"/>
  <c r="L61" i="2"/>
  <c r="L62" i="2"/>
  <c r="L63" i="2"/>
  <c r="L64" i="2"/>
  <c r="L68" i="2"/>
  <c r="L69" i="2"/>
  <c r="L71" i="2"/>
  <c r="L72" i="2"/>
  <c r="L74" i="2"/>
  <c r="L78" i="2"/>
  <c r="L79" i="2"/>
  <c r="L81" i="2"/>
  <c r="L82" i="2"/>
  <c r="L84" i="2"/>
  <c r="P84" i="2" s="1"/>
  <c r="L85" i="2"/>
  <c r="L86" i="2"/>
  <c r="L87" i="2"/>
  <c r="L88" i="2"/>
  <c r="L91" i="2"/>
  <c r="L92" i="2"/>
  <c r="L94" i="2"/>
  <c r="L95" i="2"/>
  <c r="L97" i="2"/>
  <c r="L98" i="2"/>
  <c r="L99" i="2"/>
  <c r="L100" i="2"/>
  <c r="L102" i="2"/>
  <c r="L103" i="2"/>
  <c r="L104" i="2"/>
  <c r="L107" i="2"/>
  <c r="L108" i="2"/>
  <c r="L109" i="2"/>
  <c r="L112" i="2"/>
  <c r="L114" i="2"/>
  <c r="L115" i="2"/>
  <c r="K113" i="2"/>
  <c r="K101" i="2"/>
  <c r="K90" i="2"/>
  <c r="K77" i="2"/>
  <c r="K73" i="2"/>
  <c r="K70" i="2"/>
  <c r="K67" i="2"/>
  <c r="K55" i="2"/>
  <c r="K51" i="2"/>
  <c r="K47" i="2"/>
  <c r="K42" i="2"/>
  <c r="K35" i="2"/>
  <c r="K33" i="2" s="1"/>
  <c r="K26" i="2"/>
  <c r="K21" i="2"/>
  <c r="K20" i="2" s="1"/>
  <c r="K18" i="2"/>
  <c r="K16" i="2"/>
  <c r="K12" i="2"/>
  <c r="K11" i="2" s="1"/>
  <c r="D97" i="2"/>
  <c r="I97" i="2" s="1"/>
  <c r="J12" i="2"/>
  <c r="I115" i="2"/>
  <c r="I114" i="2"/>
  <c r="I112" i="2"/>
  <c r="I110" i="2"/>
  <c r="I109" i="2"/>
  <c r="I108" i="2"/>
  <c r="I107" i="2"/>
  <c r="I106" i="2"/>
  <c r="I104" i="2"/>
  <c r="I103" i="2"/>
  <c r="I102" i="2"/>
  <c r="I100" i="2"/>
  <c r="I99" i="2"/>
  <c r="P99" i="2" s="1"/>
  <c r="I98" i="2"/>
  <c r="I95" i="2"/>
  <c r="I94" i="2"/>
  <c r="I92" i="2"/>
  <c r="I91" i="2"/>
  <c r="I81" i="2"/>
  <c r="I88" i="2"/>
  <c r="P86" i="2"/>
  <c r="P85" i="2"/>
  <c r="I82" i="2"/>
  <c r="P82" i="2" s="1"/>
  <c r="I79" i="2"/>
  <c r="I78" i="2"/>
  <c r="I74" i="2"/>
  <c r="I73" i="2" s="1"/>
  <c r="I72" i="2"/>
  <c r="I71" i="2"/>
  <c r="I69" i="2"/>
  <c r="I68" i="2"/>
  <c r="I64" i="2"/>
  <c r="I63" i="2"/>
  <c r="I62" i="2"/>
  <c r="I61" i="2"/>
  <c r="I60" i="2"/>
  <c r="I59" i="2"/>
  <c r="I58" i="2"/>
  <c r="I57" i="2"/>
  <c r="I56" i="2"/>
  <c r="I54" i="2"/>
  <c r="I53" i="2"/>
  <c r="I52" i="2"/>
  <c r="I50" i="2"/>
  <c r="I49" i="2"/>
  <c r="P49" i="2" s="1"/>
  <c r="I48" i="2"/>
  <c r="I43" i="2"/>
  <c r="I41" i="2"/>
  <c r="I40" i="2"/>
  <c r="I39" i="2"/>
  <c r="I38" i="2"/>
  <c r="I37" i="2"/>
  <c r="I36" i="2"/>
  <c r="I34" i="2"/>
  <c r="I32" i="2"/>
  <c r="I31" i="2"/>
  <c r="I30" i="2"/>
  <c r="I29" i="2"/>
  <c r="I28" i="2"/>
  <c r="I27" i="2"/>
  <c r="I23" i="2"/>
  <c r="I24" i="2"/>
  <c r="I25" i="2"/>
  <c r="I22" i="2"/>
  <c r="I19" i="2"/>
  <c r="I18" i="2" s="1"/>
  <c r="I17" i="2"/>
  <c r="I16" i="2" s="1"/>
  <c r="I14" i="2"/>
  <c r="I13" i="2"/>
  <c r="H113" i="2"/>
  <c r="H101" i="2"/>
  <c r="H90" i="2"/>
  <c r="H77" i="2"/>
  <c r="H73" i="2"/>
  <c r="H70" i="2"/>
  <c r="H67" i="2"/>
  <c r="H55" i="2"/>
  <c r="H51" i="2"/>
  <c r="H47" i="2"/>
  <c r="H42" i="2"/>
  <c r="H35" i="2"/>
  <c r="H33" i="2" s="1"/>
  <c r="H26" i="2"/>
  <c r="H21" i="2"/>
  <c r="H20" i="2" s="1"/>
  <c r="H18" i="2"/>
  <c r="H16" i="2"/>
  <c r="H12" i="2"/>
  <c r="H11" i="2" s="1"/>
  <c r="G113" i="2"/>
  <c r="G101" i="2"/>
  <c r="G90" i="2"/>
  <c r="G77" i="2"/>
  <c r="G73" i="2"/>
  <c r="G70" i="2"/>
  <c r="G67" i="2"/>
  <c r="G55" i="2"/>
  <c r="G51" i="2"/>
  <c r="G47" i="2"/>
  <c r="G42" i="2"/>
  <c r="G35" i="2"/>
  <c r="G33" i="2" s="1"/>
  <c r="G26" i="2"/>
  <c r="G21" i="2"/>
  <c r="G20" i="2" s="1"/>
  <c r="G18" i="2"/>
  <c r="G16" i="2"/>
  <c r="G12" i="2"/>
  <c r="G11" i="2" s="1"/>
  <c r="J90" i="2"/>
  <c r="J18" i="2"/>
  <c r="F113" i="2"/>
  <c r="F101" i="2"/>
  <c r="F90" i="2"/>
  <c r="F77" i="2"/>
  <c r="F73" i="2"/>
  <c r="F70" i="2"/>
  <c r="F67" i="2"/>
  <c r="F55" i="2"/>
  <c r="F51" i="2"/>
  <c r="F47" i="2"/>
  <c r="F42" i="2"/>
  <c r="F35" i="2"/>
  <c r="F33" i="2" s="1"/>
  <c r="F26" i="2"/>
  <c r="F21" i="2"/>
  <c r="F20" i="2" s="1"/>
  <c r="F18" i="2"/>
  <c r="F16" i="2"/>
  <c r="F12" i="2"/>
  <c r="F11" i="2" s="1"/>
  <c r="E113" i="2"/>
  <c r="E101" i="2"/>
  <c r="E90" i="2"/>
  <c r="E77" i="2"/>
  <c r="E73" i="2"/>
  <c r="E70" i="2"/>
  <c r="E67" i="2"/>
  <c r="E55" i="2"/>
  <c r="E51" i="2"/>
  <c r="E47" i="2"/>
  <c r="E42" i="2"/>
  <c r="E35" i="2"/>
  <c r="E33" i="2" s="1"/>
  <c r="E26" i="2"/>
  <c r="E21" i="2"/>
  <c r="E20" i="2" s="1"/>
  <c r="E18" i="2"/>
  <c r="E16" i="2"/>
  <c r="E12" i="2"/>
  <c r="E11" i="2" s="1"/>
  <c r="F57" i="1"/>
  <c r="F56" i="1" s="1"/>
  <c r="F51" i="1"/>
  <c r="F50" i="1" s="1"/>
  <c r="F48" i="1"/>
  <c r="F41" i="1"/>
  <c r="F34" i="1"/>
  <c r="F33" i="1" s="1"/>
  <c r="F28" i="1"/>
  <c r="F25" i="1"/>
  <c r="F20" i="1"/>
  <c r="F19" i="1" s="1"/>
  <c r="F18" i="1" s="1"/>
  <c r="F9" i="1"/>
  <c r="E57" i="1"/>
  <c r="E56" i="1" s="1"/>
  <c r="E51" i="1"/>
  <c r="E50" i="1" s="1"/>
  <c r="E48" i="1"/>
  <c r="E41" i="1"/>
  <c r="E34" i="1"/>
  <c r="E33" i="1" s="1"/>
  <c r="E28" i="1"/>
  <c r="E25" i="1"/>
  <c r="E20" i="1"/>
  <c r="E19" i="1" s="1"/>
  <c r="E18" i="1" s="1"/>
  <c r="E9" i="1"/>
  <c r="H20" i="1"/>
  <c r="H19" i="1" s="1"/>
  <c r="H18" i="1" s="1"/>
  <c r="H9" i="1"/>
  <c r="J9" i="1" s="1"/>
  <c r="G59" i="1"/>
  <c r="H59" i="1" s="1"/>
  <c r="G60" i="1"/>
  <c r="H60" i="1" s="1"/>
  <c r="G61" i="1"/>
  <c r="H61" i="1" s="1"/>
  <c r="G58" i="1"/>
  <c r="H58" i="1" s="1"/>
  <c r="G53" i="1"/>
  <c r="H53" i="1" s="1"/>
  <c r="G54" i="1"/>
  <c r="H54" i="1" s="1"/>
  <c r="G55" i="1"/>
  <c r="H55" i="1" s="1"/>
  <c r="G52" i="1"/>
  <c r="H52" i="1" s="1"/>
  <c r="G49" i="1"/>
  <c r="H49" i="1" s="1"/>
  <c r="H48" i="1" s="1"/>
  <c r="G45" i="1"/>
  <c r="H45" i="1" s="1"/>
  <c r="G43" i="1"/>
  <c r="H43" i="1" s="1"/>
  <c r="G42" i="1"/>
  <c r="H42" i="1" s="1"/>
  <c r="G36" i="1"/>
  <c r="H36" i="1" s="1"/>
  <c r="G37" i="1"/>
  <c r="H37" i="1" s="1"/>
  <c r="G38" i="1"/>
  <c r="H38" i="1" s="1"/>
  <c r="G35" i="1"/>
  <c r="K35" i="1" s="1"/>
  <c r="G30" i="1"/>
  <c r="H30" i="1" s="1"/>
  <c r="G31" i="1"/>
  <c r="H31" i="1" s="1"/>
  <c r="G29" i="1"/>
  <c r="K29" i="1" s="1"/>
  <c r="G27" i="1"/>
  <c r="H27" i="1" s="1"/>
  <c r="G26" i="1"/>
  <c r="H26" i="1" s="1"/>
  <c r="G23" i="1"/>
  <c r="H23" i="1" s="1"/>
  <c r="G21" i="1"/>
  <c r="G20" i="1" s="1"/>
  <c r="G13" i="1"/>
  <c r="H13" i="1" s="1"/>
  <c r="G14" i="1"/>
  <c r="H14" i="1" s="1"/>
  <c r="G12" i="1"/>
  <c r="H12" i="1" s="1"/>
  <c r="G10" i="1"/>
  <c r="G9" i="1" s="1"/>
  <c r="Q109" i="2" l="1"/>
  <c r="L105" i="2"/>
  <c r="P103" i="2"/>
  <c r="P100" i="2"/>
  <c r="L93" i="2"/>
  <c r="Q86" i="2"/>
  <c r="Q83" i="2"/>
  <c r="P63" i="2"/>
  <c r="P62" i="2"/>
  <c r="P61" i="2"/>
  <c r="P48" i="2"/>
  <c r="P30" i="2"/>
  <c r="P29" i="2"/>
  <c r="P41" i="2"/>
  <c r="Q68" i="2"/>
  <c r="Q32" i="2"/>
  <c r="P27" i="2"/>
  <c r="P60" i="2"/>
  <c r="Q52" i="2"/>
  <c r="O93" i="2"/>
  <c r="P50" i="2"/>
  <c r="P64" i="2"/>
  <c r="O105" i="2"/>
  <c r="Q105" i="2" s="1"/>
  <c r="P13" i="2"/>
  <c r="H76" i="2"/>
  <c r="Q96" i="2"/>
  <c r="Q104" i="2"/>
  <c r="P31" i="2"/>
  <c r="P110" i="2"/>
  <c r="P104" i="2"/>
  <c r="O20" i="2"/>
  <c r="P87" i="2"/>
  <c r="I93" i="2"/>
  <c r="P93" i="2" s="1"/>
  <c r="Q114" i="2"/>
  <c r="Q97" i="2"/>
  <c r="Q79" i="2"/>
  <c r="Q59" i="2"/>
  <c r="Q40" i="2"/>
  <c r="O113" i="2"/>
  <c r="O33" i="2"/>
  <c r="Q57" i="2"/>
  <c r="Q23" i="2"/>
  <c r="O42" i="2"/>
  <c r="N15" i="2"/>
  <c r="N10" i="2" s="1"/>
  <c r="N76" i="2"/>
  <c r="Q92" i="2"/>
  <c r="Q36" i="2"/>
  <c r="Q17" i="2"/>
  <c r="Q111" i="2"/>
  <c r="P96" i="2"/>
  <c r="Q64" i="2"/>
  <c r="P36" i="2"/>
  <c r="P54" i="2"/>
  <c r="I90" i="2"/>
  <c r="Q84" i="2"/>
  <c r="O73" i="2"/>
  <c r="Q106" i="2"/>
  <c r="Q88" i="2"/>
  <c r="P14" i="2"/>
  <c r="K76" i="2"/>
  <c r="N46" i="2"/>
  <c r="N45" i="2" s="1"/>
  <c r="N44" i="2" s="1"/>
  <c r="D93" i="2"/>
  <c r="Q108" i="2"/>
  <c r="Q103" i="2"/>
  <c r="Q81" i="2"/>
  <c r="Q27" i="2"/>
  <c r="Q53" i="2"/>
  <c r="P114" i="2"/>
  <c r="Q95" i="2"/>
  <c r="Q78" i="2"/>
  <c r="Q58" i="2"/>
  <c r="Q39" i="2"/>
  <c r="O26" i="2"/>
  <c r="O101" i="2"/>
  <c r="K46" i="2"/>
  <c r="K45" i="2" s="1"/>
  <c r="K44" i="2" s="1"/>
  <c r="O16" i="2"/>
  <c r="P98" i="2"/>
  <c r="Q115" i="2"/>
  <c r="Q82" i="2"/>
  <c r="Q43" i="2"/>
  <c r="Q28" i="2"/>
  <c r="O18" i="2"/>
  <c r="O77" i="2"/>
  <c r="Q62" i="2"/>
  <c r="Q48" i="2"/>
  <c r="Q60" i="2"/>
  <c r="P97" i="2"/>
  <c r="Q22" i="2"/>
  <c r="P32" i="2"/>
  <c r="P52" i="2"/>
  <c r="P68" i="2"/>
  <c r="P88" i="2"/>
  <c r="P106" i="2"/>
  <c r="Q91" i="2"/>
  <c r="M46" i="2"/>
  <c r="M45" i="2" s="1"/>
  <c r="P37" i="2"/>
  <c r="P72" i="2"/>
  <c r="P92" i="2"/>
  <c r="O67" i="2"/>
  <c r="N89" i="2"/>
  <c r="I105" i="2"/>
  <c r="P105" i="2" s="1"/>
  <c r="P69" i="2"/>
  <c r="P34" i="2"/>
  <c r="O55" i="2"/>
  <c r="P25" i="2"/>
  <c r="P38" i="2"/>
  <c r="Q102" i="2"/>
  <c r="Q63" i="2"/>
  <c r="Q30" i="2"/>
  <c r="O70" i="2"/>
  <c r="Q50" i="2"/>
  <c r="Q14" i="2"/>
  <c r="P115" i="2"/>
  <c r="P28" i="2"/>
  <c r="P43" i="2"/>
  <c r="L12" i="2"/>
  <c r="O51" i="2"/>
  <c r="Q87" i="2"/>
  <c r="O35" i="2"/>
  <c r="Q24" i="2"/>
  <c r="P102" i="2"/>
  <c r="Q31" i="2"/>
  <c r="P74" i="2"/>
  <c r="O11" i="2"/>
  <c r="Q85" i="2"/>
  <c r="Q29" i="2"/>
  <c r="M15" i="2"/>
  <c r="Q100" i="2"/>
  <c r="Q49" i="2"/>
  <c r="Q112" i="2"/>
  <c r="G46" i="2"/>
  <c r="G45" i="2" s="1"/>
  <c r="G44" i="2" s="1"/>
  <c r="Q99" i="2"/>
  <c r="P17" i="2"/>
  <c r="P53" i="2"/>
  <c r="K15" i="2"/>
  <c r="K10" i="2" s="1"/>
  <c r="K66" i="2"/>
  <c r="K65" i="2" s="1"/>
  <c r="Q41" i="2"/>
  <c r="M76" i="2"/>
  <c r="Q98" i="2"/>
  <c r="Q61" i="2"/>
  <c r="Q13" i="2"/>
  <c r="O21" i="2"/>
  <c r="Q110" i="2"/>
  <c r="P94" i="2"/>
  <c r="P24" i="2"/>
  <c r="P39" i="2"/>
  <c r="P58" i="2"/>
  <c r="P78" i="2"/>
  <c r="P95" i="2"/>
  <c r="P112" i="2"/>
  <c r="P56" i="2"/>
  <c r="Q38" i="2"/>
  <c r="L18" i="2"/>
  <c r="P18" i="2" s="1"/>
  <c r="L90" i="2"/>
  <c r="O80" i="2"/>
  <c r="Q74" i="2"/>
  <c r="G15" i="2"/>
  <c r="G10" i="2" s="1"/>
  <c r="G76" i="2"/>
  <c r="P23" i="2"/>
  <c r="P40" i="2"/>
  <c r="P59" i="2"/>
  <c r="P79" i="2"/>
  <c r="P107" i="2"/>
  <c r="Q71" i="2"/>
  <c r="Q54" i="2"/>
  <c r="Q19" i="2"/>
  <c r="O90" i="2"/>
  <c r="Q72" i="2"/>
  <c r="Q37" i="2"/>
  <c r="Q25" i="2"/>
  <c r="G11" i="1"/>
  <c r="H16" i="1"/>
  <c r="H15" i="1"/>
  <c r="F8" i="1"/>
  <c r="F7" i="1" s="1"/>
  <c r="F40" i="1"/>
  <c r="F39" i="1" s="1"/>
  <c r="F32" i="1" s="1"/>
  <c r="K9" i="1"/>
  <c r="I27" i="1"/>
  <c r="J27" i="1" s="1"/>
  <c r="K27" i="1" s="1"/>
  <c r="I58" i="1"/>
  <c r="J58" i="1" s="1"/>
  <c r="K58" i="1" s="1"/>
  <c r="I30" i="1"/>
  <c r="I28" i="1" s="1"/>
  <c r="J20" i="1"/>
  <c r="I23" i="1"/>
  <c r="J23" i="1" s="1"/>
  <c r="K23" i="1" s="1"/>
  <c r="K20" i="1"/>
  <c r="I26" i="1"/>
  <c r="I18" i="1"/>
  <c r="J18" i="1" s="1"/>
  <c r="J19" i="1"/>
  <c r="J61" i="1"/>
  <c r="K61" i="1" s="1"/>
  <c r="I55" i="1"/>
  <c r="J55" i="1" s="1"/>
  <c r="K55" i="1"/>
  <c r="I59" i="1"/>
  <c r="J59" i="1" s="1"/>
  <c r="K59" i="1" s="1"/>
  <c r="I60" i="1"/>
  <c r="J60" i="1" s="1"/>
  <c r="K60" i="1" s="1"/>
  <c r="I61" i="1"/>
  <c r="K10" i="1"/>
  <c r="I42" i="1"/>
  <c r="J42" i="1" s="1"/>
  <c r="K42" i="1" s="1"/>
  <c r="I12" i="1"/>
  <c r="I13" i="1"/>
  <c r="J13" i="1" s="1"/>
  <c r="K13" i="1" s="1"/>
  <c r="I31" i="1"/>
  <c r="J31" i="1" s="1"/>
  <c r="K31" i="1" s="1"/>
  <c r="I14" i="1"/>
  <c r="J14" i="1" s="1"/>
  <c r="K14" i="1" s="1"/>
  <c r="I36" i="1"/>
  <c r="J36" i="1" s="1"/>
  <c r="K36" i="1" s="1"/>
  <c r="I52" i="1"/>
  <c r="J49" i="1"/>
  <c r="K49" i="1" s="1"/>
  <c r="K21" i="1"/>
  <c r="I43" i="1"/>
  <c r="J43" i="1" s="1"/>
  <c r="K43" i="1" s="1"/>
  <c r="I37" i="1"/>
  <c r="J37" i="1" s="1"/>
  <c r="K37" i="1" s="1"/>
  <c r="I53" i="1"/>
  <c r="J53" i="1" s="1"/>
  <c r="K53" i="1" s="1"/>
  <c r="J48" i="1"/>
  <c r="E40" i="1"/>
  <c r="E39" i="1" s="1"/>
  <c r="E32" i="1" s="1"/>
  <c r="I38" i="1"/>
  <c r="J38" i="1" s="1"/>
  <c r="K38" i="1" s="1"/>
  <c r="I54" i="1"/>
  <c r="J54" i="1" s="1"/>
  <c r="K54" i="1" s="1"/>
  <c r="E8" i="1"/>
  <c r="E7" i="1" s="1"/>
  <c r="E24" i="1"/>
  <c r="E22" i="1" s="1"/>
  <c r="E17" i="1" s="1"/>
  <c r="E6" i="1" s="1"/>
  <c r="E5" i="1" s="1"/>
  <c r="F24" i="1"/>
  <c r="F22" i="1" s="1"/>
  <c r="F17" i="1" s="1"/>
  <c r="F6" i="1" s="1"/>
  <c r="F5" i="1" s="1"/>
  <c r="P81" i="2"/>
  <c r="Q34" i="2"/>
  <c r="Q107" i="2"/>
  <c r="Q94" i="2"/>
  <c r="Q69" i="2"/>
  <c r="O12" i="2"/>
  <c r="P108" i="2"/>
  <c r="P57" i="2"/>
  <c r="H15" i="2"/>
  <c r="H10" i="2" s="1"/>
  <c r="N66" i="2"/>
  <c r="N65" i="2" s="1"/>
  <c r="P19" i="2"/>
  <c r="Q56" i="2"/>
  <c r="P109" i="2"/>
  <c r="P22" i="2"/>
  <c r="M89" i="2"/>
  <c r="P91" i="2"/>
  <c r="O47" i="2"/>
  <c r="P71" i="2"/>
  <c r="M66" i="2"/>
  <c r="K89" i="2"/>
  <c r="H46" i="2"/>
  <c r="H45" i="2" s="1"/>
  <c r="H44" i="2" s="1"/>
  <c r="E46" i="2"/>
  <c r="E45" i="2" s="1"/>
  <c r="E44" i="2" s="1"/>
  <c r="H89" i="2"/>
  <c r="G66" i="2"/>
  <c r="G65" i="2" s="1"/>
  <c r="G89" i="2"/>
  <c r="E66" i="2"/>
  <c r="E65" i="2" s="1"/>
  <c r="I47" i="2"/>
  <c r="F15" i="2"/>
  <c r="F10" i="2" s="1"/>
  <c r="H66" i="2"/>
  <c r="H65" i="2" s="1"/>
  <c r="J101" i="2"/>
  <c r="L101" i="2" s="1"/>
  <c r="J67" i="2"/>
  <c r="L67" i="2" s="1"/>
  <c r="J51" i="2"/>
  <c r="L51" i="2" s="1"/>
  <c r="J26" i="2"/>
  <c r="L26" i="2" s="1"/>
  <c r="J42" i="2"/>
  <c r="L42" i="2" s="1"/>
  <c r="J11" i="2"/>
  <c r="L11" i="2" s="1"/>
  <c r="J70" i="2"/>
  <c r="L70" i="2" s="1"/>
  <c r="J35" i="2"/>
  <c r="J73" i="2"/>
  <c r="L73" i="2" s="1"/>
  <c r="J77" i="2"/>
  <c r="L77" i="2" s="1"/>
  <c r="I113" i="2"/>
  <c r="F46" i="2"/>
  <c r="F45" i="2" s="1"/>
  <c r="F44" i="2" s="1"/>
  <c r="I42" i="2"/>
  <c r="I70" i="2"/>
  <c r="I26" i="2"/>
  <c r="I51" i="2"/>
  <c r="F66" i="2"/>
  <c r="F65" i="2" s="1"/>
  <c r="E76" i="2"/>
  <c r="F76" i="2"/>
  <c r="I21" i="2"/>
  <c r="I77" i="2"/>
  <c r="I15" i="2"/>
  <c r="E15" i="2"/>
  <c r="E10" i="2" s="1"/>
  <c r="I101" i="2"/>
  <c r="I67" i="2"/>
  <c r="I55" i="2"/>
  <c r="I35" i="2"/>
  <c r="I12" i="2"/>
  <c r="F89" i="2"/>
  <c r="E89" i="2"/>
  <c r="H41" i="1"/>
  <c r="H51" i="1"/>
  <c r="H57" i="1"/>
  <c r="H28" i="1"/>
  <c r="H25" i="1"/>
  <c r="G48" i="1"/>
  <c r="G57" i="1"/>
  <c r="G51" i="1"/>
  <c r="G41" i="1"/>
  <c r="G34" i="1"/>
  <c r="G28" i="1"/>
  <c r="G25" i="1"/>
  <c r="G19" i="1"/>
  <c r="Q93" i="2" l="1"/>
  <c r="P26" i="2"/>
  <c r="Q77" i="2"/>
  <c r="Q42" i="2"/>
  <c r="P51" i="2"/>
  <c r="H75" i="2"/>
  <c r="K75" i="2"/>
  <c r="P90" i="2"/>
  <c r="Q26" i="2"/>
  <c r="Q12" i="2"/>
  <c r="O15" i="2"/>
  <c r="N75" i="2"/>
  <c r="O76" i="2"/>
  <c r="G75" i="2"/>
  <c r="F75" i="2"/>
  <c r="Q101" i="2"/>
  <c r="O46" i="2"/>
  <c r="Q11" i="2"/>
  <c r="Q67" i="2"/>
  <c r="O89" i="2"/>
  <c r="K9" i="2"/>
  <c r="K8" i="2" s="1"/>
  <c r="N9" i="2"/>
  <c r="N8" i="2" s="1"/>
  <c r="Q70" i="2"/>
  <c r="Q18" i="2"/>
  <c r="P77" i="2"/>
  <c r="Q90" i="2"/>
  <c r="Q80" i="2"/>
  <c r="Q51" i="2"/>
  <c r="P42" i="2"/>
  <c r="M10" i="2"/>
  <c r="O10" i="2" s="1"/>
  <c r="P80" i="2"/>
  <c r="I11" i="1"/>
  <c r="I8" i="1" s="1"/>
  <c r="I7" i="1" s="1"/>
  <c r="I15" i="1"/>
  <c r="J15" i="1"/>
  <c r="K15" i="1" s="1"/>
  <c r="I16" i="1"/>
  <c r="J16" i="1"/>
  <c r="K16" i="1" s="1"/>
  <c r="J28" i="1"/>
  <c r="H11" i="1"/>
  <c r="K28" i="1"/>
  <c r="K48" i="1"/>
  <c r="J26" i="1"/>
  <c r="K26" i="1" s="1"/>
  <c r="I25" i="1"/>
  <c r="I24" i="1" s="1"/>
  <c r="I22" i="1" s="1"/>
  <c r="I17" i="1" s="1"/>
  <c r="J30" i="1"/>
  <c r="K30" i="1" s="1"/>
  <c r="I41" i="1"/>
  <c r="I51" i="1"/>
  <c r="I50" i="1" s="1"/>
  <c r="J52" i="1"/>
  <c r="K52" i="1" s="1"/>
  <c r="I57" i="1"/>
  <c r="I56" i="1" s="1"/>
  <c r="I34" i="1"/>
  <c r="I33" i="1" s="1"/>
  <c r="J12" i="1"/>
  <c r="K12" i="1" s="1"/>
  <c r="K19" i="1"/>
  <c r="E4" i="1"/>
  <c r="E62" i="1" s="1"/>
  <c r="H8" i="1"/>
  <c r="H56" i="1"/>
  <c r="H50" i="1"/>
  <c r="F4" i="1"/>
  <c r="F62" i="1" s="1"/>
  <c r="M75" i="2"/>
  <c r="M65" i="2"/>
  <c r="O65" i="2" s="1"/>
  <c r="O66" i="2"/>
  <c r="I11" i="2"/>
  <c r="P11" i="2" s="1"/>
  <c r="P12" i="2"/>
  <c r="Q73" i="2"/>
  <c r="P73" i="2"/>
  <c r="P67" i="2"/>
  <c r="P101" i="2"/>
  <c r="I20" i="2"/>
  <c r="I33" i="2"/>
  <c r="J33" i="2"/>
  <c r="L33" i="2" s="1"/>
  <c r="Q33" i="2" s="1"/>
  <c r="L35" i="2"/>
  <c r="Q35" i="2" s="1"/>
  <c r="P70" i="2"/>
  <c r="O45" i="2"/>
  <c r="M44" i="2"/>
  <c r="O44" i="2" s="1"/>
  <c r="G9" i="2"/>
  <c r="G8" i="2" s="1"/>
  <c r="H9" i="2"/>
  <c r="H8" i="2" s="1"/>
  <c r="H7" i="2" s="1"/>
  <c r="H6" i="2" s="1"/>
  <c r="H5" i="2" s="1"/>
  <c r="H116" i="2" s="1"/>
  <c r="I46" i="2"/>
  <c r="F9" i="2"/>
  <c r="F8" i="2" s="1"/>
  <c r="J66" i="2"/>
  <c r="I76" i="2"/>
  <c r="J76" i="2"/>
  <c r="L76" i="2" s="1"/>
  <c r="J16" i="2"/>
  <c r="I66" i="2"/>
  <c r="J55" i="2"/>
  <c r="L55" i="2" s="1"/>
  <c r="Q55" i="2" s="1"/>
  <c r="I89" i="2"/>
  <c r="J113" i="2"/>
  <c r="L113" i="2" s="1"/>
  <c r="Q113" i="2" s="1"/>
  <c r="E9" i="2"/>
  <c r="E8" i="2" s="1"/>
  <c r="J47" i="2"/>
  <c r="L47" i="2" s="1"/>
  <c r="Q47" i="2" s="1"/>
  <c r="J21" i="2"/>
  <c r="E75" i="2"/>
  <c r="H40" i="1"/>
  <c r="H34" i="1"/>
  <c r="H24" i="1"/>
  <c r="G56" i="1"/>
  <c r="G50" i="1"/>
  <c r="G40" i="1"/>
  <c r="G33" i="1"/>
  <c r="G24" i="1"/>
  <c r="G8" i="1"/>
  <c r="G18" i="1"/>
  <c r="K18" i="1" s="1"/>
  <c r="N7" i="2" l="1"/>
  <c r="N6" i="2" s="1"/>
  <c r="N5" i="2" s="1"/>
  <c r="Q76" i="2"/>
  <c r="K7" i="2"/>
  <c r="K6" i="2" s="1"/>
  <c r="K5" i="2" s="1"/>
  <c r="G7" i="2"/>
  <c r="G6" i="2" s="1"/>
  <c r="G5" i="2" s="1"/>
  <c r="G116" i="2" s="1"/>
  <c r="O75" i="2"/>
  <c r="F7" i="2"/>
  <c r="F6" i="2" s="1"/>
  <c r="F5" i="2" s="1"/>
  <c r="F116" i="2" s="1"/>
  <c r="P113" i="2"/>
  <c r="M9" i="2"/>
  <c r="M8" i="2" s="1"/>
  <c r="I10" i="2"/>
  <c r="P47" i="2"/>
  <c r="I40" i="1"/>
  <c r="I39" i="1" s="1"/>
  <c r="I32" i="1" s="1"/>
  <c r="I4" i="1" s="1"/>
  <c r="I62" i="1" s="1"/>
  <c r="J51" i="1"/>
  <c r="K51" i="1" s="1"/>
  <c r="J50" i="1"/>
  <c r="K50" i="1" s="1"/>
  <c r="I6" i="1"/>
  <c r="I5" i="1" s="1"/>
  <c r="J11" i="1"/>
  <c r="K11" i="1" s="1"/>
  <c r="J25" i="1"/>
  <c r="K25" i="1" s="1"/>
  <c r="J57" i="1"/>
  <c r="K57" i="1" s="1"/>
  <c r="H39" i="1"/>
  <c r="H22" i="1"/>
  <c r="J24" i="1"/>
  <c r="K24" i="1" s="1"/>
  <c r="H33" i="1"/>
  <c r="J34" i="1"/>
  <c r="K34" i="1" s="1"/>
  <c r="J56" i="1"/>
  <c r="K56" i="1" s="1"/>
  <c r="H7" i="1"/>
  <c r="J7" i="1" s="1"/>
  <c r="J8" i="1"/>
  <c r="K8" i="1" s="1"/>
  <c r="G7" i="1"/>
  <c r="J41" i="1"/>
  <c r="K41" i="1" s="1"/>
  <c r="P55" i="2"/>
  <c r="P76" i="2"/>
  <c r="J65" i="2"/>
  <c r="L65" i="2" s="1"/>
  <c r="Q65" i="2" s="1"/>
  <c r="L66" i="2"/>
  <c r="Q66" i="2" s="1"/>
  <c r="I65" i="2"/>
  <c r="J15" i="2"/>
  <c r="L15" i="2" s="1"/>
  <c r="L16" i="2"/>
  <c r="P35" i="2"/>
  <c r="J20" i="2"/>
  <c r="L20" i="2" s="1"/>
  <c r="Q20" i="2" s="1"/>
  <c r="L21" i="2"/>
  <c r="P33" i="2"/>
  <c r="I45" i="2"/>
  <c r="I75" i="2"/>
  <c r="E7" i="2"/>
  <c r="E6" i="2" s="1"/>
  <c r="E5" i="2" s="1"/>
  <c r="E116" i="2" s="1"/>
  <c r="J89" i="2"/>
  <c r="J46" i="2"/>
  <c r="G39" i="1"/>
  <c r="G22" i="1"/>
  <c r="O9" i="2" l="1"/>
  <c r="P65" i="2"/>
  <c r="P66" i="2"/>
  <c r="J40" i="1"/>
  <c r="K40" i="1" s="1"/>
  <c r="J39" i="1"/>
  <c r="K7" i="1"/>
  <c r="K39" i="1"/>
  <c r="H17" i="1"/>
  <c r="J22" i="1"/>
  <c r="H32" i="1"/>
  <c r="J32" i="1" s="1"/>
  <c r="J33" i="1"/>
  <c r="K33" i="1" s="1"/>
  <c r="K22" i="1"/>
  <c r="Q21" i="2"/>
  <c r="P21" i="2"/>
  <c r="Q15" i="2"/>
  <c r="P15" i="2"/>
  <c r="P20" i="2"/>
  <c r="I44" i="2"/>
  <c r="J75" i="2"/>
  <c r="L75" i="2" s="1"/>
  <c r="Q75" i="2" s="1"/>
  <c r="L89" i="2"/>
  <c r="Q16" i="2"/>
  <c r="P16" i="2"/>
  <c r="P75" i="2"/>
  <c r="J45" i="2"/>
  <c r="L46" i="2"/>
  <c r="M7" i="2"/>
  <c r="O8" i="2"/>
  <c r="J10" i="2"/>
  <c r="L10" i="2" s="1"/>
  <c r="G32" i="1"/>
  <c r="G17" i="1"/>
  <c r="K32" i="1" l="1"/>
  <c r="H6" i="1"/>
  <c r="J17" i="1"/>
  <c r="K17" i="1" s="1"/>
  <c r="Q89" i="2"/>
  <c r="P89" i="2"/>
  <c r="I9" i="2"/>
  <c r="Q10" i="2"/>
  <c r="P10" i="2"/>
  <c r="M6" i="2"/>
  <c r="O7" i="2"/>
  <c r="Q46" i="2"/>
  <c r="P46" i="2"/>
  <c r="J44" i="2"/>
  <c r="L45" i="2"/>
  <c r="G6" i="1"/>
  <c r="G5" i="1" l="1"/>
  <c r="H5" i="1"/>
  <c r="J6" i="1"/>
  <c r="K6" i="1" s="1"/>
  <c r="Q45" i="2"/>
  <c r="P45" i="2"/>
  <c r="L44" i="2"/>
  <c r="J9" i="2"/>
  <c r="M5" i="2"/>
  <c r="O5" i="2" s="1"/>
  <c r="O6" i="2"/>
  <c r="I8" i="2"/>
  <c r="G4" i="1"/>
  <c r="J5" i="1" l="1"/>
  <c r="K5" i="1" s="1"/>
  <c r="H4" i="1"/>
  <c r="G62" i="1"/>
  <c r="Q44" i="2"/>
  <c r="P44" i="2"/>
  <c r="I7" i="2"/>
  <c r="M116" i="2"/>
  <c r="O116" i="2" s="1"/>
  <c r="J8" i="2"/>
  <c r="L9" i="2"/>
  <c r="D113" i="2"/>
  <c r="H62" i="1" l="1"/>
  <c r="J62" i="1" s="1"/>
  <c r="K62" i="1" s="1"/>
  <c r="J4" i="1"/>
  <c r="K4" i="1" s="1"/>
  <c r="I6" i="2"/>
  <c r="J7" i="2"/>
  <c r="L8" i="2"/>
  <c r="Q9" i="2"/>
  <c r="P9" i="2"/>
  <c r="D101" i="2"/>
  <c r="D90" i="2"/>
  <c r="D77" i="2"/>
  <c r="D73" i="2"/>
  <c r="D70" i="2"/>
  <c r="D67" i="2"/>
  <c r="D55" i="2"/>
  <c r="D51" i="2"/>
  <c r="D47" i="2"/>
  <c r="D42" i="2"/>
  <c r="D35" i="2"/>
  <c r="D33" i="2" s="1"/>
  <c r="D26" i="2"/>
  <c r="D21" i="2"/>
  <c r="D20" i="2" s="1"/>
  <c r="D18" i="2"/>
  <c r="D16" i="2"/>
  <c r="D12" i="2"/>
  <c r="D11" i="2" s="1"/>
  <c r="D57" i="1"/>
  <c r="D56" i="1" s="1"/>
  <c r="D51" i="1"/>
  <c r="D50" i="1" s="1"/>
  <c r="D48" i="1"/>
  <c r="D41" i="1"/>
  <c r="D40" i="1" s="1"/>
  <c r="D34" i="1"/>
  <c r="D33" i="1" s="1"/>
  <c r="D28" i="1"/>
  <c r="D25" i="1"/>
  <c r="D20" i="1"/>
  <c r="D19" i="1" s="1"/>
  <c r="D18" i="1" s="1"/>
  <c r="D9" i="1"/>
  <c r="Q8" i="2" l="1"/>
  <c r="P8" i="2"/>
  <c r="J6" i="2"/>
  <c r="L7" i="2"/>
  <c r="I5" i="2"/>
  <c r="D66" i="2"/>
  <c r="D65" i="2" s="1"/>
  <c r="D39" i="1"/>
  <c r="D32" i="1"/>
  <c r="D24" i="1"/>
  <c r="D22" i="1" s="1"/>
  <c r="D17" i="1" s="1"/>
  <c r="D8" i="1"/>
  <c r="D7" i="1" s="1"/>
  <c r="D89" i="2"/>
  <c r="D76" i="2"/>
  <c r="D46" i="2"/>
  <c r="D45" i="2" s="1"/>
  <c r="D44" i="2" s="1"/>
  <c r="D15" i="2"/>
  <c r="D10" i="2" s="1"/>
  <c r="I116" i="2" l="1"/>
  <c r="Q7" i="2"/>
  <c r="P7" i="2"/>
  <c r="J5" i="2"/>
  <c r="L6" i="2"/>
  <c r="D6" i="1"/>
  <c r="D5" i="1" s="1"/>
  <c r="D4" i="1" s="1"/>
  <c r="D62" i="1" s="1"/>
  <c r="D75" i="2"/>
  <c r="D9" i="2"/>
  <c r="D8" i="2" s="1"/>
  <c r="Q6" i="2" l="1"/>
  <c r="P6" i="2"/>
  <c r="J116" i="2"/>
  <c r="L116" i="2" s="1"/>
  <c r="Q116" i="2" s="1"/>
  <c r="L5" i="2"/>
  <c r="D7" i="2"/>
  <c r="D6" i="2" s="1"/>
  <c r="D5" i="2" s="1"/>
  <c r="P116" i="2" l="1"/>
  <c r="Q5" i="2"/>
  <c r="P5" i="2"/>
  <c r="D118" i="2"/>
  <c r="D116" i="2"/>
</calcChain>
</file>

<file path=xl/sharedStrings.xml><?xml version="1.0" encoding="utf-8"?>
<sst xmlns="http://schemas.openxmlformats.org/spreadsheetml/2006/main" count="505" uniqueCount="464">
  <si>
    <t>1.1</t>
  </si>
  <si>
    <t>1.1.02</t>
  </si>
  <si>
    <t>1.1.02.05</t>
  </si>
  <si>
    <t>1.1.02.05.002</t>
  </si>
  <si>
    <t>1.1.02.05.002.07</t>
  </si>
  <si>
    <t>1.1.02.05.002.09</t>
  </si>
  <si>
    <t>1.1.02.05.002.09.01</t>
  </si>
  <si>
    <t>1.1.02.05.002.07.01</t>
  </si>
  <si>
    <t>1.1.02.05.002.09.02</t>
  </si>
  <si>
    <t>1.1.02.05.002.09.03</t>
  </si>
  <si>
    <t>1.1.02.06</t>
  </si>
  <si>
    <t>1.1.02.06.001</t>
  </si>
  <si>
    <t>1.1.02.06.001.01</t>
  </si>
  <si>
    <t>1.1.02.06.001.01.03</t>
  </si>
  <si>
    <t>1.1.02.06.001.01.03.02</t>
  </si>
  <si>
    <t>1.1.02.06.006</t>
  </si>
  <si>
    <t>1.1.02.06.006.01</t>
  </si>
  <si>
    <t>1.1.02.06.006.06</t>
  </si>
  <si>
    <t>1.1.02.06.006.06.01</t>
  </si>
  <si>
    <t>1.1.02.06.006.06.02</t>
  </si>
  <si>
    <t>1.1.02.06.006.06.01.01</t>
  </si>
  <si>
    <t>1.1.02.06.006.06.01.02</t>
  </si>
  <si>
    <t>1.1.02.06.006.06.03</t>
  </si>
  <si>
    <t>1.1.02.06.006.06.02.01</t>
  </si>
  <si>
    <t>1.1.02.06.006.06.02.02</t>
  </si>
  <si>
    <t>1.2</t>
  </si>
  <si>
    <t>1.2.05</t>
  </si>
  <si>
    <t>1.2.05.02</t>
  </si>
  <si>
    <t>1.2.05.02.01</t>
  </si>
  <si>
    <t>1.2.05.02.02</t>
  </si>
  <si>
    <t>1.2.05.02.03</t>
  </si>
  <si>
    <t>1.2.05.02.04</t>
  </si>
  <si>
    <t>1.2.08</t>
  </si>
  <si>
    <t>1.2.08.01</t>
  </si>
  <si>
    <t>1.2.08.01.002</t>
  </si>
  <si>
    <t>1.2.08.01.003</t>
  </si>
  <si>
    <t>1.2.08.01.002.01</t>
  </si>
  <si>
    <t>1.2.08.01.002.02</t>
  </si>
  <si>
    <t>1.2.08.01.003.01</t>
  </si>
  <si>
    <t>1.2.08.01.003.02</t>
  </si>
  <si>
    <t>1.2.08.02</t>
  </si>
  <si>
    <t>1.2.08.02.01</t>
  </si>
  <si>
    <t>1.2.10</t>
  </si>
  <si>
    <t>1.2.10.02</t>
  </si>
  <si>
    <t>1.2.10.02.01</t>
  </si>
  <si>
    <t>1.2.10.02.02</t>
  </si>
  <si>
    <t>1.2.10.02.03</t>
  </si>
  <si>
    <t>1.2.10.02.04</t>
  </si>
  <si>
    <t>1.2.13</t>
  </si>
  <si>
    <t>1.2.13.01</t>
  </si>
  <si>
    <t>1.2.13.01.01</t>
  </si>
  <si>
    <t>1.2.13.01.02</t>
  </si>
  <si>
    <t>1.2.13.01.03</t>
  </si>
  <si>
    <t>1.2.13.01.04</t>
  </si>
  <si>
    <t>INGRESOS</t>
  </si>
  <si>
    <t xml:space="preserve">INGRESOS CORRIENTES </t>
  </si>
  <si>
    <t xml:space="preserve">INGRESOS NO TRIBUTARIOS </t>
  </si>
  <si>
    <t xml:space="preserve">Venta de bienes y servicios </t>
  </si>
  <si>
    <t xml:space="preserve">Ventas incidentales de establecimientos no de mercado </t>
  </si>
  <si>
    <t xml:space="preserve">Servicios para la comunidad, sociales y personales </t>
  </si>
  <si>
    <t xml:space="preserve">Certificados y Constancias de desempeño </t>
  </si>
  <si>
    <t>Duplicado diploma Grado 11</t>
  </si>
  <si>
    <t xml:space="preserve">Duplicado acta de grado </t>
  </si>
  <si>
    <t xml:space="preserve">Transferencias Corrientes </t>
  </si>
  <si>
    <t>Sistema General del Participaciones S.G.P</t>
  </si>
  <si>
    <t xml:space="preserve">Participación para Educación </t>
  </si>
  <si>
    <t xml:space="preserve">Transferencias de otras Entidades del Gobierno Nacional </t>
  </si>
  <si>
    <t xml:space="preserve">Calidad </t>
  </si>
  <si>
    <t xml:space="preserve">Otras Unidades de Gobierno </t>
  </si>
  <si>
    <t xml:space="preserve">Transferencias Departamentales </t>
  </si>
  <si>
    <t xml:space="preserve">Calidad SGP Departamentos </t>
  </si>
  <si>
    <t xml:space="preserve">Transferencias Municipales </t>
  </si>
  <si>
    <t xml:space="preserve">Otros aportes Departamentales </t>
  </si>
  <si>
    <t xml:space="preserve">Calidad SGP - Municipio </t>
  </si>
  <si>
    <t xml:space="preserve">Otros Aportes Municipales </t>
  </si>
  <si>
    <t xml:space="preserve">Transferencias de otras Entidades Públicas </t>
  </si>
  <si>
    <t xml:space="preserve">RECURSOS DE CAPITAL </t>
  </si>
  <si>
    <t xml:space="preserve">Rendimientos Financieros </t>
  </si>
  <si>
    <t xml:space="preserve">Depósitos </t>
  </si>
  <si>
    <t xml:space="preserve">Transferencias de Capital </t>
  </si>
  <si>
    <t xml:space="preserve">Donaciones </t>
  </si>
  <si>
    <t xml:space="preserve">De Organizaciones Internacionales </t>
  </si>
  <si>
    <t>No condicionadas a la adquisición de un Activo</t>
  </si>
  <si>
    <t>Condicionadas a la adquisición de un Activo</t>
  </si>
  <si>
    <t>Indemnizaciones relacionadas con seguros de no vida</t>
  </si>
  <si>
    <t xml:space="preserve">Del sector privado </t>
  </si>
  <si>
    <t xml:space="preserve">Indemnización Póliza </t>
  </si>
  <si>
    <t xml:space="preserve">Recursos de Balance </t>
  </si>
  <si>
    <t xml:space="preserve">Superavit Fiscal </t>
  </si>
  <si>
    <t>Reintegros y Otros Recursos no apropiados</t>
  </si>
  <si>
    <t xml:space="preserve">Reintegros </t>
  </si>
  <si>
    <t xml:space="preserve">Reintegros SGP Calidad por Gratuidad </t>
  </si>
  <si>
    <t xml:space="preserve">Reintegro Recursos Propios </t>
  </si>
  <si>
    <t xml:space="preserve">Reintegros SGP Calidad por Matrícula Oficial </t>
  </si>
  <si>
    <t xml:space="preserve">Reintegros distintos al SGP Y Recursos Propios </t>
  </si>
  <si>
    <t>Serv. financieros y serv conexos: Inmobiliarios, y serv de arrendamiento</t>
  </si>
  <si>
    <t xml:space="preserve">Arrendamiento de Espacios- Tienda Escolar, Otros  </t>
  </si>
  <si>
    <t>Calidad por Gratuidad -MEN</t>
  </si>
  <si>
    <t xml:space="preserve">Rend. Financieros-  SGP Calidad Por Gratuidad </t>
  </si>
  <si>
    <t xml:space="preserve">Rend. Financiros - Recursos Propios </t>
  </si>
  <si>
    <t>Rend. Financieros - SGP Calidad Matricula oficial</t>
  </si>
  <si>
    <t xml:space="preserve">Rend. Financieros- Distintos a SGP y a Recursos propios </t>
  </si>
  <si>
    <t xml:space="preserve">Rec. Balance- SGP Calidad por Gratuidad </t>
  </si>
  <si>
    <t xml:space="preserve">Rec. Balance - Recursos Propios </t>
  </si>
  <si>
    <t xml:space="preserve">Rec. Balance-  SGP Calidad por Matrícula Oficial </t>
  </si>
  <si>
    <t xml:space="preserve">Rec. Balance-  Distintos a SGP y Recursos Propios </t>
  </si>
  <si>
    <t>Aportes de la Nación-Otros (Alimentacion Escolar)</t>
  </si>
  <si>
    <t>2.1</t>
  </si>
  <si>
    <t>2.1.2</t>
  </si>
  <si>
    <t>2.1.2.01</t>
  </si>
  <si>
    <t>2.1.2.01.01</t>
  </si>
  <si>
    <t>2.1.2.01.01.003</t>
  </si>
  <si>
    <t>2.1.2.01.01.003.01</t>
  </si>
  <si>
    <t>2.1.2.01.01.003.01.06</t>
  </si>
  <si>
    <t>2.1.2.01.01.003.01.06.01</t>
  </si>
  <si>
    <t>2.1.2.01.01.003.01.06.02</t>
  </si>
  <si>
    <t>2.1.2.01.01.003.02</t>
  </si>
  <si>
    <t>2.1.2.01.01.003.02.07</t>
  </si>
  <si>
    <t>2.1.2.01.01.003.02.07.01</t>
  </si>
  <si>
    <t>2.1.2.01.01.003.02.08</t>
  </si>
  <si>
    <t>2.1.2.01.01.003.02.08.01</t>
  </si>
  <si>
    <t>2.1.2.01.01.003.03</t>
  </si>
  <si>
    <t>2.1.2.01.01.003.03.02</t>
  </si>
  <si>
    <t>2.1.2.01.01.003.03.02.01</t>
  </si>
  <si>
    <t>2.1.2.01.01.003.03.02.02</t>
  </si>
  <si>
    <t>2.1.2.01.01.003.03.02.03</t>
  </si>
  <si>
    <t>2.1.2.01.01.003.03.02.04</t>
  </si>
  <si>
    <t>2.1.2.01.01.003.04</t>
  </si>
  <si>
    <t>2.1.2.01.01.003.04.01</t>
  </si>
  <si>
    <t>2.1.2.01.01.003.04.02</t>
  </si>
  <si>
    <t>2.1.2.01.01.003.04.03</t>
  </si>
  <si>
    <t>2.1.2.01.01.003.04.04</t>
  </si>
  <si>
    <t>2.1.2.01.01.003.04.05</t>
  </si>
  <si>
    <t>2.1.2.01.01.003.04.06</t>
  </si>
  <si>
    <t>2.1.2.01.01.003.05</t>
  </si>
  <si>
    <t>2.1.2.01.01.003.05.02</t>
  </si>
  <si>
    <t>2.1.2.01.01.003.05.03</t>
  </si>
  <si>
    <t>2.1.2.01.01.003.05.03.01</t>
  </si>
  <si>
    <t>2.1.2.01.01.003.05.03.02</t>
  </si>
  <si>
    <t>2.1.2.01.01.003.05.03.03</t>
  </si>
  <si>
    <t>2.1.2.01.01.003.05.03.04</t>
  </si>
  <si>
    <t>2.1.2.01.01.003.05.03.05</t>
  </si>
  <si>
    <t>2.1.2.01.01.003.05.04</t>
  </si>
  <si>
    <t>2.1.2.01.01.003.06</t>
  </si>
  <si>
    <t>2.1.2.01.01.003.06.02</t>
  </si>
  <si>
    <t xml:space="preserve">GASTOS </t>
  </si>
  <si>
    <t xml:space="preserve">FUNCIONAMIENTO </t>
  </si>
  <si>
    <t xml:space="preserve">ADQUISICION DE BIENES Y SERVICIOS </t>
  </si>
  <si>
    <t xml:space="preserve">Adquisición de activos no Financieros </t>
  </si>
  <si>
    <t xml:space="preserve">Activos Fijos </t>
  </si>
  <si>
    <t xml:space="preserve">Maquinaria y Equipo </t>
  </si>
  <si>
    <t xml:space="preserve">Maquinaria para uso general </t>
  </si>
  <si>
    <t>Otras maquinas para uso genral, partes y piezas</t>
  </si>
  <si>
    <t xml:space="preserve">Aparatos para acondicionamiento de Aire </t>
  </si>
  <si>
    <t>Extintores de incendios</t>
  </si>
  <si>
    <t xml:space="preserve">Maquinaria para usos especiales </t>
  </si>
  <si>
    <t xml:space="preserve">Aparatos de uso domestico, partes y piezas </t>
  </si>
  <si>
    <t xml:space="preserve">Ventilador electrico de uso domestico </t>
  </si>
  <si>
    <t>Otras maquinarias para usos especiales, partes y piezas</t>
  </si>
  <si>
    <t xml:space="preserve">Maquinas Fotocopiadoras </t>
  </si>
  <si>
    <t xml:space="preserve">Maquinaria de Oficina, Contabilidad </t>
  </si>
  <si>
    <t xml:space="preserve">Maquinaria de informatica, patres y piezas </t>
  </si>
  <si>
    <t xml:space="preserve">Mquinaria de procesamiento de datos </t>
  </si>
  <si>
    <t xml:space="preserve">Partes y accesorios para computadores </t>
  </si>
  <si>
    <t xml:space="preserve">Dispositivos perifericos de entrada </t>
  </si>
  <si>
    <t>Impresoras</t>
  </si>
  <si>
    <t xml:space="preserve">Maquinaria y aparatos electricos </t>
  </si>
  <si>
    <t xml:space="preserve">Motores generadores y transformadores electricos </t>
  </si>
  <si>
    <t xml:space="preserve">Aparatos de control electrico y ditribucion de electricidad </t>
  </si>
  <si>
    <t>Hilos y cables aislados, cable de fibra optica</t>
  </si>
  <si>
    <t xml:space="preserve">Acumuladores, pilas, baterias primrias </t>
  </si>
  <si>
    <t xml:space="preserve">Lamparas electricas, equipo para alumbrado electrico </t>
  </si>
  <si>
    <t xml:space="preserve">Otros equipos electricos y sus partes </t>
  </si>
  <si>
    <t xml:space="preserve">Equipos de radio, televisión y comunicaciones </t>
  </si>
  <si>
    <t xml:space="preserve">Aparatos transmisores de TV, video y camaras digitales, telefonos </t>
  </si>
  <si>
    <t>Radioreceptores de televisión, aparatos de reproducción de sonido</t>
  </si>
  <si>
    <t xml:space="preserve">Televisores </t>
  </si>
  <si>
    <t xml:space="preserve">Videoproyectores </t>
  </si>
  <si>
    <t xml:space="preserve">Micrófonos </t>
  </si>
  <si>
    <t xml:space="preserve">Parlates- Altavoces, Bafles  </t>
  </si>
  <si>
    <t xml:space="preserve">Equipos de sonido integrado </t>
  </si>
  <si>
    <t>Partes y piezas de productos clase 4721, 4733, 4822</t>
  </si>
  <si>
    <t xml:space="preserve">Aparatos medicos, instrumenstos opticos, relojes </t>
  </si>
  <si>
    <t xml:space="preserve">Instrumentos y aparetos de medición, de control industrial </t>
  </si>
  <si>
    <t>2.1.2.01.01.004</t>
  </si>
  <si>
    <t>2.1.2.01.01.004.01</t>
  </si>
  <si>
    <t>2.1.2.01.01.004.01.01</t>
  </si>
  <si>
    <t>2.1.2.01.01.004.01.01.01</t>
  </si>
  <si>
    <t>2.1.2.01.01.004.01.01.01.01</t>
  </si>
  <si>
    <t>2.1.2.01.01.004.01.01.01.02</t>
  </si>
  <si>
    <t>2.1.2.01.01.004.01.01.01.03</t>
  </si>
  <si>
    <t>2.1.2.01.01.004.01.01.02</t>
  </si>
  <si>
    <t>2.1.2.01.01.004.01.01.02.01</t>
  </si>
  <si>
    <t>2.1.2.01.01.004.01.01.02.02</t>
  </si>
  <si>
    <t>2.1.2.01.01.004.01.01.02.03</t>
  </si>
  <si>
    <t>2.1.2.01.01.004.01.01.04</t>
  </si>
  <si>
    <t>2.1.2.01.01.004.01.01.04.01</t>
  </si>
  <si>
    <t>2.1.2.01.01.004.01.01.04.02</t>
  </si>
  <si>
    <t>2.1.2.01.01.004.01.01.04.03</t>
  </si>
  <si>
    <t>2.1.2.01.01.004.01.01.04.04</t>
  </si>
  <si>
    <t>2.1.2.01.01.004.01.01.04.05</t>
  </si>
  <si>
    <t>2.1.2.01.01.004.01.01.04.06</t>
  </si>
  <si>
    <t>2.1.2.01.01.004.01.01.06</t>
  </si>
  <si>
    <t>2.1.2.01.01.004.01.02</t>
  </si>
  <si>
    <t>2.1.2.01.01.004.01.03</t>
  </si>
  <si>
    <t>2.1.2.01.01.005</t>
  </si>
  <si>
    <t>2.1.2.01.01.005.01</t>
  </si>
  <si>
    <t>2.1.2.01.01.005.01.01</t>
  </si>
  <si>
    <t>2.1.2.01.01.005.01.01.01</t>
  </si>
  <si>
    <t>2.1.2.01.01.005.01.01.08</t>
  </si>
  <si>
    <t>2.1.2.01.01.005.02</t>
  </si>
  <si>
    <t>2.1.2.01.01.005.02.06</t>
  </si>
  <si>
    <t>2.1.2.02</t>
  </si>
  <si>
    <t>2.1.2.02.01</t>
  </si>
  <si>
    <t>2.1.2.02.01.000</t>
  </si>
  <si>
    <t>2.1.2.02.01.000.01</t>
  </si>
  <si>
    <t>2.1.2.02.01.000.02</t>
  </si>
  <si>
    <t>2.1.2.02.01.003</t>
  </si>
  <si>
    <t>2.1.2.02.01.003.01</t>
  </si>
  <si>
    <t>2.1.2.02.01.003.02</t>
  </si>
  <si>
    <t>2.1.2.02.01.003.03</t>
  </si>
  <si>
    <t>2.1.2.02.01.003.04</t>
  </si>
  <si>
    <t>2.1.2.02.01.003.05</t>
  </si>
  <si>
    <t>2.1.2.02.01.003.06</t>
  </si>
  <si>
    <t>2.1.2.02.01.003.07</t>
  </si>
  <si>
    <t>2.1.2.02.02</t>
  </si>
  <si>
    <t>2.1.2.02.02.005</t>
  </si>
  <si>
    <t>2.1.2.02.02.005.01</t>
  </si>
  <si>
    <t>2.1.2.02.02.005.02</t>
  </si>
  <si>
    <t>2.1.2.02.02.006</t>
  </si>
  <si>
    <t>2.1.2.02.02.006.01</t>
  </si>
  <si>
    <t>2.1.2.02.02.006.02</t>
  </si>
  <si>
    <t>2.1.2.02.02.006.03</t>
  </si>
  <si>
    <t>2.1.2.02.02.006.04</t>
  </si>
  <si>
    <t>2.1.2.02.02.006.05</t>
  </si>
  <si>
    <t>2.1.2.02.02.006.06</t>
  </si>
  <si>
    <t>2.1.2.02.02.007</t>
  </si>
  <si>
    <t>2.1.2.02.02.007.01</t>
  </si>
  <si>
    <t>2.1.2.02.02.007.02</t>
  </si>
  <si>
    <t>2.1.2.02.02.007.03</t>
  </si>
  <si>
    <t>2.1.2.02.02.008</t>
  </si>
  <si>
    <t>2.1.2.02.02.008.01</t>
  </si>
  <si>
    <t>2.1.2.02.02.008.02</t>
  </si>
  <si>
    <t>2.1.2.02.02.008.03</t>
  </si>
  <si>
    <t>2.1.2.02.02.008.04</t>
  </si>
  <si>
    <t>2.1.2.02.02.008.05</t>
  </si>
  <si>
    <t>2.1.2.02.02.008.06</t>
  </si>
  <si>
    <t>2.1.2.02.02.009</t>
  </si>
  <si>
    <t>2.1.2.02.02.009.01</t>
  </si>
  <si>
    <t>2.1.2.02.02.009.02</t>
  </si>
  <si>
    <t xml:space="preserve">Activos fijos no clasificados como maquinaria y equipo </t>
  </si>
  <si>
    <t xml:space="preserve">Muebles, instrumentos musicales, articulos de deporte, antiguedades </t>
  </si>
  <si>
    <t xml:space="preserve">Muebles </t>
  </si>
  <si>
    <t xml:space="preserve">Asientos </t>
  </si>
  <si>
    <t xml:space="preserve">Sillas- Pupitres metalicos/ madera </t>
  </si>
  <si>
    <t>Sillas de material plastico</t>
  </si>
  <si>
    <t>Sillas metalicas fijas / Giratorias para Oficina</t>
  </si>
  <si>
    <t>Muebles del tipo utilizado para Oficina</t>
  </si>
  <si>
    <t xml:space="preserve">Archivadores metalicos/ madera </t>
  </si>
  <si>
    <t xml:space="preserve">Bibliotecas metálicas/ madera </t>
  </si>
  <si>
    <t xml:space="preserve">Escritorios metálicos/ madera </t>
  </si>
  <si>
    <t>Otros muebles N.C.P</t>
  </si>
  <si>
    <t xml:space="preserve">Armarios metalicos </t>
  </si>
  <si>
    <t xml:space="preserve">Pupitres en madera- metalicos - individuale y dobles </t>
  </si>
  <si>
    <t xml:space="preserve">Mesa pupitre plastico prescolar </t>
  </si>
  <si>
    <t>Mesa metálica para laboratorio</t>
  </si>
  <si>
    <t xml:space="preserve">Muebles de madera metálicos NCP, para escuelas </t>
  </si>
  <si>
    <t xml:space="preserve">Partes y piezas de muebles </t>
  </si>
  <si>
    <t xml:space="preserve">Otros Activos fijos </t>
  </si>
  <si>
    <t xml:space="preserve">Recursos  biologicos cultivados </t>
  </si>
  <si>
    <t xml:space="preserve">Recursos animales que generan productos en forma repetida </t>
  </si>
  <si>
    <t xml:space="preserve">Arboles frutales </t>
  </si>
  <si>
    <t xml:space="preserve">Otros animales que generan productos en forma repetida </t>
  </si>
  <si>
    <t>Arboles, cultivos y plantas que generan productos en forma repetida</t>
  </si>
  <si>
    <t>Animales de cria</t>
  </si>
  <si>
    <t>2.1.2.01.01.005.01.02</t>
  </si>
  <si>
    <t>2.1.2.01.01.005.01.02.01</t>
  </si>
  <si>
    <t>2.1.2.01.01.005.01.02.06</t>
  </si>
  <si>
    <t xml:space="preserve">Otros arboles, cultivos, plantas que generan producos </t>
  </si>
  <si>
    <t xml:space="preserve">Productos de la propiedad intelectual </t>
  </si>
  <si>
    <t xml:space="preserve">Adquisición de diferentes Activos </t>
  </si>
  <si>
    <t xml:space="preserve">Materiales y suministros </t>
  </si>
  <si>
    <t xml:space="preserve">Agricultura, silvicultura y productos de pezca </t>
  </si>
  <si>
    <t xml:space="preserve">Insumos para agricultura, horticultura y Silvicultura </t>
  </si>
  <si>
    <t xml:space="preserve">Insumos para sostenimiento de semovientes </t>
  </si>
  <si>
    <t>Otros bienes transportables (excepto Maquinaria y equipo).</t>
  </si>
  <si>
    <t>Papaleria y utiles de escritorio</t>
  </si>
  <si>
    <t xml:space="preserve">Elementos de aseo- Botiquin </t>
  </si>
  <si>
    <t xml:space="preserve">Materiales electricos, ferreteria y fontaneria </t>
  </si>
  <si>
    <t>Cartuchos- Tóners</t>
  </si>
  <si>
    <t xml:space="preserve">Articulos de deporte </t>
  </si>
  <si>
    <t>Dotacion menajes, materiales y medios pedagógicos para aprendizaje</t>
  </si>
  <si>
    <t>Otros bienes transportables N.C.P</t>
  </si>
  <si>
    <t xml:space="preserve">Adquisición de servicios </t>
  </si>
  <si>
    <t>Construcción y servicios de la Construcción</t>
  </si>
  <si>
    <t xml:space="preserve">Construcción general, mejoras de infraestructura, reparaciones </t>
  </si>
  <si>
    <t>Construcción y ampliación de infraestructura educativa</t>
  </si>
  <si>
    <t>Comercio, distribución alojamiento, servicio suministro de comidas …</t>
  </si>
  <si>
    <t>Gastos de viaje de estudiantes- salidas (Transporte y alimentación)</t>
  </si>
  <si>
    <t xml:space="preserve">Servicio de energia electrica </t>
  </si>
  <si>
    <t xml:space="preserve">Servicio de distribución de Gas </t>
  </si>
  <si>
    <t xml:space="preserve">Contratacion de Transporte Escolar </t>
  </si>
  <si>
    <t>Alimentacion Escolar ( Decreto 0846 de 2023)</t>
  </si>
  <si>
    <t xml:space="preserve">Servicios financieros y conexos, arrendamientos y leasing </t>
  </si>
  <si>
    <t xml:space="preserve">Seguros </t>
  </si>
  <si>
    <t xml:space="preserve">Gastos Financieros </t>
  </si>
  <si>
    <t xml:space="preserve">Arrendamiento Establecimientos Educativos </t>
  </si>
  <si>
    <t xml:space="preserve">Servicios prestados a las empresas y servicios de producción </t>
  </si>
  <si>
    <t>Servicio de alojamiento en sitio WEB (Hosting)</t>
  </si>
  <si>
    <t xml:space="preserve">Servicio de telefoníay otros servicios de Telecomunicaciones </t>
  </si>
  <si>
    <t xml:space="preserve">Servicio de acceso a Internet </t>
  </si>
  <si>
    <t xml:space="preserve">Impresos y Publicaciones </t>
  </si>
  <si>
    <t>Servicios para la comunidad, sociales y personales</t>
  </si>
  <si>
    <t xml:space="preserve">Realizacion de actividades pedagógicas, cientificas, culturales, deportivas </t>
  </si>
  <si>
    <t>Inscripción y participacion en competencias deportivas, culturales, cientificas.</t>
  </si>
  <si>
    <t xml:space="preserve">CODIGO </t>
  </si>
  <si>
    <t xml:space="preserve">CUENTA </t>
  </si>
  <si>
    <t xml:space="preserve">PRESUPUESTO INICIAL </t>
  </si>
  <si>
    <t xml:space="preserve">DESEQUILIBRIO PRESUPUESTAL </t>
  </si>
  <si>
    <t xml:space="preserve">ADICIONES </t>
  </si>
  <si>
    <t xml:space="preserve">REDUCCIONES </t>
  </si>
  <si>
    <t xml:space="preserve">PRESUPUESTO DEFINITIVO </t>
  </si>
  <si>
    <t xml:space="preserve">RECAUDO ACUMULADO </t>
  </si>
  <si>
    <t xml:space="preserve">SALDO POR RECAUDAR </t>
  </si>
  <si>
    <t>ADICIONES</t>
  </si>
  <si>
    <t xml:space="preserve">PAGOS </t>
  </si>
  <si>
    <t xml:space="preserve">TOTAL INGRESOS </t>
  </si>
  <si>
    <t>CREDITOS</t>
  </si>
  <si>
    <t xml:space="preserve">CONTRA   CREDITOS </t>
  </si>
  <si>
    <t xml:space="preserve">TOTAL GASTOS </t>
  </si>
  <si>
    <t xml:space="preserve">Mantenimiento y reparación de maquinaria, mobiliario y otros bienes </t>
  </si>
  <si>
    <t>SOLO DILIGENCIAS LAS CASILAS QUE ESTAN CON COLOR BLANCO</t>
  </si>
  <si>
    <t xml:space="preserve">NO DAÑAR LAS FORMULAS </t>
  </si>
  <si>
    <t>SALDO ANTERIOR</t>
  </si>
  <si>
    <t xml:space="preserve">COMPROMISOS </t>
  </si>
  <si>
    <t xml:space="preserve">COMPROMISOS DEL MES </t>
  </si>
  <si>
    <t xml:space="preserve">COMPROMISOS ACUMULADOS </t>
  </si>
  <si>
    <t xml:space="preserve">PAGOS DEL MES </t>
  </si>
  <si>
    <t xml:space="preserve">PAGOS ACUMULADOS </t>
  </si>
  <si>
    <t xml:space="preserve">SALDO DE APOPIACION </t>
  </si>
  <si>
    <t xml:space="preserve">SALDO COMPROMETIDO POR PAGAR </t>
  </si>
  <si>
    <t xml:space="preserve">SALDO FINAL </t>
  </si>
  <si>
    <t>RECAUDOS ANTERIORES</t>
  </si>
  <si>
    <t xml:space="preserve">RECAUDO </t>
  </si>
  <si>
    <t xml:space="preserve">RECAUDO DEL MES </t>
  </si>
  <si>
    <t>1.1.02.05.002.09.04</t>
  </si>
  <si>
    <t>1.1.02.05.002.09.05</t>
  </si>
  <si>
    <t xml:space="preserve">Derechos de grado - Adultos y en Extraedad </t>
  </si>
  <si>
    <t xml:space="preserve">Derechos Académicos- Adultos y Extraedad </t>
  </si>
  <si>
    <t>1.2.08.01.003.03</t>
  </si>
  <si>
    <t xml:space="preserve">Donacion de padres de familia </t>
  </si>
  <si>
    <t>2.1.2.02.02.008.07</t>
  </si>
  <si>
    <t>Otros Gastos Educación- Servicios profesionales -Honoararios</t>
  </si>
  <si>
    <t xml:space="preserve">Otros Gastos Educación- Servicios tecnicos </t>
  </si>
  <si>
    <t>2.1.2.02.02.006.07</t>
  </si>
  <si>
    <t>2.1.2.02.01.003.08</t>
  </si>
  <si>
    <t>Otros productos de propiedad intelectual (Programas, Paquetes contables)</t>
  </si>
  <si>
    <t>Tableros</t>
  </si>
  <si>
    <t xml:space="preserve">Combustibles y lubricantes (Para plantas electricas, etc) </t>
  </si>
  <si>
    <t>Servicio  Público-Acueducto y alcantarillado.</t>
  </si>
  <si>
    <t xml:space="preserve">Servicio  Público- Aseo. </t>
  </si>
  <si>
    <t xml:space="preserve">Equipos para Deporte </t>
  </si>
  <si>
    <t xml:space="preserve">Instrumentos musicales, dotación Bandas de paz </t>
  </si>
  <si>
    <t>CONFIGURACION DEL SISTEMA PRESUPUESTAL</t>
  </si>
  <si>
    <t>Vigencia:</t>
  </si>
  <si>
    <t>Institucion Educativa:</t>
  </si>
  <si>
    <t>NIT Institucion:</t>
  </si>
  <si>
    <t>Rector/Director:</t>
  </si>
  <si>
    <t>Tesorero/Pagador:</t>
  </si>
  <si>
    <t>Mes Actual:</t>
  </si>
  <si>
    <t>Consecutivo CDP:</t>
  </si>
  <si>
    <t>Consecutivo RP:</t>
  </si>
  <si>
    <t>Consecutivo OBLIGACION:</t>
  </si>
  <si>
    <t>Consecutivo PAGO:</t>
  </si>
  <si>
    <t>(1=Ene, 2=Feb, ... 12=Dic)</t>
  </si>
  <si>
    <t>NIT/CC</t>
  </si>
  <si>
    <t>DV</t>
  </si>
  <si>
    <t>NOMBRE/RAZON SOCIAL</t>
  </si>
  <si>
    <t>DIRECCION</t>
  </si>
  <si>
    <t>TELEFONO</t>
  </si>
  <si>
    <t>EMAIL</t>
  </si>
  <si>
    <t>TIPO</t>
  </si>
  <si>
    <t>BANCO</t>
  </si>
  <si>
    <t>TIPO CUENTA</t>
  </si>
  <si>
    <t>NO. CUENTA</t>
  </si>
  <si>
    <t>No. CDP</t>
  </si>
  <si>
    <t>FECHA</t>
  </si>
  <si>
    <t>CODIGO RUBRO</t>
  </si>
  <si>
    <t>CUENTA</t>
  </si>
  <si>
    <t>OBJETO DEL GASTO</t>
  </si>
  <si>
    <t>VALOR</t>
  </si>
  <si>
    <t>SALDO DISPONIBLE</t>
  </si>
  <si>
    <t>ESTADO</t>
  </si>
  <si>
    <t>VALOR UTILIZADO EN RP</t>
  </si>
  <si>
    <t>SALDO CDP</t>
  </si>
  <si>
    <t>No. RP</t>
  </si>
  <si>
    <t>MES</t>
  </si>
  <si>
    <t>NIT TERCERO</t>
  </si>
  <si>
    <t>NOMBRE TERCERO</t>
  </si>
  <si>
    <t>OBJETO/CONTRATO</t>
  </si>
  <si>
    <t>VALOR OBLIGADO</t>
  </si>
  <si>
    <t>SALDO RP</t>
  </si>
  <si>
    <t>No. OBLIGACION</t>
  </si>
  <si>
    <t>FACTURA/CONCEPTO</t>
  </si>
  <si>
    <t>VALOR PAGADO</t>
  </si>
  <si>
    <t>SALDO OBLIGACION</t>
  </si>
  <si>
    <t>No. PAGO</t>
  </si>
  <si>
    <t>CONCEPTO</t>
  </si>
  <si>
    <t>MEDIO DE PAGO</t>
  </si>
  <si>
    <t>No. COMPROBANTE</t>
  </si>
  <si>
    <t>TARJETA PRESUPUESTAL DE GASTOS - VIGENCIA 2026</t>
  </si>
  <si>
    <t>RUBRO:</t>
  </si>
  <si>
    <t>(Seleccione un rubro)</t>
  </si>
  <si>
    <t>CUENTA:</t>
  </si>
  <si>
    <t>PPTO INICIAL:</t>
  </si>
  <si>
    <t>ADICIONES:</t>
  </si>
  <si>
    <t>REDUCCIONES:</t>
  </si>
  <si>
    <t>CREDITOS:</t>
  </si>
  <si>
    <t>CONTRACREDITOS:</t>
  </si>
  <si>
    <t>PPTO DEFINITIVO:</t>
  </si>
  <si>
    <t>TIPO DOC</t>
  </si>
  <si>
    <t>No. DOCUMENTO</t>
  </si>
  <si>
    <t>CONCEPTO/OBJETO</t>
  </si>
  <si>
    <t>VALOR CDP</t>
  </si>
  <si>
    <t>VALOR RP</t>
  </si>
  <si>
    <t>VALOR OBLIGACION</t>
  </si>
  <si>
    <t>VALOR PAGO</t>
  </si>
  <si>
    <t>SALDO COMPROMETIDO</t>
  </si>
  <si>
    <t>SISTEMA PRESUPUESTAL</t>
  </si>
  <si>
    <t>INSTITUCION EDUCATIVA - VIGENCIA 2026</t>
  </si>
  <si>
    <t>EJECUCION PRESUPUESTAL</t>
  </si>
  <si>
    <t>REGISTRAR CDP</t>
  </si>
  <si>
    <t>REGISTRAR RP</t>
  </si>
  <si>
    <t>REGISTRAR OBLIGACION</t>
  </si>
  <si>
    <t>REGISTRAR PAGO</t>
  </si>
  <si>
    <t>CONSULTAS Y REPORTES</t>
  </si>
  <si>
    <t>VER TARJETAS PRESUPUESTALES</t>
  </si>
  <si>
    <t>CONSOLIDAR MES</t>
  </si>
  <si>
    <t>BASE DE TERCEROS</t>
  </si>
  <si>
    <t>CIERRE DE MES</t>
  </si>
  <si>
    <t>CATALOGOS PRESUPUESTALES</t>
  </si>
  <si>
    <t>CATALOGO INGRESOS</t>
  </si>
  <si>
    <t>CATALOGO GASTOS</t>
  </si>
  <si>
    <t>RESUMEN PRESUPUESTAL</t>
  </si>
  <si>
    <t>Total Presupuesto:</t>
  </si>
  <si>
    <t>Total Comprometido:</t>
  </si>
  <si>
    <t>Total Obligado:</t>
  </si>
  <si>
    <t>Total Pagado:</t>
  </si>
  <si>
    <t>Saldo Disponible:</t>
  </si>
  <si>
    <t>SERVICIO DE ENERGIA MES DE ENERO DE 2026</t>
  </si>
  <si>
    <t>MARTHA CECILIA RIOBAMBA ARCINIEGAS</t>
  </si>
  <si>
    <t>Natural</t>
  </si>
  <si>
    <t>SERVICIO DE ENERGIA MES DE ENERO DE 2025</t>
  </si>
  <si>
    <t>AGOTADO</t>
  </si>
  <si>
    <t>INSTITUCION EDUCATIVA ALMIRANTE PADILLA</t>
  </si>
  <si>
    <t>891201870-1</t>
  </si>
  <si>
    <t>DIEGO OSCAR BENAVIDES MEZA</t>
  </si>
  <si>
    <t>Transferencia</t>
  </si>
  <si>
    <t>PAGADO</t>
  </si>
  <si>
    <t>PAGADA</t>
  </si>
  <si>
    <t>OBSERVACIONES</t>
  </si>
  <si>
    <t>CONCEPTO / OBJETO DEL GASTO</t>
  </si>
  <si>
    <t>VECES USADO</t>
  </si>
  <si>
    <t>ULTIMO USO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</si>
</sst>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dd/mm/yyyy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name val="Arial"/>
      <family val="2"/>
    </font>
    <font>
      <b/>
      <sz val="14"/>
      <color rgb="FFFFFFFF"/>
      <name val="Calibri"/>
      <family val="2"/>
      <scheme val="minor"/>
    </font>
    <font>
      <i/>
      <sz val="11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22"/>
      <color rgb="FF003366"/>
      <name val="Calibri"/>
      <family val="2"/>
      <scheme val="minor"/>
    </font>
    <font>
      <b/>
      <sz val="14"/>
      <color rgb="FF006699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0"/>
      <color rgb="FF000000"/>
      <name val="Calibri"/>
      <family val="2"/>
    </font>
    <font>
      <b/>
      <sz val="9"/>
      <color rgb="FF000000"/>
      <name val="Calibri"/>
      <family val="2"/>
    </font>
    <font>
      <i/>
      <sz val="9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6633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0F4F8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3366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164" fontId="5" fillId="0" borderId="0" applyFont="0" applyFill="0" applyBorder="0" applyAlignment="0" applyProtection="0"/>
  </cellStyleXfs>
  <cellXfs count="74">
    <xf numFmtId="0" fontId="0" fillId="0" borderId="0" xfId="0"/>
    <xf numFmtId="4" fontId="0" fillId="0" borderId="1" xfId="0" applyNumberFormat="1" applyBorder="1"/>
    <xf numFmtId="1" fontId="0" fillId="0" borderId="1" xfId="0" applyNumberFormat="1" applyBorder="1" applyAlignment="1">
      <alignment horizontal="left"/>
    </xf>
    <xf numFmtId="1" fontId="1" fillId="4" borderId="1" xfId="0" applyNumberFormat="1" applyFont="1" applyFill="1" applyBorder="1" applyAlignment="1">
      <alignment horizontal="left"/>
    </xf>
    <xf numFmtId="0" fontId="1" fillId="4" borderId="1" xfId="0" applyFont="1" applyFill="1" applyBorder="1" applyAlignment="1">
      <alignment wrapText="1"/>
    </xf>
    <xf numFmtId="4" fontId="1" fillId="4" borderId="1" xfId="0" applyNumberFormat="1" applyFont="1" applyFill="1" applyBorder="1"/>
    <xf numFmtId="1" fontId="1" fillId="4" borderId="1" xfId="0" applyNumberFormat="1" applyFont="1" applyFill="1" applyBorder="1"/>
    <xf numFmtId="1" fontId="1" fillId="5" borderId="1" xfId="0" applyNumberFormat="1" applyFont="1" applyFill="1" applyBorder="1"/>
    <xf numFmtId="0" fontId="1" fillId="5" borderId="1" xfId="0" applyFont="1" applyFill="1" applyBorder="1" applyAlignment="1">
      <alignment wrapText="1"/>
    </xf>
    <xf numFmtId="4" fontId="1" fillId="5" borderId="1" xfId="0" applyNumberFormat="1" applyFont="1" applyFill="1" applyBorder="1"/>
    <xf numFmtId="1" fontId="1" fillId="5" borderId="1" xfId="0" applyNumberFormat="1" applyFont="1" applyFill="1" applyBorder="1" applyAlignment="1">
      <alignment horizontal="left"/>
    </xf>
    <xf numFmtId="0" fontId="0" fillId="0" borderId="1" xfId="0" applyBorder="1" applyAlignment="1">
      <alignment wrapText="1"/>
    </xf>
    <xf numFmtId="1" fontId="0" fillId="0" borderId="1" xfId="0" applyNumberFormat="1" applyBorder="1"/>
    <xf numFmtId="1" fontId="1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wrapText="1"/>
    </xf>
    <xf numFmtId="4" fontId="1" fillId="2" borderId="1" xfId="0" applyNumberFormat="1" applyFont="1" applyFill="1" applyBorder="1"/>
    <xf numFmtId="0" fontId="0" fillId="0" borderId="1" xfId="0" applyBorder="1"/>
    <xf numFmtId="0" fontId="1" fillId="5" borderId="1" xfId="0" applyFont="1" applyFill="1" applyBorder="1"/>
    <xf numFmtId="0" fontId="1" fillId="4" borderId="1" xfId="0" applyFont="1" applyFill="1" applyBorder="1"/>
    <xf numFmtId="0" fontId="1" fillId="2" borderId="1" xfId="0" applyFont="1" applyFill="1" applyBorder="1"/>
    <xf numFmtId="0" fontId="3" fillId="0" borderId="1" xfId="0" applyFont="1" applyBorder="1"/>
    <xf numFmtId="0" fontId="4" fillId="3" borderId="1" xfId="0" applyFont="1" applyFill="1" applyBorder="1" applyAlignment="1">
      <alignment horizontal="center" vertical="center" wrapText="1"/>
    </xf>
    <xf numFmtId="4" fontId="1" fillId="6" borderId="1" xfId="0" applyNumberFormat="1" applyFont="1" applyFill="1" applyBorder="1"/>
    <xf numFmtId="0" fontId="1" fillId="7" borderId="1" xfId="0" applyFont="1" applyFill="1" applyBorder="1"/>
    <xf numFmtId="4" fontId="1" fillId="7" borderId="1" xfId="0" applyNumberFormat="1" applyFont="1" applyFill="1" applyBorder="1"/>
    <xf numFmtId="0" fontId="0" fillId="0" borderId="0" xfId="0" applyAlignment="1">
      <alignment wrapText="1"/>
    </xf>
    <xf numFmtId="4" fontId="1" fillId="0" borderId="1" xfId="0" applyNumberFormat="1" applyFont="1" applyBorder="1"/>
    <xf numFmtId="0" fontId="4" fillId="8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4" fillId="10" borderId="1" xfId="0" applyFont="1" applyFill="1" applyBorder="1" applyAlignment="1">
      <alignment horizontal="center" vertical="center" wrapText="1"/>
    </xf>
    <xf numFmtId="0" fontId="1" fillId="12" borderId="0" xfId="0" applyFont="1" applyFill="1"/>
    <xf numFmtId="0" fontId="0" fillId="13" borderId="1" xfId="0" applyFill="1" applyBorder="1"/>
    <xf numFmtId="0" fontId="7" fillId="0" borderId="0" xfId="0" applyFont="1"/>
    <xf numFmtId="0" fontId="8" fillId="11" borderId="0" xfId="0" applyFont="1" applyFill="1" applyAlignment="1">
      <alignment horizontal="center" wrapText="1"/>
    </xf>
    <xf numFmtId="0" fontId="8" fillId="14" borderId="0" xfId="0" applyFont="1" applyFill="1" applyAlignment="1">
      <alignment horizontal="center" wrapText="1"/>
    </xf>
    <xf numFmtId="3" fontId="0" fillId="0" borderId="0" xfId="0" applyNumberFormat="1"/>
    <xf numFmtId="165" fontId="0" fillId="0" borderId="0" xfId="0" applyNumberFormat="1"/>
    <xf numFmtId="0" fontId="8" fillId="15" borderId="0" xfId="0" applyFont="1" applyFill="1" applyAlignment="1">
      <alignment horizontal="center" wrapText="1"/>
    </xf>
    <xf numFmtId="0" fontId="8" fillId="16" borderId="0" xfId="0" applyFont="1" applyFill="1" applyAlignment="1">
      <alignment horizontal="center" wrapText="1"/>
    </xf>
    <xf numFmtId="0" fontId="8" fillId="17" borderId="0" xfId="0" applyFont="1" applyFill="1" applyAlignment="1">
      <alignment horizontal="center" wrapText="1"/>
    </xf>
    <xf numFmtId="0" fontId="0" fillId="12" borderId="0" xfId="0" applyFill="1"/>
    <xf numFmtId="0" fontId="9" fillId="18" borderId="0" xfId="0" applyFont="1" applyFill="1"/>
    <xf numFmtId="0" fontId="10" fillId="11" borderId="0" xfId="0" applyFont="1" applyFill="1" applyAlignment="1">
      <alignment horizontal="center" wrapText="1"/>
    </xf>
    <xf numFmtId="0" fontId="0" fillId="19" borderId="0" xfId="0" applyFill="1"/>
    <xf numFmtId="0" fontId="1" fillId="19" borderId="0" xfId="0" applyFont="1" applyFill="1"/>
    <xf numFmtId="3" fontId="13" fillId="19" borderId="0" xfId="0" applyNumberFormat="1" applyFont="1" applyFill="1"/>
    <xf numFmtId="0" fontId="17" fillId="0" borderId="0" xfId="0" applyFont="1" applyAlignment="1">
      <alignment wrapText="1"/>
    </xf>
    <xf numFmtId="0" fontId="8" fillId="11" borderId="0" xfId="0" applyFont="1" applyFill="1" applyAlignment="1">
      <alignment horizontal="center"/>
    </xf>
    <xf numFmtId="0" fontId="8" fillId="22" borderId="1" xfId="0" applyFont="1" applyFill="1" applyBorder="1" applyAlignment="1">
      <alignment horizontal="center" vertical="center"/>
    </xf>
    <xf numFmtId="0" fontId="0" fillId="19" borderId="1" xfId="0" applyFill="1" applyBorder="1" applyAlignment="1">
      <alignment horizontal="center" vertical="center"/>
    </xf>
    <xf numFmtId="0" fontId="14" fillId="11" borderId="0" xfId="0" applyFont="1" applyFill="1"/>
    <xf numFmtId="0" fontId="0" fillId="19" borderId="0" xfId="0" applyFill="1"/>
    <xf numFmtId="0" fontId="8" fillId="20" borderId="1" xfId="0" applyFont="1" applyFill="1" applyBorder="1" applyAlignment="1">
      <alignment horizontal="center" vertical="center"/>
    </xf>
    <xf numFmtId="0" fontId="8" fillId="21" borderId="1" xfId="0" applyFont="1" applyFill="1" applyBorder="1" applyAlignment="1">
      <alignment horizontal="center" vertical="center"/>
    </xf>
    <xf numFmtId="0" fontId="11" fillId="19" borderId="0" xfId="0" applyFont="1" applyFill="1" applyAlignment="1">
      <alignment horizontal="center"/>
    </xf>
    <xf numFmtId="0" fontId="0" fillId="19" borderId="0" xfId="0" applyFill="1" applyAlignment="1">
      <alignment horizontal="center"/>
    </xf>
    <xf numFmtId="0" fontId="12" fillId="19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8" fillId="17" borderId="1" xfId="0" applyFont="1" applyFill="1" applyBorder="1" applyAlignment="1">
      <alignment horizontal="center" vertical="center"/>
    </xf>
    <xf numFmtId="0" fontId="6" fillId="11" borderId="0" xfId="0" applyFont="1" applyFill="1"/>
    <xf numFmtId="0" fontId="0" fillId="0" borderId="0" xfId="0"/>
    <xf numFmtId="0" fontId="6" fillId="1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4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 wrapText="1"/>
    </xf>
    <xf numFmtId="0" fontId="1" fillId="6" borderId="1" xfId="0" applyFont="1" applyFill="1" applyBorder="1" applyAlignment="1">
      <alignment horizontal="center"/>
    </xf>
    <xf numFmtId="0" fontId="4" fillId="3" borderId="0" xfId="0" applyFont="1" applyFill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</cellXfs>
  <cellStyles count="2">
    <cellStyle name="Millares 2" xfId="1" xr:uid="{48FF5295-0522-4FE2-8B03-D07259920C25}"/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595959"/>
      </font>
      <fill>
        <patternFill>
          <bgColor rgb="FFD9D9D9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b/>
        <i val="0"/>
        <color rgb="FF996600"/>
      </font>
    </dxf>
    <dxf>
      <font>
        <b val="0"/>
        <i val="0"/>
        <color rgb="FF006633"/>
      </font>
    </dxf>
    <dxf>
      <font>
        <color rgb="FF595959"/>
      </font>
      <fill>
        <patternFill>
          <bgColor rgb="FFD9D9D9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REGISTRAR CDP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REGISTRAR RP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REGISTRAR OBLIGACION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REGISTRAR PAGO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 TARJETAS PRESUPUESTALES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CONSOLIDAR 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9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BASE DE TERCEROS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9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CIERRE DE 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CATALOGO INGRESOS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CATALOGO GASTOS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E7E4E-69EC-4DBE-84AB-43B431BC9A37}">
  <sheetPr codeName="Hoja4"/>
  <dimension ref="B2:I22"/>
  <sheetViews>
    <sheetView showGridLines="0" tabSelected="1" workbookViewId="0"/>
  </sheetViews>
  <sheetFormatPr baseColWidth="10" defaultRowHeight="14.4" x14ac:dyDescent="0.3"/>
  <cols>
    <col min="1" max="1" width="11.5546875" style="43"/>
    <col min="2" max="9" width="16.77734375" style="43" customWidth="1"/>
    <col min="10" max="16384" width="11.5546875" style="43"/>
  </cols>
  <sheetData>
    <row r="2" spans="2:9" ht="28.8" x14ac:dyDescent="0.55000000000000004">
      <c r="B2" s="54" t="s">
        <v>428</v>
      </c>
      <c r="C2" s="55"/>
      <c r="D2" s="55"/>
      <c r="E2" s="55"/>
      <c r="F2" s="55"/>
      <c r="G2" s="55"/>
      <c r="H2" s="55"/>
    </row>
    <row r="3" spans="2:9" ht="18" x14ac:dyDescent="0.35">
      <c r="B3" s="56" t="s">
        <v>429</v>
      </c>
      <c r="C3" s="55"/>
      <c r="D3" s="55"/>
      <c r="E3" s="55"/>
      <c r="F3" s="55"/>
      <c r="G3" s="55"/>
      <c r="H3" s="55"/>
    </row>
    <row r="5" spans="2:9" ht="15.6" x14ac:dyDescent="0.3">
      <c r="B5" s="50" t="s">
        <v>430</v>
      </c>
      <c r="C5" s="51"/>
      <c r="D5" s="51"/>
    </row>
    <row r="6" spans="2:9" x14ac:dyDescent="0.3">
      <c r="B6" s="57" t="s">
        <v>431</v>
      </c>
      <c r="C6" s="49"/>
      <c r="D6" s="58" t="s">
        <v>432</v>
      </c>
      <c r="E6" s="49"/>
      <c r="F6" s="59" t="s">
        <v>433</v>
      </c>
      <c r="G6" s="49"/>
      <c r="H6" s="60" t="s">
        <v>434</v>
      </c>
      <c r="I6" s="49"/>
    </row>
    <row r="7" spans="2:9" x14ac:dyDescent="0.3">
      <c r="B7" s="49"/>
      <c r="C7" s="49"/>
      <c r="D7" s="49"/>
      <c r="E7" s="49"/>
      <c r="F7" s="49"/>
      <c r="G7" s="49"/>
      <c r="H7" s="49"/>
      <c r="I7" s="49"/>
    </row>
    <row r="9" spans="2:9" ht="15.6" x14ac:dyDescent="0.3">
      <c r="B9" s="50" t="s">
        <v>435</v>
      </c>
      <c r="C9" s="51"/>
      <c r="D9" s="51"/>
    </row>
    <row r="10" spans="2:9" x14ac:dyDescent="0.3">
      <c r="B10" s="52" t="s">
        <v>436</v>
      </c>
      <c r="C10" s="49"/>
      <c r="D10" s="52" t="s">
        <v>437</v>
      </c>
      <c r="E10" s="49"/>
      <c r="F10" s="52" t="s">
        <v>438</v>
      </c>
      <c r="G10" s="49"/>
      <c r="H10" s="53" t="s">
        <v>439</v>
      </c>
      <c r="I10" s="49"/>
    </row>
    <row r="11" spans="2:9" x14ac:dyDescent="0.3">
      <c r="B11" s="49"/>
      <c r="C11" s="49"/>
      <c r="D11" s="49"/>
      <c r="E11" s="49"/>
      <c r="F11" s="49"/>
      <c r="G11" s="49"/>
      <c r="H11" s="49"/>
      <c r="I11" s="49"/>
    </row>
    <row r="13" spans="2:9" ht="15.6" x14ac:dyDescent="0.3">
      <c r="B13" s="50" t="s">
        <v>440</v>
      </c>
      <c r="C13" s="51"/>
      <c r="D13" s="51"/>
    </row>
    <row r="14" spans="2:9" x14ac:dyDescent="0.3">
      <c r="B14" s="48" t="s">
        <v>441</v>
      </c>
      <c r="C14" s="49"/>
      <c r="D14" s="48" t="s">
        <v>442</v>
      </c>
      <c r="E14" s="49"/>
    </row>
    <row r="15" spans="2:9" x14ac:dyDescent="0.3">
      <c r="B15" s="49"/>
      <c r="C15" s="49"/>
      <c r="D15" s="49"/>
      <c r="E15" s="49"/>
    </row>
    <row r="17" spans="2:4" ht="15.6" x14ac:dyDescent="0.3">
      <c r="B17" s="50" t="s">
        <v>443</v>
      </c>
      <c r="C17" s="51"/>
      <c r="D17" s="51"/>
    </row>
    <row r="18" spans="2:4" ht="15.6" x14ac:dyDescent="0.3">
      <c r="B18" s="44" t="s">
        <v>444</v>
      </c>
      <c r="C18" s="45">
        <f>SUMIF(CDP!H:H,"ACTIVO",CDP!F:F)+SUMIF(CDP!H:H,"AGOTADO",CDP!F:F)</f>
        <v>400000</v>
      </c>
    </row>
    <row r="19" spans="2:4" ht="15.6" x14ac:dyDescent="0.3">
      <c r="B19" s="44" t="s">
        <v>445</v>
      </c>
      <c r="C19" s="45">
        <f>SUMIF(RP!K:K,"ACTIVO",RP!I:I)+SUMIF(RP!K:K,"AGOTADO",RP!I:I)</f>
        <v>400000</v>
      </c>
    </row>
    <row r="20" spans="2:4" ht="15.6" x14ac:dyDescent="0.3">
      <c r="B20" s="44" t="s">
        <v>446</v>
      </c>
      <c r="C20" s="45">
        <f>SUMIF(OBLIGACION!J:J,"ACTIVO",OBLIGACION!H:H)+SUMIF(OBLIGACION!J:J,"PAGADA",OBLIGACION!H:H)</f>
        <v>400000</v>
      </c>
    </row>
    <row r="21" spans="2:4" ht="15.6" x14ac:dyDescent="0.3">
      <c r="B21" s="44" t="s">
        <v>447</v>
      </c>
      <c r="C21" s="45">
        <f>SUMIF(PAGO!L:L,"PAGADO",PAGO!H:H)</f>
        <v>400000</v>
      </c>
    </row>
    <row r="22" spans="2:4" ht="15.6" x14ac:dyDescent="0.3">
      <c r="B22" s="44" t="s">
        <v>448</v>
      </c>
      <c r="C22" s="45">
        <f>C18-C19</f>
        <v>0</v>
      </c>
    </row>
  </sheetData>
  <mergeCells count="16">
    <mergeCell ref="F10:G11"/>
    <mergeCell ref="H10:I11"/>
    <mergeCell ref="B13:D13"/>
    <mergeCell ref="B2:H2"/>
    <mergeCell ref="B3:H3"/>
    <mergeCell ref="B5:D5"/>
    <mergeCell ref="B6:C7"/>
    <mergeCell ref="D6:E7"/>
    <mergeCell ref="F6:G7"/>
    <mergeCell ref="H6:I7"/>
    <mergeCell ref="B14:C15"/>
    <mergeCell ref="D14:E15"/>
    <mergeCell ref="B17:D17"/>
    <mergeCell ref="B9:D9"/>
    <mergeCell ref="B10:C11"/>
    <mergeCell ref="D10:E11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RegistrarCDP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RegistrarR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RegistrarObligacion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RegistrarPago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SeleccionarRubroTarjeta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ConsolidarMes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RegistrarTercero">
                <anchor moveWithCells="1" siz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CierreMes">
                <anchor moveWithCells="1" siz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IrAIngresos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IrAGastos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58598-5032-4F06-8867-D4D7B3B067C9}">
  <sheetPr codeName="Hoja3"/>
  <dimension ref="A1:C11"/>
  <sheetViews>
    <sheetView workbookViewId="0">
      <selection activeCell="B10" sqref="B10"/>
    </sheetView>
  </sheetViews>
  <sheetFormatPr baseColWidth="10" defaultRowHeight="14.4" x14ac:dyDescent="0.3"/>
  <cols>
    <col min="1" max="1" width="25.77734375" customWidth="1"/>
    <col min="2" max="2" width="45.77734375" customWidth="1"/>
    <col min="3" max="3" width="20.77734375" customWidth="1"/>
  </cols>
  <sheetData>
    <row r="1" spans="1:3" ht="18" x14ac:dyDescent="0.35">
      <c r="A1" s="61" t="s">
        <v>363</v>
      </c>
      <c r="B1" s="62"/>
      <c r="C1" s="62"/>
    </row>
    <row r="2" spans="1:3" x14ac:dyDescent="0.3">
      <c r="A2" s="30" t="s">
        <v>364</v>
      </c>
      <c r="B2" s="31">
        <v>2026</v>
      </c>
    </row>
    <row r="3" spans="1:3" x14ac:dyDescent="0.3">
      <c r="A3" s="30" t="s">
        <v>365</v>
      </c>
      <c r="B3" s="31" t="s">
        <v>454</v>
      </c>
    </row>
    <row r="4" spans="1:3" x14ac:dyDescent="0.3">
      <c r="A4" s="30" t="s">
        <v>366</v>
      </c>
      <c r="B4" s="31" t="s">
        <v>455</v>
      </c>
    </row>
    <row r="5" spans="1:3" x14ac:dyDescent="0.3">
      <c r="A5" s="30" t="s">
        <v>367</v>
      </c>
      <c r="B5" s="31" t="s">
        <v>456</v>
      </c>
    </row>
    <row r="6" spans="1:3" x14ac:dyDescent="0.3">
      <c r="A6" s="30" t="s">
        <v>368</v>
      </c>
      <c r="B6" s="31" t="s">
        <v>456</v>
      </c>
    </row>
    <row r="7" spans="1:3" x14ac:dyDescent="0.3">
      <c r="A7" s="30" t="s">
        <v>369</v>
      </c>
      <c r="B7" s="31">
        <v>1</v>
      </c>
      <c r="C7" s="32" t="s">
        <v>374</v>
      </c>
    </row>
    <row r="8" spans="1:3" x14ac:dyDescent="0.3">
      <c r="A8" s="30" t="s">
        <v>370</v>
      </c>
      <c r="B8" s="31">
        <v>1</v>
      </c>
    </row>
    <row r="9" spans="1:3" x14ac:dyDescent="0.3">
      <c r="A9" s="30" t="s">
        <v>371</v>
      </c>
      <c r="B9" s="31">
        <v>1</v>
      </c>
    </row>
    <row r="10" spans="1:3" x14ac:dyDescent="0.3">
      <c r="A10" s="30" t="s">
        <v>372</v>
      </c>
      <c r="B10" s="31">
        <v>1</v>
      </c>
    </row>
    <row r="11" spans="1:3" x14ac:dyDescent="0.3">
      <c r="A11" s="30" t="s">
        <v>373</v>
      </c>
      <c r="B11" s="31">
        <v>1</v>
      </c>
    </row>
  </sheetData>
  <mergeCells count="1">
    <mergeCell ref="A1:C1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E7733-6AC0-43CB-954A-4C6BF1831395}">
  <sheetPr codeName="Hoja5"/>
  <dimension ref="A1:J2"/>
  <sheetViews>
    <sheetView workbookViewId="0"/>
  </sheetViews>
  <sheetFormatPr baseColWidth="10" defaultRowHeight="14.4" x14ac:dyDescent="0.3"/>
  <cols>
    <col min="1" max="1" width="15.77734375" customWidth="1"/>
    <col min="2" max="2" width="5.77734375" customWidth="1"/>
    <col min="3" max="3" width="40.77734375" customWidth="1"/>
    <col min="4" max="4" width="30.77734375" customWidth="1"/>
    <col min="5" max="5" width="15.77734375" customWidth="1"/>
    <col min="6" max="6" width="30.77734375" customWidth="1"/>
    <col min="7" max="7" width="15.77734375" customWidth="1"/>
    <col min="8" max="8" width="20.77734375" customWidth="1"/>
    <col min="9" max="9" width="15.77734375" customWidth="1"/>
    <col min="10" max="10" width="20.77734375" customWidth="1"/>
  </cols>
  <sheetData>
    <row r="1" spans="1:10" x14ac:dyDescent="0.3">
      <c r="A1" s="33" t="s">
        <v>375</v>
      </c>
      <c r="B1" s="33" t="s">
        <v>376</v>
      </c>
      <c r="C1" s="33" t="s">
        <v>377</v>
      </c>
      <c r="D1" s="33" t="s">
        <v>378</v>
      </c>
      <c r="E1" s="33" t="s">
        <v>379</v>
      </c>
      <c r="F1" s="33" t="s">
        <v>380</v>
      </c>
      <c r="G1" s="33" t="s">
        <v>381</v>
      </c>
      <c r="H1" s="33" t="s">
        <v>382</v>
      </c>
      <c r="I1" s="33" t="s">
        <v>383</v>
      </c>
      <c r="J1" s="33" t="s">
        <v>384</v>
      </c>
    </row>
    <row r="2" spans="1:10" x14ac:dyDescent="0.3">
      <c r="A2">
        <v>27472769</v>
      </c>
      <c r="C2" t="s">
        <v>450</v>
      </c>
      <c r="G2" t="s">
        <v>451</v>
      </c>
    </row>
  </sheetData>
  <dataValidations count="2">
    <dataValidation type="list" allowBlank="1" showInputMessage="1" showErrorMessage="1" sqref="G2:G1000" xr:uid="{9F27B788-B6CE-4E8E-BBCC-73F14DED5AB8}">
      <formula1>"Natural,Juridica"</formula1>
    </dataValidation>
    <dataValidation type="list" allowBlank="1" showInputMessage="1" showErrorMessage="1" sqref="I2:I1000" xr:uid="{E84BAE81-9FC9-41E0-9D8F-7FEAE4BC7116}">
      <formula1>"Ahorros,Corriente"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CFCAE-510C-4AD6-8447-A44D29E61B55}">
  <sheetPr codeName="Hoja6"/>
  <dimension ref="A1:K1000"/>
  <sheetViews>
    <sheetView topLeftCell="E1" workbookViewId="0">
      <selection activeCell="G6" sqref="G6"/>
    </sheetView>
  </sheetViews>
  <sheetFormatPr baseColWidth="10" defaultRowHeight="14.4" x14ac:dyDescent="0.3"/>
  <cols>
    <col min="1" max="1" width="10.77734375" customWidth="1"/>
    <col min="2" max="2" width="14.77734375" customWidth="1"/>
    <col min="3" max="3" width="25.77734375" customWidth="1"/>
    <col min="4" max="4" width="40.77734375" customWidth="1"/>
    <col min="5" max="5" width="50.77734375" customWidth="1"/>
    <col min="6" max="7" width="18.77734375" customWidth="1"/>
    <col min="8" max="8" width="14.77734375" customWidth="1"/>
    <col min="9" max="9" width="20.77734375" customWidth="1"/>
    <col min="10" max="10" width="18.77734375" customWidth="1"/>
    <col min="11" max="11" width="55.77734375" customWidth="1"/>
  </cols>
  <sheetData>
    <row r="1" spans="1:11" ht="28.8" x14ac:dyDescent="0.3">
      <c r="A1" s="34" t="s">
        <v>385</v>
      </c>
      <c r="B1" s="34" t="s">
        <v>386</v>
      </c>
      <c r="C1" s="34" t="s">
        <v>387</v>
      </c>
      <c r="D1" s="34" t="s">
        <v>388</v>
      </c>
      <c r="E1" s="34" t="s">
        <v>389</v>
      </c>
      <c r="F1" s="34" t="s">
        <v>390</v>
      </c>
      <c r="G1" s="34" t="s">
        <v>391</v>
      </c>
      <c r="H1" s="34" t="s">
        <v>392</v>
      </c>
      <c r="I1" s="34" t="s">
        <v>393</v>
      </c>
      <c r="J1" s="34" t="s">
        <v>394</v>
      </c>
      <c r="K1" s="34" t="s">
        <v>460</v>
      </c>
    </row>
    <row r="2" spans="1:11" x14ac:dyDescent="0.3">
      <c r="A2">
        <v>1</v>
      </c>
      <c r="B2" s="36">
        <v>46067</v>
      </c>
      <c r="C2" t="s">
        <v>233</v>
      </c>
      <c r="D2" t="str">
        <f>IF(C2="","",IFERROR(VLOOKUP(C2,GASTOS!B:C,2,0),""))</f>
        <v xml:space="preserve">Servicio de energia electrica </v>
      </c>
      <c r="E2" t="s">
        <v>449</v>
      </c>
      <c r="F2" s="35">
        <v>400000</v>
      </c>
      <c r="G2" s="35">
        <v>4621300</v>
      </c>
      <c r="H2" t="s">
        <v>453</v>
      </c>
      <c r="I2" s="35">
        <f>IF(A2="","",SUMIF(RP!D:D,A2,RP!I:I))</f>
        <v>400000</v>
      </c>
      <c r="J2" s="35">
        <f t="shared" ref="J2:J65" si="0">IF(A2="","",F2-I2)</f>
        <v>0</v>
      </c>
      <c r="K2" s="46" t="str">
        <f t="shared" ref="K2:K65" si="1">IF(A2="","",IF(H2="ACTIVO","CDP vigente. Saldo disponible para comprometer en RPs: " &amp; TEXT(J2,"#,##0"),IF(H2="AGOTADO","CDP sin saldo. Valor total utilizado en Registros Presupuestales (RP)",IF(H2="ANULADO","CDP anulado. Valor liberado y devuelto al saldo del rubro",""))))</f>
        <v>CDP sin saldo. Valor total utilizado en Registros Presupuestales (RP)</v>
      </c>
    </row>
    <row r="3" spans="1:11" x14ac:dyDescent="0.3">
      <c r="B3" s="36"/>
      <c r="D3" t="str">
        <f>IF(C3="","",IFERROR(VLOOKUP(C3,GASTOS!B:C,2,0),""))</f>
        <v/>
      </c>
      <c r="F3" s="35"/>
      <c r="G3" s="35"/>
      <c r="I3" s="35" t="str">
        <f>IF(A3="","",SUMIF(RP!D:D,A3,RP!I:I))</f>
        <v/>
      </c>
      <c r="J3" s="35" t="str">
        <f t="shared" si="0"/>
        <v/>
      </c>
      <c r="K3" s="46" t="str">
        <f t="shared" si="1"/>
        <v/>
      </c>
    </row>
    <row r="4" spans="1:11" x14ac:dyDescent="0.3">
      <c r="B4" s="36"/>
      <c r="D4" t="str">
        <f>IF(C4="","",IFERROR(VLOOKUP(C4,GASTOS!B:C,2,0),""))</f>
        <v/>
      </c>
      <c r="F4" s="35"/>
      <c r="G4" s="35"/>
      <c r="I4" s="35" t="str">
        <f>IF(A4="","",SUMIF(RP!D:D,A4,RP!I:I))</f>
        <v/>
      </c>
      <c r="J4" s="35" t="str">
        <f t="shared" si="0"/>
        <v/>
      </c>
      <c r="K4" s="46" t="str">
        <f t="shared" si="1"/>
        <v/>
      </c>
    </row>
    <row r="5" spans="1:11" x14ac:dyDescent="0.3">
      <c r="B5" s="36"/>
      <c r="D5" t="str">
        <f>IF(C5="","",IFERROR(VLOOKUP(C5,GASTOS!B:C,2,0),""))</f>
        <v/>
      </c>
      <c r="F5" s="35"/>
      <c r="G5" s="35"/>
      <c r="I5" s="35" t="str">
        <f>IF(A5="","",SUMIF(RP!D:D,A5,RP!I:I))</f>
        <v/>
      </c>
      <c r="J5" s="35" t="str">
        <f t="shared" si="0"/>
        <v/>
      </c>
      <c r="K5" s="46" t="str">
        <f t="shared" si="1"/>
        <v/>
      </c>
    </row>
    <row r="6" spans="1:11" x14ac:dyDescent="0.3">
      <c r="B6" s="36"/>
      <c r="D6" t="str">
        <f>IF(C6="","",IFERROR(VLOOKUP(C6,GASTOS!B:C,2,0),""))</f>
        <v/>
      </c>
      <c r="F6" s="35"/>
      <c r="G6" s="35"/>
      <c r="I6" s="35" t="str">
        <f>IF(A6="","",SUMIF(RP!D:D,A6,RP!I:I))</f>
        <v/>
      </c>
      <c r="J6" s="35" t="str">
        <f t="shared" si="0"/>
        <v/>
      </c>
      <c r="K6" s="46" t="str">
        <f t="shared" si="1"/>
        <v/>
      </c>
    </row>
    <row r="7" spans="1:11" x14ac:dyDescent="0.3">
      <c r="B7" s="36"/>
      <c r="D7" t="str">
        <f>IF(C7="","",IFERROR(VLOOKUP(C7,GASTOS!B:C,2,0),""))</f>
        <v/>
      </c>
      <c r="F7" s="35"/>
      <c r="G7" s="35"/>
      <c r="I7" s="35" t="str">
        <f>IF(A7="","",SUMIF(RP!D:D,A7,RP!I:I))</f>
        <v/>
      </c>
      <c r="J7" s="35" t="str">
        <f t="shared" si="0"/>
        <v/>
      </c>
      <c r="K7" s="46" t="str">
        <f t="shared" si="1"/>
        <v/>
      </c>
    </row>
    <row r="8" spans="1:11" x14ac:dyDescent="0.3">
      <c r="B8" s="36"/>
      <c r="D8" t="str">
        <f>IF(C8="","",IFERROR(VLOOKUP(C8,GASTOS!B:C,2,0),""))</f>
        <v/>
      </c>
      <c r="F8" s="35"/>
      <c r="G8" s="35"/>
      <c r="I8" s="35" t="str">
        <f>IF(A8="","",SUMIF(RP!D:D,A8,RP!I:I))</f>
        <v/>
      </c>
      <c r="J8" s="35" t="str">
        <f t="shared" si="0"/>
        <v/>
      </c>
      <c r="K8" s="46" t="str">
        <f t="shared" si="1"/>
        <v/>
      </c>
    </row>
    <row r="9" spans="1:11" x14ac:dyDescent="0.3">
      <c r="B9" s="36"/>
      <c r="D9" t="str">
        <f>IF(C9="","",IFERROR(VLOOKUP(C9,GASTOS!B:C,2,0),""))</f>
        <v/>
      </c>
      <c r="F9" s="35"/>
      <c r="G9" s="35"/>
      <c r="I9" s="35" t="str">
        <f>IF(A9="","",SUMIF(RP!D:D,A9,RP!I:I))</f>
        <v/>
      </c>
      <c r="J9" s="35" t="str">
        <f t="shared" si="0"/>
        <v/>
      </c>
      <c r="K9" s="46" t="str">
        <f t="shared" si="1"/>
        <v/>
      </c>
    </row>
    <row r="10" spans="1:11" x14ac:dyDescent="0.3">
      <c r="B10" s="36"/>
      <c r="D10" t="str">
        <f>IF(C10="","",IFERROR(VLOOKUP(C10,GASTOS!B:C,2,0),""))</f>
        <v/>
      </c>
      <c r="F10" s="35"/>
      <c r="G10" s="35"/>
      <c r="I10" s="35" t="str">
        <f>IF(A10="","",SUMIF(RP!D:D,A10,RP!I:I))</f>
        <v/>
      </c>
      <c r="J10" s="35" t="str">
        <f t="shared" si="0"/>
        <v/>
      </c>
      <c r="K10" s="46" t="str">
        <f t="shared" si="1"/>
        <v/>
      </c>
    </row>
    <row r="11" spans="1:11" x14ac:dyDescent="0.3">
      <c r="B11" s="36"/>
      <c r="D11" t="str">
        <f>IF(C11="","",IFERROR(VLOOKUP(C11,GASTOS!B:C,2,0),""))</f>
        <v/>
      </c>
      <c r="F11" s="35"/>
      <c r="G11" s="35"/>
      <c r="I11" s="35" t="str">
        <f>IF(A11="","",SUMIF(RP!D:D,A11,RP!I:I))</f>
        <v/>
      </c>
      <c r="J11" s="35" t="str">
        <f t="shared" si="0"/>
        <v/>
      </c>
      <c r="K11" s="46" t="str">
        <f t="shared" si="1"/>
        <v/>
      </c>
    </row>
    <row r="12" spans="1:11" x14ac:dyDescent="0.3">
      <c r="B12" s="36"/>
      <c r="D12" t="str">
        <f>IF(C12="","",IFERROR(VLOOKUP(C12,GASTOS!B:C,2,0),""))</f>
        <v/>
      </c>
      <c r="F12" s="35"/>
      <c r="G12" s="35"/>
      <c r="I12" s="35" t="str">
        <f>IF(A12="","",SUMIF(RP!D:D,A12,RP!I:I))</f>
        <v/>
      </c>
      <c r="J12" s="35" t="str">
        <f t="shared" si="0"/>
        <v/>
      </c>
      <c r="K12" s="46" t="str">
        <f t="shared" si="1"/>
        <v/>
      </c>
    </row>
    <row r="13" spans="1:11" x14ac:dyDescent="0.3">
      <c r="B13" s="36"/>
      <c r="D13" t="str">
        <f>IF(C13="","",IFERROR(VLOOKUP(C13,GASTOS!B:C,2,0),""))</f>
        <v/>
      </c>
      <c r="F13" s="35"/>
      <c r="G13" s="35"/>
      <c r="I13" s="35" t="str">
        <f>IF(A13="","",SUMIF(RP!D:D,A13,RP!I:I))</f>
        <v/>
      </c>
      <c r="J13" s="35" t="str">
        <f t="shared" si="0"/>
        <v/>
      </c>
      <c r="K13" s="46" t="str">
        <f t="shared" si="1"/>
        <v/>
      </c>
    </row>
    <row r="14" spans="1:11" x14ac:dyDescent="0.3">
      <c r="B14" s="36"/>
      <c r="D14" t="str">
        <f>IF(C14="","",IFERROR(VLOOKUP(C14,GASTOS!B:C,2,0),""))</f>
        <v/>
      </c>
      <c r="F14" s="35"/>
      <c r="G14" s="35"/>
      <c r="I14" s="35" t="str">
        <f>IF(A14="","",SUMIF(RP!D:D,A14,RP!I:I))</f>
        <v/>
      </c>
      <c r="J14" s="35" t="str">
        <f t="shared" si="0"/>
        <v/>
      </c>
      <c r="K14" s="46" t="str">
        <f t="shared" si="1"/>
        <v/>
      </c>
    </row>
    <row r="15" spans="1:11" x14ac:dyDescent="0.3">
      <c r="B15" s="36"/>
      <c r="D15" t="str">
        <f>IF(C15="","",IFERROR(VLOOKUP(C15,GASTOS!B:C,2,0),""))</f>
        <v/>
      </c>
      <c r="F15" s="35"/>
      <c r="G15" s="35"/>
      <c r="I15" s="35" t="str">
        <f>IF(A15="","",SUMIF(RP!D:D,A15,RP!I:I))</f>
        <v/>
      </c>
      <c r="J15" s="35" t="str">
        <f t="shared" si="0"/>
        <v/>
      </c>
      <c r="K15" s="46" t="str">
        <f t="shared" si="1"/>
        <v/>
      </c>
    </row>
    <row r="16" spans="1:11" x14ac:dyDescent="0.3">
      <c r="B16" s="36"/>
      <c r="D16" t="str">
        <f>IF(C16="","",IFERROR(VLOOKUP(C16,GASTOS!B:C,2,0),""))</f>
        <v/>
      </c>
      <c r="F16" s="35"/>
      <c r="G16" s="35"/>
      <c r="I16" s="35" t="str">
        <f>IF(A16="","",SUMIF(RP!D:D,A16,RP!I:I))</f>
        <v/>
      </c>
      <c r="J16" s="35" t="str">
        <f t="shared" si="0"/>
        <v/>
      </c>
      <c r="K16" s="46" t="str">
        <f t="shared" si="1"/>
        <v/>
      </c>
    </row>
    <row r="17" spans="2:11" x14ac:dyDescent="0.3">
      <c r="B17" s="36"/>
      <c r="D17" t="str">
        <f>IF(C17="","",IFERROR(VLOOKUP(C17,GASTOS!B:C,2,0),""))</f>
        <v/>
      </c>
      <c r="F17" s="35"/>
      <c r="G17" s="35"/>
      <c r="I17" s="35" t="str">
        <f>IF(A17="","",SUMIF(RP!D:D,A17,RP!I:I))</f>
        <v/>
      </c>
      <c r="J17" s="35" t="str">
        <f t="shared" si="0"/>
        <v/>
      </c>
      <c r="K17" s="46" t="str">
        <f t="shared" si="1"/>
        <v/>
      </c>
    </row>
    <row r="18" spans="2:11" x14ac:dyDescent="0.3">
      <c r="B18" s="36"/>
      <c r="D18" t="str">
        <f>IF(C18="","",IFERROR(VLOOKUP(C18,GASTOS!B:C,2,0),""))</f>
        <v/>
      </c>
      <c r="F18" s="35"/>
      <c r="G18" s="35"/>
      <c r="I18" s="35" t="str">
        <f>IF(A18="","",SUMIF(RP!D:D,A18,RP!I:I))</f>
        <v/>
      </c>
      <c r="J18" s="35" t="str">
        <f t="shared" si="0"/>
        <v/>
      </c>
      <c r="K18" s="46" t="str">
        <f t="shared" si="1"/>
        <v/>
      </c>
    </row>
    <row r="19" spans="2:11" x14ac:dyDescent="0.3">
      <c r="B19" s="36"/>
      <c r="D19" t="str">
        <f>IF(C19="","",IFERROR(VLOOKUP(C19,GASTOS!B:C,2,0),""))</f>
        <v/>
      </c>
      <c r="F19" s="35"/>
      <c r="G19" s="35"/>
      <c r="I19" s="35" t="str">
        <f>IF(A19="","",SUMIF(RP!D:D,A19,RP!I:I))</f>
        <v/>
      </c>
      <c r="J19" s="35" t="str">
        <f t="shared" si="0"/>
        <v/>
      </c>
      <c r="K19" s="46" t="str">
        <f t="shared" si="1"/>
        <v/>
      </c>
    </row>
    <row r="20" spans="2:11" x14ac:dyDescent="0.3">
      <c r="B20" s="36"/>
      <c r="D20" t="str">
        <f>IF(C20="","",IFERROR(VLOOKUP(C20,GASTOS!B:C,2,0),""))</f>
        <v/>
      </c>
      <c r="F20" s="35"/>
      <c r="G20" s="35"/>
      <c r="I20" s="35" t="str">
        <f>IF(A20="","",SUMIF(RP!D:D,A20,RP!I:I))</f>
        <v/>
      </c>
      <c r="J20" s="35" t="str">
        <f t="shared" si="0"/>
        <v/>
      </c>
      <c r="K20" s="46" t="str">
        <f t="shared" si="1"/>
        <v/>
      </c>
    </row>
    <row r="21" spans="2:11" x14ac:dyDescent="0.3">
      <c r="B21" s="36"/>
      <c r="D21" t="str">
        <f>IF(C21="","",IFERROR(VLOOKUP(C21,GASTOS!B:C,2,0),""))</f>
        <v/>
      </c>
      <c r="F21" s="35"/>
      <c r="G21" s="35"/>
      <c r="I21" s="35" t="str">
        <f>IF(A21="","",SUMIF(RP!D:D,A21,RP!I:I))</f>
        <v/>
      </c>
      <c r="J21" s="35" t="str">
        <f t="shared" si="0"/>
        <v/>
      </c>
      <c r="K21" s="46" t="str">
        <f t="shared" si="1"/>
        <v/>
      </c>
    </row>
    <row r="22" spans="2:11" x14ac:dyDescent="0.3">
      <c r="B22" s="36"/>
      <c r="D22" t="str">
        <f>IF(C22="","",IFERROR(VLOOKUP(C22,GASTOS!B:C,2,0),""))</f>
        <v/>
      </c>
      <c r="F22" s="35"/>
      <c r="G22" s="35"/>
      <c r="I22" s="35" t="str">
        <f>IF(A22="","",SUMIF(RP!D:D,A22,RP!I:I))</f>
        <v/>
      </c>
      <c r="J22" s="35" t="str">
        <f t="shared" si="0"/>
        <v/>
      </c>
      <c r="K22" s="46" t="str">
        <f t="shared" si="1"/>
        <v/>
      </c>
    </row>
    <row r="23" spans="2:11" x14ac:dyDescent="0.3">
      <c r="B23" s="36"/>
      <c r="D23" t="str">
        <f>IF(C23="","",IFERROR(VLOOKUP(C23,GASTOS!B:C,2,0),""))</f>
        <v/>
      </c>
      <c r="F23" s="35"/>
      <c r="G23" s="35"/>
      <c r="I23" s="35" t="str">
        <f>IF(A23="","",SUMIF(RP!D:D,A23,RP!I:I))</f>
        <v/>
      </c>
      <c r="J23" s="35" t="str">
        <f t="shared" si="0"/>
        <v/>
      </c>
      <c r="K23" s="46" t="str">
        <f t="shared" si="1"/>
        <v/>
      </c>
    </row>
    <row r="24" spans="2:11" x14ac:dyDescent="0.3">
      <c r="B24" s="36"/>
      <c r="D24" t="str">
        <f>IF(C24="","",IFERROR(VLOOKUP(C24,GASTOS!B:C,2,0),""))</f>
        <v/>
      </c>
      <c r="F24" s="35"/>
      <c r="G24" s="35"/>
      <c r="I24" s="35" t="str">
        <f>IF(A24="","",SUMIF(RP!D:D,A24,RP!I:I))</f>
        <v/>
      </c>
      <c r="J24" s="35" t="str">
        <f t="shared" si="0"/>
        <v/>
      </c>
      <c r="K24" s="46" t="str">
        <f t="shared" si="1"/>
        <v/>
      </c>
    </row>
    <row r="25" spans="2:11" x14ac:dyDescent="0.3">
      <c r="B25" s="36"/>
      <c r="D25" t="str">
        <f>IF(C25="","",IFERROR(VLOOKUP(C25,GASTOS!B:C,2,0),""))</f>
        <v/>
      </c>
      <c r="F25" s="35"/>
      <c r="G25" s="35"/>
      <c r="I25" s="35" t="str">
        <f>IF(A25="","",SUMIF(RP!D:D,A25,RP!I:I))</f>
        <v/>
      </c>
      <c r="J25" s="35" t="str">
        <f t="shared" si="0"/>
        <v/>
      </c>
      <c r="K25" s="46" t="str">
        <f t="shared" si="1"/>
        <v/>
      </c>
    </row>
    <row r="26" spans="2:11" x14ac:dyDescent="0.3">
      <c r="B26" s="36"/>
      <c r="D26" t="str">
        <f>IF(C26="","",IFERROR(VLOOKUP(C26,GASTOS!B:C,2,0),""))</f>
        <v/>
      </c>
      <c r="F26" s="35"/>
      <c r="G26" s="35"/>
      <c r="I26" s="35" t="str">
        <f>IF(A26="","",SUMIF(RP!D:D,A26,RP!I:I))</f>
        <v/>
      </c>
      <c r="J26" s="35" t="str">
        <f t="shared" si="0"/>
        <v/>
      </c>
      <c r="K26" s="46" t="str">
        <f t="shared" si="1"/>
        <v/>
      </c>
    </row>
    <row r="27" spans="2:11" x14ac:dyDescent="0.3">
      <c r="B27" s="36"/>
      <c r="D27" t="str">
        <f>IF(C27="","",IFERROR(VLOOKUP(C27,GASTOS!B:C,2,0),""))</f>
        <v/>
      </c>
      <c r="F27" s="35"/>
      <c r="G27" s="35"/>
      <c r="I27" s="35" t="str">
        <f>IF(A27="","",SUMIF(RP!D:D,A27,RP!I:I))</f>
        <v/>
      </c>
      <c r="J27" s="35" t="str">
        <f t="shared" si="0"/>
        <v/>
      </c>
      <c r="K27" s="46" t="str">
        <f t="shared" si="1"/>
        <v/>
      </c>
    </row>
    <row r="28" spans="2:11" x14ac:dyDescent="0.3">
      <c r="B28" s="36"/>
      <c r="D28" t="str">
        <f>IF(C28="","",IFERROR(VLOOKUP(C28,GASTOS!B:C,2,0),""))</f>
        <v/>
      </c>
      <c r="F28" s="35"/>
      <c r="G28" s="35"/>
      <c r="I28" s="35" t="str">
        <f>IF(A28="","",SUMIF(RP!D:D,A28,RP!I:I))</f>
        <v/>
      </c>
      <c r="J28" s="35" t="str">
        <f t="shared" si="0"/>
        <v/>
      </c>
      <c r="K28" s="46" t="str">
        <f t="shared" si="1"/>
        <v/>
      </c>
    </row>
    <row r="29" spans="2:11" x14ac:dyDescent="0.3">
      <c r="B29" s="36"/>
      <c r="D29" t="str">
        <f>IF(C29="","",IFERROR(VLOOKUP(C29,GASTOS!B:C,2,0),""))</f>
        <v/>
      </c>
      <c r="F29" s="35"/>
      <c r="G29" s="35"/>
      <c r="I29" s="35" t="str">
        <f>IF(A29="","",SUMIF(RP!D:D,A29,RP!I:I))</f>
        <v/>
      </c>
      <c r="J29" s="35" t="str">
        <f t="shared" si="0"/>
        <v/>
      </c>
      <c r="K29" s="46" t="str">
        <f t="shared" si="1"/>
        <v/>
      </c>
    </row>
    <row r="30" spans="2:11" x14ac:dyDescent="0.3">
      <c r="B30" s="36"/>
      <c r="D30" t="str">
        <f>IF(C30="","",IFERROR(VLOOKUP(C30,GASTOS!B:C,2,0),""))</f>
        <v/>
      </c>
      <c r="F30" s="35"/>
      <c r="G30" s="35"/>
      <c r="I30" s="35" t="str">
        <f>IF(A30="","",SUMIF(RP!D:D,A30,RP!I:I))</f>
        <v/>
      </c>
      <c r="J30" s="35" t="str">
        <f t="shared" si="0"/>
        <v/>
      </c>
      <c r="K30" s="46" t="str">
        <f t="shared" si="1"/>
        <v/>
      </c>
    </row>
    <row r="31" spans="2:11" x14ac:dyDescent="0.3">
      <c r="B31" s="36"/>
      <c r="D31" t="str">
        <f>IF(C31="","",IFERROR(VLOOKUP(C31,GASTOS!B:C,2,0),""))</f>
        <v/>
      </c>
      <c r="F31" s="35"/>
      <c r="G31" s="35"/>
      <c r="I31" s="35" t="str">
        <f>IF(A31="","",SUMIF(RP!D:D,A31,RP!I:I))</f>
        <v/>
      </c>
      <c r="J31" s="35" t="str">
        <f t="shared" si="0"/>
        <v/>
      </c>
      <c r="K31" s="46" t="str">
        <f t="shared" si="1"/>
        <v/>
      </c>
    </row>
    <row r="32" spans="2:11" x14ac:dyDescent="0.3">
      <c r="B32" s="36"/>
      <c r="D32" t="str">
        <f>IF(C32="","",IFERROR(VLOOKUP(C32,GASTOS!B:C,2,0),""))</f>
        <v/>
      </c>
      <c r="F32" s="35"/>
      <c r="G32" s="35"/>
      <c r="I32" s="35" t="str">
        <f>IF(A32="","",SUMIF(RP!D:D,A32,RP!I:I))</f>
        <v/>
      </c>
      <c r="J32" s="35" t="str">
        <f t="shared" si="0"/>
        <v/>
      </c>
      <c r="K32" s="46" t="str">
        <f t="shared" si="1"/>
        <v/>
      </c>
    </row>
    <row r="33" spans="2:11" x14ac:dyDescent="0.3">
      <c r="B33" s="36"/>
      <c r="D33" t="str">
        <f>IF(C33="","",IFERROR(VLOOKUP(C33,GASTOS!B:C,2,0),""))</f>
        <v/>
      </c>
      <c r="F33" s="35"/>
      <c r="G33" s="35"/>
      <c r="I33" s="35" t="str">
        <f>IF(A33="","",SUMIF(RP!D:D,A33,RP!I:I))</f>
        <v/>
      </c>
      <c r="J33" s="35" t="str">
        <f t="shared" si="0"/>
        <v/>
      </c>
      <c r="K33" s="46" t="str">
        <f t="shared" si="1"/>
        <v/>
      </c>
    </row>
    <row r="34" spans="2:11" x14ac:dyDescent="0.3">
      <c r="B34" s="36"/>
      <c r="D34" t="str">
        <f>IF(C34="","",IFERROR(VLOOKUP(C34,GASTOS!B:C,2,0),""))</f>
        <v/>
      </c>
      <c r="F34" s="35"/>
      <c r="G34" s="35"/>
      <c r="I34" s="35" t="str">
        <f>IF(A34="","",SUMIF(RP!D:D,A34,RP!I:I))</f>
        <v/>
      </c>
      <c r="J34" s="35" t="str">
        <f t="shared" si="0"/>
        <v/>
      </c>
      <c r="K34" s="46" t="str">
        <f t="shared" si="1"/>
        <v/>
      </c>
    </row>
    <row r="35" spans="2:11" x14ac:dyDescent="0.3">
      <c r="B35" s="36"/>
      <c r="D35" t="str">
        <f>IF(C35="","",IFERROR(VLOOKUP(C35,GASTOS!B:C,2,0),""))</f>
        <v/>
      </c>
      <c r="F35" s="35"/>
      <c r="G35" s="35"/>
      <c r="I35" s="35" t="str">
        <f>IF(A35="","",SUMIF(RP!D:D,A35,RP!I:I))</f>
        <v/>
      </c>
      <c r="J35" s="35" t="str">
        <f t="shared" si="0"/>
        <v/>
      </c>
      <c r="K35" s="46" t="str">
        <f t="shared" si="1"/>
        <v/>
      </c>
    </row>
    <row r="36" spans="2:11" x14ac:dyDescent="0.3">
      <c r="B36" s="36"/>
      <c r="D36" t="str">
        <f>IF(C36="","",IFERROR(VLOOKUP(C36,GASTOS!B:C,2,0),""))</f>
        <v/>
      </c>
      <c r="F36" s="35"/>
      <c r="G36" s="35"/>
      <c r="I36" s="35" t="str">
        <f>IF(A36="","",SUMIF(RP!D:D,A36,RP!I:I))</f>
        <v/>
      </c>
      <c r="J36" s="35" t="str">
        <f t="shared" si="0"/>
        <v/>
      </c>
      <c r="K36" s="46" t="str">
        <f t="shared" si="1"/>
        <v/>
      </c>
    </row>
    <row r="37" spans="2:11" x14ac:dyDescent="0.3">
      <c r="B37" s="36"/>
      <c r="D37" t="str">
        <f>IF(C37="","",IFERROR(VLOOKUP(C37,GASTOS!B:C,2,0),""))</f>
        <v/>
      </c>
      <c r="F37" s="35"/>
      <c r="G37" s="35"/>
      <c r="I37" s="35" t="str">
        <f>IF(A37="","",SUMIF(RP!D:D,A37,RP!I:I))</f>
        <v/>
      </c>
      <c r="J37" s="35" t="str">
        <f t="shared" si="0"/>
        <v/>
      </c>
      <c r="K37" s="46" t="str">
        <f t="shared" si="1"/>
        <v/>
      </c>
    </row>
    <row r="38" spans="2:11" x14ac:dyDescent="0.3">
      <c r="B38" s="36"/>
      <c r="D38" t="str">
        <f>IF(C38="","",IFERROR(VLOOKUP(C38,GASTOS!B:C,2,0),""))</f>
        <v/>
      </c>
      <c r="F38" s="35"/>
      <c r="G38" s="35"/>
      <c r="I38" s="35" t="str">
        <f>IF(A38="","",SUMIF(RP!D:D,A38,RP!I:I))</f>
        <v/>
      </c>
      <c r="J38" s="35" t="str">
        <f t="shared" si="0"/>
        <v/>
      </c>
      <c r="K38" s="46" t="str">
        <f t="shared" si="1"/>
        <v/>
      </c>
    </row>
    <row r="39" spans="2:11" x14ac:dyDescent="0.3">
      <c r="B39" s="36"/>
      <c r="D39" t="str">
        <f>IF(C39="","",IFERROR(VLOOKUP(C39,GASTOS!B:C,2,0),""))</f>
        <v/>
      </c>
      <c r="F39" s="35"/>
      <c r="G39" s="35"/>
      <c r="I39" s="35" t="str">
        <f>IF(A39="","",SUMIF(RP!D:D,A39,RP!I:I))</f>
        <v/>
      </c>
      <c r="J39" s="35" t="str">
        <f t="shared" si="0"/>
        <v/>
      </c>
      <c r="K39" s="46" t="str">
        <f t="shared" si="1"/>
        <v/>
      </c>
    </row>
    <row r="40" spans="2:11" x14ac:dyDescent="0.3">
      <c r="B40" s="36"/>
      <c r="D40" t="str">
        <f>IF(C40="","",IFERROR(VLOOKUP(C40,GASTOS!B:C,2,0),""))</f>
        <v/>
      </c>
      <c r="F40" s="35"/>
      <c r="G40" s="35"/>
      <c r="I40" s="35" t="str">
        <f>IF(A40="","",SUMIF(RP!D:D,A40,RP!I:I))</f>
        <v/>
      </c>
      <c r="J40" s="35" t="str">
        <f t="shared" si="0"/>
        <v/>
      </c>
      <c r="K40" s="46" t="str">
        <f t="shared" si="1"/>
        <v/>
      </c>
    </row>
    <row r="41" spans="2:11" x14ac:dyDescent="0.3">
      <c r="B41" s="36"/>
      <c r="D41" t="str">
        <f>IF(C41="","",IFERROR(VLOOKUP(C41,GASTOS!B:C,2,0),""))</f>
        <v/>
      </c>
      <c r="F41" s="35"/>
      <c r="G41" s="35"/>
      <c r="I41" s="35" t="str">
        <f>IF(A41="","",SUMIF(RP!D:D,A41,RP!I:I))</f>
        <v/>
      </c>
      <c r="J41" s="35" t="str">
        <f t="shared" si="0"/>
        <v/>
      </c>
      <c r="K41" s="46" t="str">
        <f t="shared" si="1"/>
        <v/>
      </c>
    </row>
    <row r="42" spans="2:11" x14ac:dyDescent="0.3">
      <c r="B42" s="36"/>
      <c r="D42" t="str">
        <f>IF(C42="","",IFERROR(VLOOKUP(C42,GASTOS!B:C,2,0),""))</f>
        <v/>
      </c>
      <c r="F42" s="35"/>
      <c r="G42" s="35"/>
      <c r="I42" s="35" t="str">
        <f>IF(A42="","",SUMIF(RP!D:D,A42,RP!I:I))</f>
        <v/>
      </c>
      <c r="J42" s="35" t="str">
        <f t="shared" si="0"/>
        <v/>
      </c>
      <c r="K42" s="46" t="str">
        <f t="shared" si="1"/>
        <v/>
      </c>
    </row>
    <row r="43" spans="2:11" x14ac:dyDescent="0.3">
      <c r="B43" s="36"/>
      <c r="D43" t="str">
        <f>IF(C43="","",IFERROR(VLOOKUP(C43,GASTOS!B:C,2,0),""))</f>
        <v/>
      </c>
      <c r="F43" s="35"/>
      <c r="G43" s="35"/>
      <c r="I43" s="35" t="str">
        <f>IF(A43="","",SUMIF(RP!D:D,A43,RP!I:I))</f>
        <v/>
      </c>
      <c r="J43" s="35" t="str">
        <f t="shared" si="0"/>
        <v/>
      </c>
      <c r="K43" s="46" t="str">
        <f t="shared" si="1"/>
        <v/>
      </c>
    </row>
    <row r="44" spans="2:11" x14ac:dyDescent="0.3">
      <c r="B44" s="36"/>
      <c r="D44" t="str">
        <f>IF(C44="","",IFERROR(VLOOKUP(C44,GASTOS!B:C,2,0),""))</f>
        <v/>
      </c>
      <c r="F44" s="35"/>
      <c r="G44" s="35"/>
      <c r="I44" s="35" t="str">
        <f>IF(A44="","",SUMIF(RP!D:D,A44,RP!I:I))</f>
        <v/>
      </c>
      <c r="J44" s="35" t="str">
        <f t="shared" si="0"/>
        <v/>
      </c>
      <c r="K44" s="46" t="str">
        <f t="shared" si="1"/>
        <v/>
      </c>
    </row>
    <row r="45" spans="2:11" x14ac:dyDescent="0.3">
      <c r="B45" s="36"/>
      <c r="D45" t="str">
        <f>IF(C45="","",IFERROR(VLOOKUP(C45,GASTOS!B:C,2,0),""))</f>
        <v/>
      </c>
      <c r="F45" s="35"/>
      <c r="G45" s="35"/>
      <c r="I45" s="35" t="str">
        <f>IF(A45="","",SUMIF(RP!D:D,A45,RP!I:I))</f>
        <v/>
      </c>
      <c r="J45" s="35" t="str">
        <f t="shared" si="0"/>
        <v/>
      </c>
      <c r="K45" s="46" t="str">
        <f t="shared" si="1"/>
        <v/>
      </c>
    </row>
    <row r="46" spans="2:11" x14ac:dyDescent="0.3">
      <c r="B46" s="36"/>
      <c r="D46" t="str">
        <f>IF(C46="","",IFERROR(VLOOKUP(C46,GASTOS!B:C,2,0),""))</f>
        <v/>
      </c>
      <c r="F46" s="35"/>
      <c r="G46" s="35"/>
      <c r="I46" s="35" t="str">
        <f>IF(A46="","",SUMIF(RP!D:D,A46,RP!I:I))</f>
        <v/>
      </c>
      <c r="J46" s="35" t="str">
        <f t="shared" si="0"/>
        <v/>
      </c>
      <c r="K46" s="46" t="str">
        <f t="shared" si="1"/>
        <v/>
      </c>
    </row>
    <row r="47" spans="2:11" x14ac:dyDescent="0.3">
      <c r="B47" s="36"/>
      <c r="D47" t="str">
        <f>IF(C47="","",IFERROR(VLOOKUP(C47,GASTOS!B:C,2,0),""))</f>
        <v/>
      </c>
      <c r="F47" s="35"/>
      <c r="G47" s="35"/>
      <c r="I47" s="35" t="str">
        <f>IF(A47="","",SUMIF(RP!D:D,A47,RP!I:I))</f>
        <v/>
      </c>
      <c r="J47" s="35" t="str">
        <f t="shared" si="0"/>
        <v/>
      </c>
      <c r="K47" s="46" t="str">
        <f t="shared" si="1"/>
        <v/>
      </c>
    </row>
    <row r="48" spans="2:11" x14ac:dyDescent="0.3">
      <c r="B48" s="36"/>
      <c r="D48" t="str">
        <f>IF(C48="","",IFERROR(VLOOKUP(C48,GASTOS!B:C,2,0),""))</f>
        <v/>
      </c>
      <c r="F48" s="35"/>
      <c r="G48" s="35"/>
      <c r="I48" s="35" t="str">
        <f>IF(A48="","",SUMIF(RP!D:D,A48,RP!I:I))</f>
        <v/>
      </c>
      <c r="J48" s="35" t="str">
        <f t="shared" si="0"/>
        <v/>
      </c>
      <c r="K48" s="46" t="str">
        <f t="shared" si="1"/>
        <v/>
      </c>
    </row>
    <row r="49" spans="2:11" x14ac:dyDescent="0.3">
      <c r="B49" s="36"/>
      <c r="D49" t="str">
        <f>IF(C49="","",IFERROR(VLOOKUP(C49,GASTOS!B:C,2,0),""))</f>
        <v/>
      </c>
      <c r="F49" s="35"/>
      <c r="G49" s="35"/>
      <c r="I49" s="35" t="str">
        <f>IF(A49="","",SUMIF(RP!D:D,A49,RP!I:I))</f>
        <v/>
      </c>
      <c r="J49" s="35" t="str">
        <f t="shared" si="0"/>
        <v/>
      </c>
      <c r="K49" s="46" t="str">
        <f t="shared" si="1"/>
        <v/>
      </c>
    </row>
    <row r="50" spans="2:11" x14ac:dyDescent="0.3">
      <c r="B50" s="36"/>
      <c r="D50" t="str">
        <f>IF(C50="","",IFERROR(VLOOKUP(C50,GASTOS!B:C,2,0),""))</f>
        <v/>
      </c>
      <c r="F50" s="35"/>
      <c r="G50" s="35"/>
      <c r="I50" s="35" t="str">
        <f>IF(A50="","",SUMIF(RP!D:D,A50,RP!I:I))</f>
        <v/>
      </c>
      <c r="J50" s="35" t="str">
        <f t="shared" si="0"/>
        <v/>
      </c>
      <c r="K50" s="46" t="str">
        <f t="shared" si="1"/>
        <v/>
      </c>
    </row>
    <row r="51" spans="2:11" x14ac:dyDescent="0.3">
      <c r="B51" s="36"/>
      <c r="D51" t="str">
        <f>IF(C51="","",IFERROR(VLOOKUP(C51,GASTOS!B:C,2,0),""))</f>
        <v/>
      </c>
      <c r="F51" s="35"/>
      <c r="G51" s="35"/>
      <c r="I51" s="35" t="str">
        <f>IF(A51="","",SUMIF(RP!D:D,A51,RP!I:I))</f>
        <v/>
      </c>
      <c r="J51" s="35" t="str">
        <f t="shared" si="0"/>
        <v/>
      </c>
      <c r="K51" s="46" t="str">
        <f t="shared" si="1"/>
        <v/>
      </c>
    </row>
    <row r="52" spans="2:11" x14ac:dyDescent="0.3">
      <c r="B52" s="36"/>
      <c r="D52" t="str">
        <f>IF(C52="","",IFERROR(VLOOKUP(C52,GASTOS!B:C,2,0),""))</f>
        <v/>
      </c>
      <c r="F52" s="35"/>
      <c r="G52" s="35"/>
      <c r="I52" s="35" t="str">
        <f>IF(A52="","",SUMIF(RP!D:D,A52,RP!I:I))</f>
        <v/>
      </c>
      <c r="J52" s="35" t="str">
        <f t="shared" si="0"/>
        <v/>
      </c>
      <c r="K52" s="46" t="str">
        <f t="shared" si="1"/>
        <v/>
      </c>
    </row>
    <row r="53" spans="2:11" x14ac:dyDescent="0.3">
      <c r="B53" s="36"/>
      <c r="D53" t="str">
        <f>IF(C53="","",IFERROR(VLOOKUP(C53,GASTOS!B:C,2,0),""))</f>
        <v/>
      </c>
      <c r="F53" s="35"/>
      <c r="G53" s="35"/>
      <c r="I53" s="35" t="str">
        <f>IF(A53="","",SUMIF(RP!D:D,A53,RP!I:I))</f>
        <v/>
      </c>
      <c r="J53" s="35" t="str">
        <f t="shared" si="0"/>
        <v/>
      </c>
      <c r="K53" s="46" t="str">
        <f t="shared" si="1"/>
        <v/>
      </c>
    </row>
    <row r="54" spans="2:11" x14ac:dyDescent="0.3">
      <c r="B54" s="36"/>
      <c r="D54" t="str">
        <f>IF(C54="","",IFERROR(VLOOKUP(C54,GASTOS!B:C,2,0),""))</f>
        <v/>
      </c>
      <c r="F54" s="35"/>
      <c r="G54" s="35"/>
      <c r="I54" s="35" t="str">
        <f>IF(A54="","",SUMIF(RP!D:D,A54,RP!I:I))</f>
        <v/>
      </c>
      <c r="J54" s="35" t="str">
        <f t="shared" si="0"/>
        <v/>
      </c>
      <c r="K54" s="46" t="str">
        <f t="shared" si="1"/>
        <v/>
      </c>
    </row>
    <row r="55" spans="2:11" x14ac:dyDescent="0.3">
      <c r="B55" s="36"/>
      <c r="D55" t="str">
        <f>IF(C55="","",IFERROR(VLOOKUP(C55,GASTOS!B:C,2,0),""))</f>
        <v/>
      </c>
      <c r="F55" s="35"/>
      <c r="G55" s="35"/>
      <c r="I55" s="35" t="str">
        <f>IF(A55="","",SUMIF(RP!D:D,A55,RP!I:I))</f>
        <v/>
      </c>
      <c r="J55" s="35" t="str">
        <f t="shared" si="0"/>
        <v/>
      </c>
      <c r="K55" s="46" t="str">
        <f t="shared" si="1"/>
        <v/>
      </c>
    </row>
    <row r="56" spans="2:11" x14ac:dyDescent="0.3">
      <c r="B56" s="36"/>
      <c r="D56" t="str">
        <f>IF(C56="","",IFERROR(VLOOKUP(C56,GASTOS!B:C,2,0),""))</f>
        <v/>
      </c>
      <c r="F56" s="35"/>
      <c r="G56" s="35"/>
      <c r="I56" s="35" t="str">
        <f>IF(A56="","",SUMIF(RP!D:D,A56,RP!I:I))</f>
        <v/>
      </c>
      <c r="J56" s="35" t="str">
        <f t="shared" si="0"/>
        <v/>
      </c>
      <c r="K56" s="46" t="str">
        <f t="shared" si="1"/>
        <v/>
      </c>
    </row>
    <row r="57" spans="2:11" x14ac:dyDescent="0.3">
      <c r="B57" s="36"/>
      <c r="D57" t="str">
        <f>IF(C57="","",IFERROR(VLOOKUP(C57,GASTOS!B:C,2,0),""))</f>
        <v/>
      </c>
      <c r="F57" s="35"/>
      <c r="G57" s="35"/>
      <c r="I57" s="35" t="str">
        <f>IF(A57="","",SUMIF(RP!D:D,A57,RP!I:I))</f>
        <v/>
      </c>
      <c r="J57" s="35" t="str">
        <f t="shared" si="0"/>
        <v/>
      </c>
      <c r="K57" s="46" t="str">
        <f t="shared" si="1"/>
        <v/>
      </c>
    </row>
    <row r="58" spans="2:11" x14ac:dyDescent="0.3">
      <c r="B58" s="36"/>
      <c r="D58" t="str">
        <f>IF(C58="","",IFERROR(VLOOKUP(C58,GASTOS!B:C,2,0),""))</f>
        <v/>
      </c>
      <c r="F58" s="35"/>
      <c r="G58" s="35"/>
      <c r="I58" s="35" t="str">
        <f>IF(A58="","",SUMIF(RP!D:D,A58,RP!I:I))</f>
        <v/>
      </c>
      <c r="J58" s="35" t="str">
        <f t="shared" si="0"/>
        <v/>
      </c>
      <c r="K58" s="46" t="str">
        <f t="shared" si="1"/>
        <v/>
      </c>
    </row>
    <row r="59" spans="2:11" x14ac:dyDescent="0.3">
      <c r="B59" s="36"/>
      <c r="D59" t="str">
        <f>IF(C59="","",IFERROR(VLOOKUP(C59,GASTOS!B:C,2,0),""))</f>
        <v/>
      </c>
      <c r="F59" s="35"/>
      <c r="G59" s="35"/>
      <c r="I59" s="35" t="str">
        <f>IF(A59="","",SUMIF(RP!D:D,A59,RP!I:I))</f>
        <v/>
      </c>
      <c r="J59" s="35" t="str">
        <f t="shared" si="0"/>
        <v/>
      </c>
      <c r="K59" s="46" t="str">
        <f t="shared" si="1"/>
        <v/>
      </c>
    </row>
    <row r="60" spans="2:11" x14ac:dyDescent="0.3">
      <c r="B60" s="36"/>
      <c r="D60" t="str">
        <f>IF(C60="","",IFERROR(VLOOKUP(C60,GASTOS!B:C,2,0),""))</f>
        <v/>
      </c>
      <c r="F60" s="35"/>
      <c r="G60" s="35"/>
      <c r="I60" s="35" t="str">
        <f>IF(A60="","",SUMIF(RP!D:D,A60,RP!I:I))</f>
        <v/>
      </c>
      <c r="J60" s="35" t="str">
        <f t="shared" si="0"/>
        <v/>
      </c>
      <c r="K60" s="46" t="str">
        <f t="shared" si="1"/>
        <v/>
      </c>
    </row>
    <row r="61" spans="2:11" x14ac:dyDescent="0.3">
      <c r="B61" s="36"/>
      <c r="D61" t="str">
        <f>IF(C61="","",IFERROR(VLOOKUP(C61,GASTOS!B:C,2,0),""))</f>
        <v/>
      </c>
      <c r="F61" s="35"/>
      <c r="G61" s="35"/>
      <c r="I61" s="35" t="str">
        <f>IF(A61="","",SUMIF(RP!D:D,A61,RP!I:I))</f>
        <v/>
      </c>
      <c r="J61" s="35" t="str">
        <f t="shared" si="0"/>
        <v/>
      </c>
      <c r="K61" s="46" t="str">
        <f t="shared" si="1"/>
        <v/>
      </c>
    </row>
    <row r="62" spans="2:11" x14ac:dyDescent="0.3">
      <c r="B62" s="36"/>
      <c r="D62" t="str">
        <f>IF(C62="","",IFERROR(VLOOKUP(C62,GASTOS!B:C,2,0),""))</f>
        <v/>
      </c>
      <c r="F62" s="35"/>
      <c r="G62" s="35"/>
      <c r="I62" s="35" t="str">
        <f>IF(A62="","",SUMIF(RP!D:D,A62,RP!I:I))</f>
        <v/>
      </c>
      <c r="J62" s="35" t="str">
        <f t="shared" si="0"/>
        <v/>
      </c>
      <c r="K62" s="46" t="str">
        <f t="shared" si="1"/>
        <v/>
      </c>
    </row>
    <row r="63" spans="2:11" x14ac:dyDescent="0.3">
      <c r="B63" s="36"/>
      <c r="D63" t="str">
        <f>IF(C63="","",IFERROR(VLOOKUP(C63,GASTOS!B:C,2,0),""))</f>
        <v/>
      </c>
      <c r="F63" s="35"/>
      <c r="G63" s="35"/>
      <c r="I63" s="35" t="str">
        <f>IF(A63="","",SUMIF(RP!D:D,A63,RP!I:I))</f>
        <v/>
      </c>
      <c r="J63" s="35" t="str">
        <f t="shared" si="0"/>
        <v/>
      </c>
      <c r="K63" s="46" t="str">
        <f t="shared" si="1"/>
        <v/>
      </c>
    </row>
    <row r="64" spans="2:11" x14ac:dyDescent="0.3">
      <c r="B64" s="36"/>
      <c r="D64" t="str">
        <f>IF(C64="","",IFERROR(VLOOKUP(C64,GASTOS!B:C,2,0),""))</f>
        <v/>
      </c>
      <c r="F64" s="35"/>
      <c r="G64" s="35"/>
      <c r="I64" s="35" t="str">
        <f>IF(A64="","",SUMIF(RP!D:D,A64,RP!I:I))</f>
        <v/>
      </c>
      <c r="J64" s="35" t="str">
        <f t="shared" si="0"/>
        <v/>
      </c>
      <c r="K64" s="46" t="str">
        <f t="shared" si="1"/>
        <v/>
      </c>
    </row>
    <row r="65" spans="2:11" x14ac:dyDescent="0.3">
      <c r="B65" s="36"/>
      <c r="D65" t="str">
        <f>IF(C65="","",IFERROR(VLOOKUP(C65,GASTOS!B:C,2,0),""))</f>
        <v/>
      </c>
      <c r="F65" s="35"/>
      <c r="G65" s="35"/>
      <c r="I65" s="35" t="str">
        <f>IF(A65="","",SUMIF(RP!D:D,A65,RP!I:I))</f>
        <v/>
      </c>
      <c r="J65" s="35" t="str">
        <f t="shared" si="0"/>
        <v/>
      </c>
      <c r="K65" s="46" t="str">
        <f t="shared" si="1"/>
        <v/>
      </c>
    </row>
    <row r="66" spans="2:11" x14ac:dyDescent="0.3">
      <c r="B66" s="36"/>
      <c r="D66" t="str">
        <f>IF(C66="","",IFERROR(VLOOKUP(C66,GASTOS!B:C,2,0),""))</f>
        <v/>
      </c>
      <c r="F66" s="35"/>
      <c r="G66" s="35"/>
      <c r="I66" s="35" t="str">
        <f>IF(A66="","",SUMIF(RP!D:D,A66,RP!I:I))</f>
        <v/>
      </c>
      <c r="J66" s="35" t="str">
        <f t="shared" ref="J66:J129" si="2">IF(A66="","",F66-I66)</f>
        <v/>
      </c>
      <c r="K66" s="46" t="str">
        <f t="shared" ref="K66:K129" si="3">IF(A66="","",IF(H66="ACTIVO","CDP vigente. Saldo disponible para comprometer en RPs: " &amp; TEXT(J66,"#,##0"),IF(H66="AGOTADO","CDP sin saldo. Valor total utilizado en Registros Presupuestales (RP)",IF(H66="ANULADO","CDP anulado. Valor liberado y devuelto al saldo del rubro",""))))</f>
        <v/>
      </c>
    </row>
    <row r="67" spans="2:11" x14ac:dyDescent="0.3">
      <c r="B67" s="36"/>
      <c r="D67" t="str">
        <f>IF(C67="","",IFERROR(VLOOKUP(C67,GASTOS!B:C,2,0),""))</f>
        <v/>
      </c>
      <c r="F67" s="35"/>
      <c r="G67" s="35"/>
      <c r="I67" s="35" t="str">
        <f>IF(A67="","",SUMIF(RP!D:D,A67,RP!I:I))</f>
        <v/>
      </c>
      <c r="J67" s="35" t="str">
        <f t="shared" si="2"/>
        <v/>
      </c>
      <c r="K67" s="46" t="str">
        <f t="shared" si="3"/>
        <v/>
      </c>
    </row>
    <row r="68" spans="2:11" x14ac:dyDescent="0.3">
      <c r="B68" s="36"/>
      <c r="D68" t="str">
        <f>IF(C68="","",IFERROR(VLOOKUP(C68,GASTOS!B:C,2,0),""))</f>
        <v/>
      </c>
      <c r="F68" s="35"/>
      <c r="G68" s="35"/>
      <c r="I68" s="35" t="str">
        <f>IF(A68="","",SUMIF(RP!D:D,A68,RP!I:I))</f>
        <v/>
      </c>
      <c r="J68" s="35" t="str">
        <f t="shared" si="2"/>
        <v/>
      </c>
      <c r="K68" s="46" t="str">
        <f t="shared" si="3"/>
        <v/>
      </c>
    </row>
    <row r="69" spans="2:11" x14ac:dyDescent="0.3">
      <c r="B69" s="36"/>
      <c r="D69" t="str">
        <f>IF(C69="","",IFERROR(VLOOKUP(C69,GASTOS!B:C,2,0),""))</f>
        <v/>
      </c>
      <c r="F69" s="35"/>
      <c r="G69" s="35"/>
      <c r="I69" s="35" t="str">
        <f>IF(A69="","",SUMIF(RP!D:D,A69,RP!I:I))</f>
        <v/>
      </c>
      <c r="J69" s="35" t="str">
        <f t="shared" si="2"/>
        <v/>
      </c>
      <c r="K69" s="46" t="str">
        <f t="shared" si="3"/>
        <v/>
      </c>
    </row>
    <row r="70" spans="2:11" x14ac:dyDescent="0.3">
      <c r="B70" s="36"/>
      <c r="D70" t="str">
        <f>IF(C70="","",IFERROR(VLOOKUP(C70,GASTOS!B:C,2,0),""))</f>
        <v/>
      </c>
      <c r="F70" s="35"/>
      <c r="G70" s="35"/>
      <c r="I70" s="35" t="str">
        <f>IF(A70="","",SUMIF(RP!D:D,A70,RP!I:I))</f>
        <v/>
      </c>
      <c r="J70" s="35" t="str">
        <f t="shared" si="2"/>
        <v/>
      </c>
      <c r="K70" s="46" t="str">
        <f t="shared" si="3"/>
        <v/>
      </c>
    </row>
    <row r="71" spans="2:11" x14ac:dyDescent="0.3">
      <c r="B71" s="36"/>
      <c r="D71" t="str">
        <f>IF(C71="","",IFERROR(VLOOKUP(C71,GASTOS!B:C,2,0),""))</f>
        <v/>
      </c>
      <c r="F71" s="35"/>
      <c r="G71" s="35"/>
      <c r="I71" s="35" t="str">
        <f>IF(A71="","",SUMIF(RP!D:D,A71,RP!I:I))</f>
        <v/>
      </c>
      <c r="J71" s="35" t="str">
        <f t="shared" si="2"/>
        <v/>
      </c>
      <c r="K71" s="46" t="str">
        <f t="shared" si="3"/>
        <v/>
      </c>
    </row>
    <row r="72" spans="2:11" x14ac:dyDescent="0.3">
      <c r="B72" s="36"/>
      <c r="D72" t="str">
        <f>IF(C72="","",IFERROR(VLOOKUP(C72,GASTOS!B:C,2,0),""))</f>
        <v/>
      </c>
      <c r="F72" s="35"/>
      <c r="G72" s="35"/>
      <c r="I72" s="35" t="str">
        <f>IF(A72="","",SUMIF(RP!D:D,A72,RP!I:I))</f>
        <v/>
      </c>
      <c r="J72" s="35" t="str">
        <f t="shared" si="2"/>
        <v/>
      </c>
      <c r="K72" s="46" t="str">
        <f t="shared" si="3"/>
        <v/>
      </c>
    </row>
    <row r="73" spans="2:11" x14ac:dyDescent="0.3">
      <c r="B73" s="36"/>
      <c r="D73" t="str">
        <f>IF(C73="","",IFERROR(VLOOKUP(C73,GASTOS!B:C,2,0),""))</f>
        <v/>
      </c>
      <c r="F73" s="35"/>
      <c r="G73" s="35"/>
      <c r="I73" s="35" t="str">
        <f>IF(A73="","",SUMIF(RP!D:D,A73,RP!I:I))</f>
        <v/>
      </c>
      <c r="J73" s="35" t="str">
        <f t="shared" si="2"/>
        <v/>
      </c>
      <c r="K73" s="46" t="str">
        <f t="shared" si="3"/>
        <v/>
      </c>
    </row>
    <row r="74" spans="2:11" x14ac:dyDescent="0.3">
      <c r="B74" s="36"/>
      <c r="D74" t="str">
        <f>IF(C74="","",IFERROR(VLOOKUP(C74,GASTOS!B:C,2,0),""))</f>
        <v/>
      </c>
      <c r="F74" s="35"/>
      <c r="G74" s="35"/>
      <c r="I74" s="35" t="str">
        <f>IF(A74="","",SUMIF(RP!D:D,A74,RP!I:I))</f>
        <v/>
      </c>
      <c r="J74" s="35" t="str">
        <f t="shared" si="2"/>
        <v/>
      </c>
      <c r="K74" s="46" t="str">
        <f t="shared" si="3"/>
        <v/>
      </c>
    </row>
    <row r="75" spans="2:11" x14ac:dyDescent="0.3">
      <c r="B75" s="36"/>
      <c r="D75" t="str">
        <f>IF(C75="","",IFERROR(VLOOKUP(C75,GASTOS!B:C,2,0),""))</f>
        <v/>
      </c>
      <c r="F75" s="35"/>
      <c r="G75" s="35"/>
      <c r="I75" s="35" t="str">
        <f>IF(A75="","",SUMIF(RP!D:D,A75,RP!I:I))</f>
        <v/>
      </c>
      <c r="J75" s="35" t="str">
        <f t="shared" si="2"/>
        <v/>
      </c>
      <c r="K75" s="46" t="str">
        <f t="shared" si="3"/>
        <v/>
      </c>
    </row>
    <row r="76" spans="2:11" x14ac:dyDescent="0.3">
      <c r="B76" s="36"/>
      <c r="D76" t="str">
        <f>IF(C76="","",IFERROR(VLOOKUP(C76,GASTOS!B:C,2,0),""))</f>
        <v/>
      </c>
      <c r="F76" s="35"/>
      <c r="G76" s="35"/>
      <c r="I76" s="35" t="str">
        <f>IF(A76="","",SUMIF(RP!D:D,A76,RP!I:I))</f>
        <v/>
      </c>
      <c r="J76" s="35" t="str">
        <f t="shared" si="2"/>
        <v/>
      </c>
      <c r="K76" s="46" t="str">
        <f t="shared" si="3"/>
        <v/>
      </c>
    </row>
    <row r="77" spans="2:11" x14ac:dyDescent="0.3">
      <c r="B77" s="36"/>
      <c r="D77" t="str">
        <f>IF(C77="","",IFERROR(VLOOKUP(C77,GASTOS!B:C,2,0),""))</f>
        <v/>
      </c>
      <c r="F77" s="35"/>
      <c r="G77" s="35"/>
      <c r="I77" s="35" t="str">
        <f>IF(A77="","",SUMIF(RP!D:D,A77,RP!I:I))</f>
        <v/>
      </c>
      <c r="J77" s="35" t="str">
        <f t="shared" si="2"/>
        <v/>
      </c>
      <c r="K77" s="46" t="str">
        <f t="shared" si="3"/>
        <v/>
      </c>
    </row>
    <row r="78" spans="2:11" x14ac:dyDescent="0.3">
      <c r="B78" s="36"/>
      <c r="D78" t="str">
        <f>IF(C78="","",IFERROR(VLOOKUP(C78,GASTOS!B:C,2,0),""))</f>
        <v/>
      </c>
      <c r="F78" s="35"/>
      <c r="G78" s="35"/>
      <c r="I78" s="35" t="str">
        <f>IF(A78="","",SUMIF(RP!D:D,A78,RP!I:I))</f>
        <v/>
      </c>
      <c r="J78" s="35" t="str">
        <f t="shared" si="2"/>
        <v/>
      </c>
      <c r="K78" s="46" t="str">
        <f t="shared" si="3"/>
        <v/>
      </c>
    </row>
    <row r="79" spans="2:11" x14ac:dyDescent="0.3">
      <c r="B79" s="36"/>
      <c r="D79" t="str">
        <f>IF(C79="","",IFERROR(VLOOKUP(C79,GASTOS!B:C,2,0),""))</f>
        <v/>
      </c>
      <c r="F79" s="35"/>
      <c r="G79" s="35"/>
      <c r="I79" s="35" t="str">
        <f>IF(A79="","",SUMIF(RP!D:D,A79,RP!I:I))</f>
        <v/>
      </c>
      <c r="J79" s="35" t="str">
        <f t="shared" si="2"/>
        <v/>
      </c>
      <c r="K79" s="46" t="str">
        <f t="shared" si="3"/>
        <v/>
      </c>
    </row>
    <row r="80" spans="2:11" x14ac:dyDescent="0.3">
      <c r="B80" s="36"/>
      <c r="D80" t="str">
        <f>IF(C80="","",IFERROR(VLOOKUP(C80,GASTOS!B:C,2,0),""))</f>
        <v/>
      </c>
      <c r="F80" s="35"/>
      <c r="G80" s="35"/>
      <c r="I80" s="35" t="str">
        <f>IF(A80="","",SUMIF(RP!D:D,A80,RP!I:I))</f>
        <v/>
      </c>
      <c r="J80" s="35" t="str">
        <f t="shared" si="2"/>
        <v/>
      </c>
      <c r="K80" s="46" t="str">
        <f t="shared" si="3"/>
        <v/>
      </c>
    </row>
    <row r="81" spans="2:11" x14ac:dyDescent="0.3">
      <c r="B81" s="36"/>
      <c r="D81" t="str">
        <f>IF(C81="","",IFERROR(VLOOKUP(C81,GASTOS!B:C,2,0),""))</f>
        <v/>
      </c>
      <c r="F81" s="35"/>
      <c r="G81" s="35"/>
      <c r="I81" s="35" t="str">
        <f>IF(A81="","",SUMIF(RP!D:D,A81,RP!I:I))</f>
        <v/>
      </c>
      <c r="J81" s="35" t="str">
        <f t="shared" si="2"/>
        <v/>
      </c>
      <c r="K81" s="46" t="str">
        <f t="shared" si="3"/>
        <v/>
      </c>
    </row>
    <row r="82" spans="2:11" x14ac:dyDescent="0.3">
      <c r="B82" s="36"/>
      <c r="D82" t="str">
        <f>IF(C82="","",IFERROR(VLOOKUP(C82,GASTOS!B:C,2,0),""))</f>
        <v/>
      </c>
      <c r="F82" s="35"/>
      <c r="G82" s="35"/>
      <c r="I82" s="35" t="str">
        <f>IF(A82="","",SUMIF(RP!D:D,A82,RP!I:I))</f>
        <v/>
      </c>
      <c r="J82" s="35" t="str">
        <f t="shared" si="2"/>
        <v/>
      </c>
      <c r="K82" s="46" t="str">
        <f t="shared" si="3"/>
        <v/>
      </c>
    </row>
    <row r="83" spans="2:11" x14ac:dyDescent="0.3">
      <c r="B83" s="36"/>
      <c r="D83" t="str">
        <f>IF(C83="","",IFERROR(VLOOKUP(C83,GASTOS!B:C,2,0),""))</f>
        <v/>
      </c>
      <c r="F83" s="35"/>
      <c r="G83" s="35"/>
      <c r="I83" s="35" t="str">
        <f>IF(A83="","",SUMIF(RP!D:D,A83,RP!I:I))</f>
        <v/>
      </c>
      <c r="J83" s="35" t="str">
        <f t="shared" si="2"/>
        <v/>
      </c>
      <c r="K83" s="46" t="str">
        <f t="shared" si="3"/>
        <v/>
      </c>
    </row>
    <row r="84" spans="2:11" x14ac:dyDescent="0.3">
      <c r="B84" s="36"/>
      <c r="D84" t="str">
        <f>IF(C84="","",IFERROR(VLOOKUP(C84,GASTOS!B:C,2,0),""))</f>
        <v/>
      </c>
      <c r="F84" s="35"/>
      <c r="G84" s="35"/>
      <c r="I84" s="35" t="str">
        <f>IF(A84="","",SUMIF(RP!D:D,A84,RP!I:I))</f>
        <v/>
      </c>
      <c r="J84" s="35" t="str">
        <f t="shared" si="2"/>
        <v/>
      </c>
      <c r="K84" s="46" t="str">
        <f t="shared" si="3"/>
        <v/>
      </c>
    </row>
    <row r="85" spans="2:11" x14ac:dyDescent="0.3">
      <c r="B85" s="36"/>
      <c r="D85" t="str">
        <f>IF(C85="","",IFERROR(VLOOKUP(C85,GASTOS!B:C,2,0),""))</f>
        <v/>
      </c>
      <c r="F85" s="35"/>
      <c r="G85" s="35"/>
      <c r="I85" s="35" t="str">
        <f>IF(A85="","",SUMIF(RP!D:D,A85,RP!I:I))</f>
        <v/>
      </c>
      <c r="J85" s="35" t="str">
        <f t="shared" si="2"/>
        <v/>
      </c>
      <c r="K85" s="46" t="str">
        <f t="shared" si="3"/>
        <v/>
      </c>
    </row>
    <row r="86" spans="2:11" x14ac:dyDescent="0.3">
      <c r="B86" s="36"/>
      <c r="D86" t="str">
        <f>IF(C86="","",IFERROR(VLOOKUP(C86,GASTOS!B:C,2,0),""))</f>
        <v/>
      </c>
      <c r="F86" s="35"/>
      <c r="G86" s="35"/>
      <c r="I86" s="35" t="str">
        <f>IF(A86="","",SUMIF(RP!D:D,A86,RP!I:I))</f>
        <v/>
      </c>
      <c r="J86" s="35" t="str">
        <f t="shared" si="2"/>
        <v/>
      </c>
      <c r="K86" s="46" t="str">
        <f t="shared" si="3"/>
        <v/>
      </c>
    </row>
    <row r="87" spans="2:11" x14ac:dyDescent="0.3">
      <c r="B87" s="36"/>
      <c r="D87" t="str">
        <f>IF(C87="","",IFERROR(VLOOKUP(C87,GASTOS!B:C,2,0),""))</f>
        <v/>
      </c>
      <c r="F87" s="35"/>
      <c r="G87" s="35"/>
      <c r="I87" s="35" t="str">
        <f>IF(A87="","",SUMIF(RP!D:D,A87,RP!I:I))</f>
        <v/>
      </c>
      <c r="J87" s="35" t="str">
        <f t="shared" si="2"/>
        <v/>
      </c>
      <c r="K87" s="46" t="str">
        <f t="shared" si="3"/>
        <v/>
      </c>
    </row>
    <row r="88" spans="2:11" x14ac:dyDescent="0.3">
      <c r="B88" s="36"/>
      <c r="D88" t="str">
        <f>IF(C88="","",IFERROR(VLOOKUP(C88,GASTOS!B:C,2,0),""))</f>
        <v/>
      </c>
      <c r="F88" s="35"/>
      <c r="G88" s="35"/>
      <c r="I88" s="35" t="str">
        <f>IF(A88="","",SUMIF(RP!D:D,A88,RP!I:I))</f>
        <v/>
      </c>
      <c r="J88" s="35" t="str">
        <f t="shared" si="2"/>
        <v/>
      </c>
      <c r="K88" s="46" t="str">
        <f t="shared" si="3"/>
        <v/>
      </c>
    </row>
    <row r="89" spans="2:11" x14ac:dyDescent="0.3">
      <c r="B89" s="36"/>
      <c r="D89" t="str">
        <f>IF(C89="","",IFERROR(VLOOKUP(C89,GASTOS!B:C,2,0),""))</f>
        <v/>
      </c>
      <c r="F89" s="35"/>
      <c r="G89" s="35"/>
      <c r="I89" s="35" t="str">
        <f>IF(A89="","",SUMIF(RP!D:D,A89,RP!I:I))</f>
        <v/>
      </c>
      <c r="J89" s="35" t="str">
        <f t="shared" si="2"/>
        <v/>
      </c>
      <c r="K89" s="46" t="str">
        <f t="shared" si="3"/>
        <v/>
      </c>
    </row>
    <row r="90" spans="2:11" x14ac:dyDescent="0.3">
      <c r="B90" s="36"/>
      <c r="D90" t="str">
        <f>IF(C90="","",IFERROR(VLOOKUP(C90,GASTOS!B:C,2,0),""))</f>
        <v/>
      </c>
      <c r="F90" s="35"/>
      <c r="G90" s="35"/>
      <c r="I90" s="35" t="str">
        <f>IF(A90="","",SUMIF(RP!D:D,A90,RP!I:I))</f>
        <v/>
      </c>
      <c r="J90" s="35" t="str">
        <f t="shared" si="2"/>
        <v/>
      </c>
      <c r="K90" s="46" t="str">
        <f t="shared" si="3"/>
        <v/>
      </c>
    </row>
    <row r="91" spans="2:11" x14ac:dyDescent="0.3">
      <c r="B91" s="36"/>
      <c r="D91" t="str">
        <f>IF(C91="","",IFERROR(VLOOKUP(C91,GASTOS!B:C,2,0),""))</f>
        <v/>
      </c>
      <c r="F91" s="35"/>
      <c r="G91" s="35"/>
      <c r="I91" s="35" t="str">
        <f>IF(A91="","",SUMIF(RP!D:D,A91,RP!I:I))</f>
        <v/>
      </c>
      <c r="J91" s="35" t="str">
        <f t="shared" si="2"/>
        <v/>
      </c>
      <c r="K91" s="46" t="str">
        <f t="shared" si="3"/>
        <v/>
      </c>
    </row>
    <row r="92" spans="2:11" x14ac:dyDescent="0.3">
      <c r="B92" s="36"/>
      <c r="D92" t="str">
        <f>IF(C92="","",IFERROR(VLOOKUP(C92,GASTOS!B:C,2,0),""))</f>
        <v/>
      </c>
      <c r="F92" s="35"/>
      <c r="G92" s="35"/>
      <c r="I92" s="35" t="str">
        <f>IF(A92="","",SUMIF(RP!D:D,A92,RP!I:I))</f>
        <v/>
      </c>
      <c r="J92" s="35" t="str">
        <f t="shared" si="2"/>
        <v/>
      </c>
      <c r="K92" s="46" t="str">
        <f t="shared" si="3"/>
        <v/>
      </c>
    </row>
    <row r="93" spans="2:11" x14ac:dyDescent="0.3">
      <c r="B93" s="36"/>
      <c r="D93" t="str">
        <f>IF(C93="","",IFERROR(VLOOKUP(C93,GASTOS!B:C,2,0),""))</f>
        <v/>
      </c>
      <c r="F93" s="35"/>
      <c r="G93" s="35"/>
      <c r="I93" s="35" t="str">
        <f>IF(A93="","",SUMIF(RP!D:D,A93,RP!I:I))</f>
        <v/>
      </c>
      <c r="J93" s="35" t="str">
        <f t="shared" si="2"/>
        <v/>
      </c>
      <c r="K93" s="46" t="str">
        <f t="shared" si="3"/>
        <v/>
      </c>
    </row>
    <row r="94" spans="2:11" x14ac:dyDescent="0.3">
      <c r="B94" s="36"/>
      <c r="D94" t="str">
        <f>IF(C94="","",IFERROR(VLOOKUP(C94,GASTOS!B:C,2,0),""))</f>
        <v/>
      </c>
      <c r="F94" s="35"/>
      <c r="G94" s="35"/>
      <c r="I94" s="35" t="str">
        <f>IF(A94="","",SUMIF(RP!D:D,A94,RP!I:I))</f>
        <v/>
      </c>
      <c r="J94" s="35" t="str">
        <f t="shared" si="2"/>
        <v/>
      </c>
      <c r="K94" s="46" t="str">
        <f t="shared" si="3"/>
        <v/>
      </c>
    </row>
    <row r="95" spans="2:11" x14ac:dyDescent="0.3">
      <c r="B95" s="36"/>
      <c r="D95" t="str">
        <f>IF(C95="","",IFERROR(VLOOKUP(C95,GASTOS!B:C,2,0),""))</f>
        <v/>
      </c>
      <c r="F95" s="35"/>
      <c r="G95" s="35"/>
      <c r="I95" s="35" t="str">
        <f>IF(A95="","",SUMIF(RP!D:D,A95,RP!I:I))</f>
        <v/>
      </c>
      <c r="J95" s="35" t="str">
        <f t="shared" si="2"/>
        <v/>
      </c>
      <c r="K95" s="46" t="str">
        <f t="shared" si="3"/>
        <v/>
      </c>
    </row>
    <row r="96" spans="2:11" x14ac:dyDescent="0.3">
      <c r="B96" s="36"/>
      <c r="D96" t="str">
        <f>IF(C96="","",IFERROR(VLOOKUP(C96,GASTOS!B:C,2,0),""))</f>
        <v/>
      </c>
      <c r="F96" s="35"/>
      <c r="G96" s="35"/>
      <c r="I96" s="35" t="str">
        <f>IF(A96="","",SUMIF(RP!D:D,A96,RP!I:I))</f>
        <v/>
      </c>
      <c r="J96" s="35" t="str">
        <f t="shared" si="2"/>
        <v/>
      </c>
      <c r="K96" s="46" t="str">
        <f t="shared" si="3"/>
        <v/>
      </c>
    </row>
    <row r="97" spans="2:11" x14ac:dyDescent="0.3">
      <c r="B97" s="36"/>
      <c r="D97" t="str">
        <f>IF(C97="","",IFERROR(VLOOKUP(C97,GASTOS!B:C,2,0),""))</f>
        <v/>
      </c>
      <c r="F97" s="35"/>
      <c r="G97" s="35"/>
      <c r="I97" s="35" t="str">
        <f>IF(A97="","",SUMIF(RP!D:D,A97,RP!I:I))</f>
        <v/>
      </c>
      <c r="J97" s="35" t="str">
        <f t="shared" si="2"/>
        <v/>
      </c>
      <c r="K97" s="46" t="str">
        <f t="shared" si="3"/>
        <v/>
      </c>
    </row>
    <row r="98" spans="2:11" x14ac:dyDescent="0.3">
      <c r="B98" s="36"/>
      <c r="D98" t="str">
        <f>IF(C98="","",IFERROR(VLOOKUP(C98,GASTOS!B:C,2,0),""))</f>
        <v/>
      </c>
      <c r="F98" s="35"/>
      <c r="G98" s="35"/>
      <c r="I98" s="35" t="str">
        <f>IF(A98="","",SUMIF(RP!D:D,A98,RP!I:I))</f>
        <v/>
      </c>
      <c r="J98" s="35" t="str">
        <f t="shared" si="2"/>
        <v/>
      </c>
      <c r="K98" s="46" t="str">
        <f t="shared" si="3"/>
        <v/>
      </c>
    </row>
    <row r="99" spans="2:11" x14ac:dyDescent="0.3">
      <c r="B99" s="36"/>
      <c r="D99" t="str">
        <f>IF(C99="","",IFERROR(VLOOKUP(C99,GASTOS!B:C,2,0),""))</f>
        <v/>
      </c>
      <c r="F99" s="35"/>
      <c r="G99" s="35"/>
      <c r="I99" s="35" t="str">
        <f>IF(A99="","",SUMIF(RP!D:D,A99,RP!I:I))</f>
        <v/>
      </c>
      <c r="J99" s="35" t="str">
        <f t="shared" si="2"/>
        <v/>
      </c>
      <c r="K99" s="46" t="str">
        <f t="shared" si="3"/>
        <v/>
      </c>
    </row>
    <row r="100" spans="2:11" x14ac:dyDescent="0.3">
      <c r="B100" s="36"/>
      <c r="D100" t="str">
        <f>IF(C100="","",IFERROR(VLOOKUP(C100,GASTOS!B:C,2,0),""))</f>
        <v/>
      </c>
      <c r="F100" s="35"/>
      <c r="G100" s="35"/>
      <c r="I100" s="35" t="str">
        <f>IF(A100="","",SUMIF(RP!D:D,A100,RP!I:I))</f>
        <v/>
      </c>
      <c r="J100" s="35" t="str">
        <f t="shared" si="2"/>
        <v/>
      </c>
      <c r="K100" s="46" t="str">
        <f t="shared" si="3"/>
        <v/>
      </c>
    </row>
    <row r="101" spans="2:11" x14ac:dyDescent="0.3">
      <c r="B101" s="36"/>
      <c r="D101" t="str">
        <f>IF(C101="","",IFERROR(VLOOKUP(C101,GASTOS!B:C,2,0),""))</f>
        <v/>
      </c>
      <c r="F101" s="35"/>
      <c r="G101" s="35"/>
      <c r="I101" s="35" t="str">
        <f>IF(A101="","",SUMIF(RP!D:D,A101,RP!I:I))</f>
        <v/>
      </c>
      <c r="J101" s="35" t="str">
        <f t="shared" si="2"/>
        <v/>
      </c>
      <c r="K101" s="46" t="str">
        <f t="shared" si="3"/>
        <v/>
      </c>
    </row>
    <row r="102" spans="2:11" x14ac:dyDescent="0.3">
      <c r="B102" s="36"/>
      <c r="D102" t="str">
        <f>IF(C102="","",IFERROR(VLOOKUP(C102,GASTOS!B:C,2,0),""))</f>
        <v/>
      </c>
      <c r="F102" s="35"/>
      <c r="G102" s="35"/>
      <c r="I102" s="35" t="str">
        <f>IF(A102="","",SUMIF(RP!D:D,A102,RP!I:I))</f>
        <v/>
      </c>
      <c r="J102" s="35" t="str">
        <f t="shared" si="2"/>
        <v/>
      </c>
      <c r="K102" s="46" t="str">
        <f t="shared" si="3"/>
        <v/>
      </c>
    </row>
    <row r="103" spans="2:11" x14ac:dyDescent="0.3">
      <c r="B103" s="36"/>
      <c r="D103" t="str">
        <f>IF(C103="","",IFERROR(VLOOKUP(C103,GASTOS!B:C,2,0),""))</f>
        <v/>
      </c>
      <c r="F103" s="35"/>
      <c r="G103" s="35"/>
      <c r="I103" s="35" t="str">
        <f>IF(A103="","",SUMIF(RP!D:D,A103,RP!I:I))</f>
        <v/>
      </c>
      <c r="J103" s="35" t="str">
        <f t="shared" si="2"/>
        <v/>
      </c>
      <c r="K103" s="46" t="str">
        <f t="shared" si="3"/>
        <v/>
      </c>
    </row>
    <row r="104" spans="2:11" x14ac:dyDescent="0.3">
      <c r="B104" s="36"/>
      <c r="D104" t="str">
        <f>IF(C104="","",IFERROR(VLOOKUP(C104,GASTOS!B:C,2,0),""))</f>
        <v/>
      </c>
      <c r="F104" s="35"/>
      <c r="G104" s="35"/>
      <c r="I104" s="35" t="str">
        <f>IF(A104="","",SUMIF(RP!D:D,A104,RP!I:I))</f>
        <v/>
      </c>
      <c r="J104" s="35" t="str">
        <f t="shared" si="2"/>
        <v/>
      </c>
      <c r="K104" s="46" t="str">
        <f t="shared" si="3"/>
        <v/>
      </c>
    </row>
    <row r="105" spans="2:11" x14ac:dyDescent="0.3">
      <c r="B105" s="36"/>
      <c r="D105" t="str">
        <f>IF(C105="","",IFERROR(VLOOKUP(C105,GASTOS!B:C,2,0),""))</f>
        <v/>
      </c>
      <c r="F105" s="35"/>
      <c r="G105" s="35"/>
      <c r="I105" s="35" t="str">
        <f>IF(A105="","",SUMIF(RP!D:D,A105,RP!I:I))</f>
        <v/>
      </c>
      <c r="J105" s="35" t="str">
        <f t="shared" si="2"/>
        <v/>
      </c>
      <c r="K105" s="46" t="str">
        <f t="shared" si="3"/>
        <v/>
      </c>
    </row>
    <row r="106" spans="2:11" x14ac:dyDescent="0.3">
      <c r="B106" s="36"/>
      <c r="D106" t="str">
        <f>IF(C106="","",IFERROR(VLOOKUP(C106,GASTOS!B:C,2,0),""))</f>
        <v/>
      </c>
      <c r="F106" s="35"/>
      <c r="G106" s="35"/>
      <c r="I106" s="35" t="str">
        <f>IF(A106="","",SUMIF(RP!D:D,A106,RP!I:I))</f>
        <v/>
      </c>
      <c r="J106" s="35" t="str">
        <f t="shared" si="2"/>
        <v/>
      </c>
      <c r="K106" s="46" t="str">
        <f t="shared" si="3"/>
        <v/>
      </c>
    </row>
    <row r="107" spans="2:11" x14ac:dyDescent="0.3">
      <c r="B107" s="36"/>
      <c r="D107" t="str">
        <f>IF(C107="","",IFERROR(VLOOKUP(C107,GASTOS!B:C,2,0),""))</f>
        <v/>
      </c>
      <c r="F107" s="35"/>
      <c r="G107" s="35"/>
      <c r="I107" s="35" t="str">
        <f>IF(A107="","",SUMIF(RP!D:D,A107,RP!I:I))</f>
        <v/>
      </c>
      <c r="J107" s="35" t="str">
        <f t="shared" si="2"/>
        <v/>
      </c>
      <c r="K107" s="46" t="str">
        <f t="shared" si="3"/>
        <v/>
      </c>
    </row>
    <row r="108" spans="2:11" x14ac:dyDescent="0.3">
      <c r="B108" s="36"/>
      <c r="D108" t="str">
        <f>IF(C108="","",IFERROR(VLOOKUP(C108,GASTOS!B:C,2,0),""))</f>
        <v/>
      </c>
      <c r="F108" s="35"/>
      <c r="G108" s="35"/>
      <c r="I108" s="35" t="str">
        <f>IF(A108="","",SUMIF(RP!D:D,A108,RP!I:I))</f>
        <v/>
      </c>
      <c r="J108" s="35" t="str">
        <f t="shared" si="2"/>
        <v/>
      </c>
      <c r="K108" s="46" t="str">
        <f t="shared" si="3"/>
        <v/>
      </c>
    </row>
    <row r="109" spans="2:11" x14ac:dyDescent="0.3">
      <c r="B109" s="36"/>
      <c r="D109" t="str">
        <f>IF(C109="","",IFERROR(VLOOKUP(C109,GASTOS!B:C,2,0),""))</f>
        <v/>
      </c>
      <c r="F109" s="35"/>
      <c r="G109" s="35"/>
      <c r="I109" s="35" t="str">
        <f>IF(A109="","",SUMIF(RP!D:D,A109,RP!I:I))</f>
        <v/>
      </c>
      <c r="J109" s="35" t="str">
        <f t="shared" si="2"/>
        <v/>
      </c>
      <c r="K109" s="46" t="str">
        <f t="shared" si="3"/>
        <v/>
      </c>
    </row>
    <row r="110" spans="2:11" x14ac:dyDescent="0.3">
      <c r="B110" s="36"/>
      <c r="D110" t="str">
        <f>IF(C110="","",IFERROR(VLOOKUP(C110,GASTOS!B:C,2,0),""))</f>
        <v/>
      </c>
      <c r="F110" s="35"/>
      <c r="G110" s="35"/>
      <c r="I110" s="35" t="str">
        <f>IF(A110="","",SUMIF(RP!D:D,A110,RP!I:I))</f>
        <v/>
      </c>
      <c r="J110" s="35" t="str">
        <f t="shared" si="2"/>
        <v/>
      </c>
      <c r="K110" s="46" t="str">
        <f t="shared" si="3"/>
        <v/>
      </c>
    </row>
    <row r="111" spans="2:11" x14ac:dyDescent="0.3">
      <c r="B111" s="36"/>
      <c r="D111" t="str">
        <f>IF(C111="","",IFERROR(VLOOKUP(C111,GASTOS!B:C,2,0),""))</f>
        <v/>
      </c>
      <c r="F111" s="35"/>
      <c r="G111" s="35"/>
      <c r="I111" s="35" t="str">
        <f>IF(A111="","",SUMIF(RP!D:D,A111,RP!I:I))</f>
        <v/>
      </c>
      <c r="J111" s="35" t="str">
        <f t="shared" si="2"/>
        <v/>
      </c>
      <c r="K111" s="46" t="str">
        <f t="shared" si="3"/>
        <v/>
      </c>
    </row>
    <row r="112" spans="2:11" x14ac:dyDescent="0.3">
      <c r="B112" s="36"/>
      <c r="D112" t="str">
        <f>IF(C112="","",IFERROR(VLOOKUP(C112,GASTOS!B:C,2,0),""))</f>
        <v/>
      </c>
      <c r="F112" s="35"/>
      <c r="G112" s="35"/>
      <c r="I112" s="35" t="str">
        <f>IF(A112="","",SUMIF(RP!D:D,A112,RP!I:I))</f>
        <v/>
      </c>
      <c r="J112" s="35" t="str">
        <f t="shared" si="2"/>
        <v/>
      </c>
      <c r="K112" s="46" t="str">
        <f t="shared" si="3"/>
        <v/>
      </c>
    </row>
    <row r="113" spans="2:11" x14ac:dyDescent="0.3">
      <c r="B113" s="36"/>
      <c r="D113" t="str">
        <f>IF(C113="","",IFERROR(VLOOKUP(C113,GASTOS!B:C,2,0),""))</f>
        <v/>
      </c>
      <c r="F113" s="35"/>
      <c r="G113" s="35"/>
      <c r="I113" s="35" t="str">
        <f>IF(A113="","",SUMIF(RP!D:D,A113,RP!I:I))</f>
        <v/>
      </c>
      <c r="J113" s="35" t="str">
        <f t="shared" si="2"/>
        <v/>
      </c>
      <c r="K113" s="46" t="str">
        <f t="shared" si="3"/>
        <v/>
      </c>
    </row>
    <row r="114" spans="2:11" x14ac:dyDescent="0.3">
      <c r="B114" s="36"/>
      <c r="D114" t="str">
        <f>IF(C114="","",IFERROR(VLOOKUP(C114,GASTOS!B:C,2,0),""))</f>
        <v/>
      </c>
      <c r="F114" s="35"/>
      <c r="G114" s="35"/>
      <c r="I114" s="35" t="str">
        <f>IF(A114="","",SUMIF(RP!D:D,A114,RP!I:I))</f>
        <v/>
      </c>
      <c r="J114" s="35" t="str">
        <f t="shared" si="2"/>
        <v/>
      </c>
      <c r="K114" s="46" t="str">
        <f t="shared" si="3"/>
        <v/>
      </c>
    </row>
    <row r="115" spans="2:11" x14ac:dyDescent="0.3">
      <c r="B115" s="36"/>
      <c r="D115" t="str">
        <f>IF(C115="","",IFERROR(VLOOKUP(C115,GASTOS!B:C,2,0),""))</f>
        <v/>
      </c>
      <c r="F115" s="35"/>
      <c r="G115" s="35"/>
      <c r="I115" s="35" t="str">
        <f>IF(A115="","",SUMIF(RP!D:D,A115,RP!I:I))</f>
        <v/>
      </c>
      <c r="J115" s="35" t="str">
        <f t="shared" si="2"/>
        <v/>
      </c>
      <c r="K115" s="46" t="str">
        <f t="shared" si="3"/>
        <v/>
      </c>
    </row>
    <row r="116" spans="2:11" x14ac:dyDescent="0.3">
      <c r="B116" s="36"/>
      <c r="D116" t="str">
        <f>IF(C116="","",IFERROR(VLOOKUP(C116,GASTOS!B:C,2,0),""))</f>
        <v/>
      </c>
      <c r="F116" s="35"/>
      <c r="G116" s="35"/>
      <c r="I116" s="35" t="str">
        <f>IF(A116="","",SUMIF(RP!D:D,A116,RP!I:I))</f>
        <v/>
      </c>
      <c r="J116" s="35" t="str">
        <f t="shared" si="2"/>
        <v/>
      </c>
      <c r="K116" s="46" t="str">
        <f t="shared" si="3"/>
        <v/>
      </c>
    </row>
    <row r="117" spans="2:11" x14ac:dyDescent="0.3">
      <c r="B117" s="36"/>
      <c r="D117" t="str">
        <f>IF(C117="","",IFERROR(VLOOKUP(C117,GASTOS!B:C,2,0),""))</f>
        <v/>
      </c>
      <c r="F117" s="35"/>
      <c r="G117" s="35"/>
      <c r="I117" s="35" t="str">
        <f>IF(A117="","",SUMIF(RP!D:D,A117,RP!I:I))</f>
        <v/>
      </c>
      <c r="J117" s="35" t="str">
        <f t="shared" si="2"/>
        <v/>
      </c>
      <c r="K117" s="46" t="str">
        <f t="shared" si="3"/>
        <v/>
      </c>
    </row>
    <row r="118" spans="2:11" x14ac:dyDescent="0.3">
      <c r="B118" s="36"/>
      <c r="D118" t="str">
        <f>IF(C118="","",IFERROR(VLOOKUP(C118,GASTOS!B:C,2,0),""))</f>
        <v/>
      </c>
      <c r="F118" s="35"/>
      <c r="G118" s="35"/>
      <c r="I118" s="35" t="str">
        <f>IF(A118="","",SUMIF(RP!D:D,A118,RP!I:I))</f>
        <v/>
      </c>
      <c r="J118" s="35" t="str">
        <f t="shared" si="2"/>
        <v/>
      </c>
      <c r="K118" s="46" t="str">
        <f t="shared" si="3"/>
        <v/>
      </c>
    </row>
    <row r="119" spans="2:11" x14ac:dyDescent="0.3">
      <c r="B119" s="36"/>
      <c r="D119" t="str">
        <f>IF(C119="","",IFERROR(VLOOKUP(C119,GASTOS!B:C,2,0),""))</f>
        <v/>
      </c>
      <c r="F119" s="35"/>
      <c r="G119" s="35"/>
      <c r="I119" s="35" t="str">
        <f>IF(A119="","",SUMIF(RP!D:D,A119,RP!I:I))</f>
        <v/>
      </c>
      <c r="J119" s="35" t="str">
        <f t="shared" si="2"/>
        <v/>
      </c>
      <c r="K119" s="46" t="str">
        <f t="shared" si="3"/>
        <v/>
      </c>
    </row>
    <row r="120" spans="2:11" x14ac:dyDescent="0.3">
      <c r="B120" s="36"/>
      <c r="D120" t="str">
        <f>IF(C120="","",IFERROR(VLOOKUP(C120,GASTOS!B:C,2,0),""))</f>
        <v/>
      </c>
      <c r="F120" s="35"/>
      <c r="G120" s="35"/>
      <c r="I120" s="35" t="str">
        <f>IF(A120="","",SUMIF(RP!D:D,A120,RP!I:I))</f>
        <v/>
      </c>
      <c r="J120" s="35" t="str">
        <f t="shared" si="2"/>
        <v/>
      </c>
      <c r="K120" s="46" t="str">
        <f t="shared" si="3"/>
        <v/>
      </c>
    </row>
    <row r="121" spans="2:11" x14ac:dyDescent="0.3">
      <c r="B121" s="36"/>
      <c r="D121" t="str">
        <f>IF(C121="","",IFERROR(VLOOKUP(C121,GASTOS!B:C,2,0),""))</f>
        <v/>
      </c>
      <c r="F121" s="35"/>
      <c r="G121" s="35"/>
      <c r="I121" s="35" t="str">
        <f>IF(A121="","",SUMIF(RP!D:D,A121,RP!I:I))</f>
        <v/>
      </c>
      <c r="J121" s="35" t="str">
        <f t="shared" si="2"/>
        <v/>
      </c>
      <c r="K121" s="46" t="str">
        <f t="shared" si="3"/>
        <v/>
      </c>
    </row>
    <row r="122" spans="2:11" x14ac:dyDescent="0.3">
      <c r="B122" s="36"/>
      <c r="D122" t="str">
        <f>IF(C122="","",IFERROR(VLOOKUP(C122,GASTOS!B:C,2,0),""))</f>
        <v/>
      </c>
      <c r="F122" s="35"/>
      <c r="G122" s="35"/>
      <c r="I122" s="35" t="str">
        <f>IF(A122="","",SUMIF(RP!D:D,A122,RP!I:I))</f>
        <v/>
      </c>
      <c r="J122" s="35" t="str">
        <f t="shared" si="2"/>
        <v/>
      </c>
      <c r="K122" s="46" t="str">
        <f t="shared" si="3"/>
        <v/>
      </c>
    </row>
    <row r="123" spans="2:11" x14ac:dyDescent="0.3">
      <c r="B123" s="36"/>
      <c r="D123" t="str">
        <f>IF(C123="","",IFERROR(VLOOKUP(C123,GASTOS!B:C,2,0),""))</f>
        <v/>
      </c>
      <c r="F123" s="35"/>
      <c r="G123" s="35"/>
      <c r="I123" s="35" t="str">
        <f>IF(A123="","",SUMIF(RP!D:D,A123,RP!I:I))</f>
        <v/>
      </c>
      <c r="J123" s="35" t="str">
        <f t="shared" si="2"/>
        <v/>
      </c>
      <c r="K123" s="46" t="str">
        <f t="shared" si="3"/>
        <v/>
      </c>
    </row>
    <row r="124" spans="2:11" x14ac:dyDescent="0.3">
      <c r="B124" s="36"/>
      <c r="D124" t="str">
        <f>IF(C124="","",IFERROR(VLOOKUP(C124,GASTOS!B:C,2,0),""))</f>
        <v/>
      </c>
      <c r="F124" s="35"/>
      <c r="G124" s="35"/>
      <c r="I124" s="35" t="str">
        <f>IF(A124="","",SUMIF(RP!D:D,A124,RP!I:I))</f>
        <v/>
      </c>
      <c r="J124" s="35" t="str">
        <f t="shared" si="2"/>
        <v/>
      </c>
      <c r="K124" s="46" t="str">
        <f t="shared" si="3"/>
        <v/>
      </c>
    </row>
    <row r="125" spans="2:11" x14ac:dyDescent="0.3">
      <c r="B125" s="36"/>
      <c r="D125" t="str">
        <f>IF(C125="","",IFERROR(VLOOKUP(C125,GASTOS!B:C,2,0),""))</f>
        <v/>
      </c>
      <c r="F125" s="35"/>
      <c r="G125" s="35"/>
      <c r="I125" s="35" t="str">
        <f>IF(A125="","",SUMIF(RP!D:D,A125,RP!I:I))</f>
        <v/>
      </c>
      <c r="J125" s="35" t="str">
        <f t="shared" si="2"/>
        <v/>
      </c>
      <c r="K125" s="46" t="str">
        <f t="shared" si="3"/>
        <v/>
      </c>
    </row>
    <row r="126" spans="2:11" x14ac:dyDescent="0.3">
      <c r="B126" s="36"/>
      <c r="D126" t="str">
        <f>IF(C126="","",IFERROR(VLOOKUP(C126,GASTOS!B:C,2,0),""))</f>
        <v/>
      </c>
      <c r="F126" s="35"/>
      <c r="G126" s="35"/>
      <c r="I126" s="35" t="str">
        <f>IF(A126="","",SUMIF(RP!D:D,A126,RP!I:I))</f>
        <v/>
      </c>
      <c r="J126" s="35" t="str">
        <f t="shared" si="2"/>
        <v/>
      </c>
      <c r="K126" s="46" t="str">
        <f t="shared" si="3"/>
        <v/>
      </c>
    </row>
    <row r="127" spans="2:11" x14ac:dyDescent="0.3">
      <c r="B127" s="36"/>
      <c r="D127" t="str">
        <f>IF(C127="","",IFERROR(VLOOKUP(C127,GASTOS!B:C,2,0),""))</f>
        <v/>
      </c>
      <c r="F127" s="35"/>
      <c r="G127" s="35"/>
      <c r="I127" s="35" t="str">
        <f>IF(A127="","",SUMIF(RP!D:D,A127,RP!I:I))</f>
        <v/>
      </c>
      <c r="J127" s="35" t="str">
        <f t="shared" si="2"/>
        <v/>
      </c>
      <c r="K127" s="46" t="str">
        <f t="shared" si="3"/>
        <v/>
      </c>
    </row>
    <row r="128" spans="2:11" x14ac:dyDescent="0.3">
      <c r="B128" s="36"/>
      <c r="D128" t="str">
        <f>IF(C128="","",IFERROR(VLOOKUP(C128,GASTOS!B:C,2,0),""))</f>
        <v/>
      </c>
      <c r="F128" s="35"/>
      <c r="G128" s="35"/>
      <c r="I128" s="35" t="str">
        <f>IF(A128="","",SUMIF(RP!D:D,A128,RP!I:I))</f>
        <v/>
      </c>
      <c r="J128" s="35" t="str">
        <f t="shared" si="2"/>
        <v/>
      </c>
      <c r="K128" s="46" t="str">
        <f t="shared" si="3"/>
        <v/>
      </c>
    </row>
    <row r="129" spans="2:11" x14ac:dyDescent="0.3">
      <c r="B129" s="36"/>
      <c r="D129" t="str">
        <f>IF(C129="","",IFERROR(VLOOKUP(C129,GASTOS!B:C,2,0),""))</f>
        <v/>
      </c>
      <c r="F129" s="35"/>
      <c r="G129" s="35"/>
      <c r="I129" s="35" t="str">
        <f>IF(A129="","",SUMIF(RP!D:D,A129,RP!I:I))</f>
        <v/>
      </c>
      <c r="J129" s="35" t="str">
        <f t="shared" si="2"/>
        <v/>
      </c>
      <c r="K129" s="46" t="str">
        <f t="shared" si="3"/>
        <v/>
      </c>
    </row>
    <row r="130" spans="2:11" x14ac:dyDescent="0.3">
      <c r="B130" s="36"/>
      <c r="D130" t="str">
        <f>IF(C130="","",IFERROR(VLOOKUP(C130,GASTOS!B:C,2,0),""))</f>
        <v/>
      </c>
      <c r="F130" s="35"/>
      <c r="G130" s="35"/>
      <c r="I130" s="35" t="str">
        <f>IF(A130="","",SUMIF(RP!D:D,A130,RP!I:I))</f>
        <v/>
      </c>
      <c r="J130" s="35" t="str">
        <f t="shared" ref="J130:J193" si="4">IF(A130="","",F130-I130)</f>
        <v/>
      </c>
      <c r="K130" s="46" t="str">
        <f t="shared" ref="K130:K193" si="5">IF(A130="","",IF(H130="ACTIVO","CDP vigente. Saldo disponible para comprometer en RPs: " &amp; TEXT(J130,"#,##0"),IF(H130="AGOTADO","CDP sin saldo. Valor total utilizado en Registros Presupuestales (RP)",IF(H130="ANULADO","CDP anulado. Valor liberado y devuelto al saldo del rubro",""))))</f>
        <v/>
      </c>
    </row>
    <row r="131" spans="2:11" x14ac:dyDescent="0.3">
      <c r="B131" s="36"/>
      <c r="D131" t="str">
        <f>IF(C131="","",IFERROR(VLOOKUP(C131,GASTOS!B:C,2,0),""))</f>
        <v/>
      </c>
      <c r="F131" s="35"/>
      <c r="G131" s="35"/>
      <c r="I131" s="35" t="str">
        <f>IF(A131="","",SUMIF(RP!D:D,A131,RP!I:I))</f>
        <v/>
      </c>
      <c r="J131" s="35" t="str">
        <f t="shared" si="4"/>
        <v/>
      </c>
      <c r="K131" s="46" t="str">
        <f t="shared" si="5"/>
        <v/>
      </c>
    </row>
    <row r="132" spans="2:11" x14ac:dyDescent="0.3">
      <c r="B132" s="36"/>
      <c r="D132" t="str">
        <f>IF(C132="","",IFERROR(VLOOKUP(C132,GASTOS!B:C,2,0),""))</f>
        <v/>
      </c>
      <c r="F132" s="35"/>
      <c r="G132" s="35"/>
      <c r="I132" s="35" t="str">
        <f>IF(A132="","",SUMIF(RP!D:D,A132,RP!I:I))</f>
        <v/>
      </c>
      <c r="J132" s="35" t="str">
        <f t="shared" si="4"/>
        <v/>
      </c>
      <c r="K132" s="46" t="str">
        <f t="shared" si="5"/>
        <v/>
      </c>
    </row>
    <row r="133" spans="2:11" x14ac:dyDescent="0.3">
      <c r="B133" s="36"/>
      <c r="D133" t="str">
        <f>IF(C133="","",IFERROR(VLOOKUP(C133,GASTOS!B:C,2,0),""))</f>
        <v/>
      </c>
      <c r="F133" s="35"/>
      <c r="G133" s="35"/>
      <c r="I133" s="35" t="str">
        <f>IF(A133="","",SUMIF(RP!D:D,A133,RP!I:I))</f>
        <v/>
      </c>
      <c r="J133" s="35" t="str">
        <f t="shared" si="4"/>
        <v/>
      </c>
      <c r="K133" s="46" t="str">
        <f t="shared" si="5"/>
        <v/>
      </c>
    </row>
    <row r="134" spans="2:11" x14ac:dyDescent="0.3">
      <c r="B134" s="36"/>
      <c r="D134" t="str">
        <f>IF(C134="","",IFERROR(VLOOKUP(C134,GASTOS!B:C,2,0),""))</f>
        <v/>
      </c>
      <c r="F134" s="35"/>
      <c r="G134" s="35"/>
      <c r="I134" s="35" t="str">
        <f>IF(A134="","",SUMIF(RP!D:D,A134,RP!I:I))</f>
        <v/>
      </c>
      <c r="J134" s="35" t="str">
        <f t="shared" si="4"/>
        <v/>
      </c>
      <c r="K134" s="46" t="str">
        <f t="shared" si="5"/>
        <v/>
      </c>
    </row>
    <row r="135" spans="2:11" x14ac:dyDescent="0.3">
      <c r="B135" s="36"/>
      <c r="D135" t="str">
        <f>IF(C135="","",IFERROR(VLOOKUP(C135,GASTOS!B:C,2,0),""))</f>
        <v/>
      </c>
      <c r="F135" s="35"/>
      <c r="G135" s="35"/>
      <c r="I135" s="35" t="str">
        <f>IF(A135="","",SUMIF(RP!D:D,A135,RP!I:I))</f>
        <v/>
      </c>
      <c r="J135" s="35" t="str">
        <f t="shared" si="4"/>
        <v/>
      </c>
      <c r="K135" s="46" t="str">
        <f t="shared" si="5"/>
        <v/>
      </c>
    </row>
    <row r="136" spans="2:11" x14ac:dyDescent="0.3">
      <c r="B136" s="36"/>
      <c r="D136" t="str">
        <f>IF(C136="","",IFERROR(VLOOKUP(C136,GASTOS!B:C,2,0),""))</f>
        <v/>
      </c>
      <c r="F136" s="35"/>
      <c r="G136" s="35"/>
      <c r="I136" s="35" t="str">
        <f>IF(A136="","",SUMIF(RP!D:D,A136,RP!I:I))</f>
        <v/>
      </c>
      <c r="J136" s="35" t="str">
        <f t="shared" si="4"/>
        <v/>
      </c>
      <c r="K136" s="46" t="str">
        <f t="shared" si="5"/>
        <v/>
      </c>
    </row>
    <row r="137" spans="2:11" x14ac:dyDescent="0.3">
      <c r="B137" s="36"/>
      <c r="D137" t="str">
        <f>IF(C137="","",IFERROR(VLOOKUP(C137,GASTOS!B:C,2,0),""))</f>
        <v/>
      </c>
      <c r="F137" s="35"/>
      <c r="G137" s="35"/>
      <c r="I137" s="35" t="str">
        <f>IF(A137="","",SUMIF(RP!D:D,A137,RP!I:I))</f>
        <v/>
      </c>
      <c r="J137" s="35" t="str">
        <f t="shared" si="4"/>
        <v/>
      </c>
      <c r="K137" s="46" t="str">
        <f t="shared" si="5"/>
        <v/>
      </c>
    </row>
    <row r="138" spans="2:11" x14ac:dyDescent="0.3">
      <c r="B138" s="36"/>
      <c r="D138" t="str">
        <f>IF(C138="","",IFERROR(VLOOKUP(C138,GASTOS!B:C,2,0),""))</f>
        <v/>
      </c>
      <c r="F138" s="35"/>
      <c r="G138" s="35"/>
      <c r="I138" s="35" t="str">
        <f>IF(A138="","",SUMIF(RP!D:D,A138,RP!I:I))</f>
        <v/>
      </c>
      <c r="J138" s="35" t="str">
        <f t="shared" si="4"/>
        <v/>
      </c>
      <c r="K138" s="46" t="str">
        <f t="shared" si="5"/>
        <v/>
      </c>
    </row>
    <row r="139" spans="2:11" x14ac:dyDescent="0.3">
      <c r="B139" s="36"/>
      <c r="D139" t="str">
        <f>IF(C139="","",IFERROR(VLOOKUP(C139,GASTOS!B:C,2,0),""))</f>
        <v/>
      </c>
      <c r="F139" s="35"/>
      <c r="G139" s="35"/>
      <c r="I139" s="35" t="str">
        <f>IF(A139="","",SUMIF(RP!D:D,A139,RP!I:I))</f>
        <v/>
      </c>
      <c r="J139" s="35" t="str">
        <f t="shared" si="4"/>
        <v/>
      </c>
      <c r="K139" s="46" t="str">
        <f t="shared" si="5"/>
        <v/>
      </c>
    </row>
    <row r="140" spans="2:11" x14ac:dyDescent="0.3">
      <c r="B140" s="36"/>
      <c r="D140" t="str">
        <f>IF(C140="","",IFERROR(VLOOKUP(C140,GASTOS!B:C,2,0),""))</f>
        <v/>
      </c>
      <c r="F140" s="35"/>
      <c r="G140" s="35"/>
      <c r="I140" s="35" t="str">
        <f>IF(A140="","",SUMIF(RP!D:D,A140,RP!I:I))</f>
        <v/>
      </c>
      <c r="J140" s="35" t="str">
        <f t="shared" si="4"/>
        <v/>
      </c>
      <c r="K140" s="46" t="str">
        <f t="shared" si="5"/>
        <v/>
      </c>
    </row>
    <row r="141" spans="2:11" x14ac:dyDescent="0.3">
      <c r="B141" s="36"/>
      <c r="D141" t="str">
        <f>IF(C141="","",IFERROR(VLOOKUP(C141,GASTOS!B:C,2,0),""))</f>
        <v/>
      </c>
      <c r="F141" s="35"/>
      <c r="G141" s="35"/>
      <c r="I141" s="35" t="str">
        <f>IF(A141="","",SUMIF(RP!D:D,A141,RP!I:I))</f>
        <v/>
      </c>
      <c r="J141" s="35" t="str">
        <f t="shared" si="4"/>
        <v/>
      </c>
      <c r="K141" s="46" t="str">
        <f t="shared" si="5"/>
        <v/>
      </c>
    </row>
    <row r="142" spans="2:11" x14ac:dyDescent="0.3">
      <c r="B142" s="36"/>
      <c r="D142" t="str">
        <f>IF(C142="","",IFERROR(VLOOKUP(C142,GASTOS!B:C,2,0),""))</f>
        <v/>
      </c>
      <c r="F142" s="35"/>
      <c r="G142" s="35"/>
      <c r="I142" s="35" t="str">
        <f>IF(A142="","",SUMIF(RP!D:D,A142,RP!I:I))</f>
        <v/>
      </c>
      <c r="J142" s="35" t="str">
        <f t="shared" si="4"/>
        <v/>
      </c>
      <c r="K142" s="46" t="str">
        <f t="shared" si="5"/>
        <v/>
      </c>
    </row>
    <row r="143" spans="2:11" x14ac:dyDescent="0.3">
      <c r="B143" s="36"/>
      <c r="D143" t="str">
        <f>IF(C143="","",IFERROR(VLOOKUP(C143,GASTOS!B:C,2,0),""))</f>
        <v/>
      </c>
      <c r="F143" s="35"/>
      <c r="G143" s="35"/>
      <c r="I143" s="35" t="str">
        <f>IF(A143="","",SUMIF(RP!D:D,A143,RP!I:I))</f>
        <v/>
      </c>
      <c r="J143" s="35" t="str">
        <f t="shared" si="4"/>
        <v/>
      </c>
      <c r="K143" s="46" t="str">
        <f t="shared" si="5"/>
        <v/>
      </c>
    </row>
    <row r="144" spans="2:11" x14ac:dyDescent="0.3">
      <c r="B144" s="36"/>
      <c r="D144" t="str">
        <f>IF(C144="","",IFERROR(VLOOKUP(C144,GASTOS!B:C,2,0),""))</f>
        <v/>
      </c>
      <c r="F144" s="35"/>
      <c r="G144" s="35"/>
      <c r="I144" s="35" t="str">
        <f>IF(A144="","",SUMIF(RP!D:D,A144,RP!I:I))</f>
        <v/>
      </c>
      <c r="J144" s="35" t="str">
        <f t="shared" si="4"/>
        <v/>
      </c>
      <c r="K144" s="46" t="str">
        <f t="shared" si="5"/>
        <v/>
      </c>
    </row>
    <row r="145" spans="2:11" x14ac:dyDescent="0.3">
      <c r="B145" s="36"/>
      <c r="D145" t="str">
        <f>IF(C145="","",IFERROR(VLOOKUP(C145,GASTOS!B:C,2,0),""))</f>
        <v/>
      </c>
      <c r="F145" s="35"/>
      <c r="G145" s="35"/>
      <c r="I145" s="35" t="str">
        <f>IF(A145="","",SUMIF(RP!D:D,A145,RP!I:I))</f>
        <v/>
      </c>
      <c r="J145" s="35" t="str">
        <f t="shared" si="4"/>
        <v/>
      </c>
      <c r="K145" s="46" t="str">
        <f t="shared" si="5"/>
        <v/>
      </c>
    </row>
    <row r="146" spans="2:11" x14ac:dyDescent="0.3">
      <c r="B146" s="36"/>
      <c r="D146" t="str">
        <f>IF(C146="","",IFERROR(VLOOKUP(C146,GASTOS!B:C,2,0),""))</f>
        <v/>
      </c>
      <c r="F146" s="35"/>
      <c r="G146" s="35"/>
      <c r="I146" s="35" t="str">
        <f>IF(A146="","",SUMIF(RP!D:D,A146,RP!I:I))</f>
        <v/>
      </c>
      <c r="J146" s="35" t="str">
        <f t="shared" si="4"/>
        <v/>
      </c>
      <c r="K146" s="46" t="str">
        <f t="shared" si="5"/>
        <v/>
      </c>
    </row>
    <row r="147" spans="2:11" x14ac:dyDescent="0.3">
      <c r="B147" s="36"/>
      <c r="D147" t="str">
        <f>IF(C147="","",IFERROR(VLOOKUP(C147,GASTOS!B:C,2,0),""))</f>
        <v/>
      </c>
      <c r="F147" s="35"/>
      <c r="G147" s="35"/>
      <c r="I147" s="35" t="str">
        <f>IF(A147="","",SUMIF(RP!D:D,A147,RP!I:I))</f>
        <v/>
      </c>
      <c r="J147" s="35" t="str">
        <f t="shared" si="4"/>
        <v/>
      </c>
      <c r="K147" s="46" t="str">
        <f t="shared" si="5"/>
        <v/>
      </c>
    </row>
    <row r="148" spans="2:11" x14ac:dyDescent="0.3">
      <c r="B148" s="36"/>
      <c r="D148" t="str">
        <f>IF(C148="","",IFERROR(VLOOKUP(C148,GASTOS!B:C,2,0),""))</f>
        <v/>
      </c>
      <c r="F148" s="35"/>
      <c r="G148" s="35"/>
      <c r="I148" s="35" t="str">
        <f>IF(A148="","",SUMIF(RP!D:D,A148,RP!I:I))</f>
        <v/>
      </c>
      <c r="J148" s="35" t="str">
        <f t="shared" si="4"/>
        <v/>
      </c>
      <c r="K148" s="46" t="str">
        <f t="shared" si="5"/>
        <v/>
      </c>
    </row>
    <row r="149" spans="2:11" x14ac:dyDescent="0.3">
      <c r="B149" s="36"/>
      <c r="D149" t="str">
        <f>IF(C149="","",IFERROR(VLOOKUP(C149,GASTOS!B:C,2,0),""))</f>
        <v/>
      </c>
      <c r="F149" s="35"/>
      <c r="G149" s="35"/>
      <c r="I149" s="35" t="str">
        <f>IF(A149="","",SUMIF(RP!D:D,A149,RP!I:I))</f>
        <v/>
      </c>
      <c r="J149" s="35" t="str">
        <f t="shared" si="4"/>
        <v/>
      </c>
      <c r="K149" s="46" t="str">
        <f t="shared" si="5"/>
        <v/>
      </c>
    </row>
    <row r="150" spans="2:11" x14ac:dyDescent="0.3">
      <c r="B150" s="36"/>
      <c r="D150" t="str">
        <f>IF(C150="","",IFERROR(VLOOKUP(C150,GASTOS!B:C,2,0),""))</f>
        <v/>
      </c>
      <c r="F150" s="35"/>
      <c r="G150" s="35"/>
      <c r="I150" s="35" t="str">
        <f>IF(A150="","",SUMIF(RP!D:D,A150,RP!I:I))</f>
        <v/>
      </c>
      <c r="J150" s="35" t="str">
        <f t="shared" si="4"/>
        <v/>
      </c>
      <c r="K150" s="46" t="str">
        <f t="shared" si="5"/>
        <v/>
      </c>
    </row>
    <row r="151" spans="2:11" x14ac:dyDescent="0.3">
      <c r="B151" s="36"/>
      <c r="D151" t="str">
        <f>IF(C151="","",IFERROR(VLOOKUP(C151,GASTOS!B:C,2,0),""))</f>
        <v/>
      </c>
      <c r="F151" s="35"/>
      <c r="G151" s="35"/>
      <c r="I151" s="35" t="str">
        <f>IF(A151="","",SUMIF(RP!D:D,A151,RP!I:I))</f>
        <v/>
      </c>
      <c r="J151" s="35" t="str">
        <f t="shared" si="4"/>
        <v/>
      </c>
      <c r="K151" s="46" t="str">
        <f t="shared" si="5"/>
        <v/>
      </c>
    </row>
    <row r="152" spans="2:11" x14ac:dyDescent="0.3">
      <c r="B152" s="36"/>
      <c r="D152" t="str">
        <f>IF(C152="","",IFERROR(VLOOKUP(C152,GASTOS!B:C,2,0),""))</f>
        <v/>
      </c>
      <c r="F152" s="35"/>
      <c r="G152" s="35"/>
      <c r="I152" s="35" t="str">
        <f>IF(A152="","",SUMIF(RP!D:D,A152,RP!I:I))</f>
        <v/>
      </c>
      <c r="J152" s="35" t="str">
        <f t="shared" si="4"/>
        <v/>
      </c>
      <c r="K152" s="46" t="str">
        <f t="shared" si="5"/>
        <v/>
      </c>
    </row>
    <row r="153" spans="2:11" x14ac:dyDescent="0.3">
      <c r="B153" s="36"/>
      <c r="D153" t="str">
        <f>IF(C153="","",IFERROR(VLOOKUP(C153,GASTOS!B:C,2,0),""))</f>
        <v/>
      </c>
      <c r="F153" s="35"/>
      <c r="G153" s="35"/>
      <c r="I153" s="35" t="str">
        <f>IF(A153="","",SUMIF(RP!D:D,A153,RP!I:I))</f>
        <v/>
      </c>
      <c r="J153" s="35" t="str">
        <f t="shared" si="4"/>
        <v/>
      </c>
      <c r="K153" s="46" t="str">
        <f t="shared" si="5"/>
        <v/>
      </c>
    </row>
    <row r="154" spans="2:11" x14ac:dyDescent="0.3">
      <c r="B154" s="36"/>
      <c r="D154" t="str">
        <f>IF(C154="","",IFERROR(VLOOKUP(C154,GASTOS!B:C,2,0),""))</f>
        <v/>
      </c>
      <c r="F154" s="35"/>
      <c r="G154" s="35"/>
      <c r="I154" s="35" t="str">
        <f>IF(A154="","",SUMIF(RP!D:D,A154,RP!I:I))</f>
        <v/>
      </c>
      <c r="J154" s="35" t="str">
        <f t="shared" si="4"/>
        <v/>
      </c>
      <c r="K154" s="46" t="str">
        <f t="shared" si="5"/>
        <v/>
      </c>
    </row>
    <row r="155" spans="2:11" x14ac:dyDescent="0.3">
      <c r="B155" s="36"/>
      <c r="D155" t="str">
        <f>IF(C155="","",IFERROR(VLOOKUP(C155,GASTOS!B:C,2,0),""))</f>
        <v/>
      </c>
      <c r="F155" s="35"/>
      <c r="G155" s="35"/>
      <c r="I155" s="35" t="str">
        <f>IF(A155="","",SUMIF(RP!D:D,A155,RP!I:I))</f>
        <v/>
      </c>
      <c r="J155" s="35" t="str">
        <f t="shared" si="4"/>
        <v/>
      </c>
      <c r="K155" s="46" t="str">
        <f t="shared" si="5"/>
        <v/>
      </c>
    </row>
    <row r="156" spans="2:11" x14ac:dyDescent="0.3">
      <c r="B156" s="36"/>
      <c r="D156" t="str">
        <f>IF(C156="","",IFERROR(VLOOKUP(C156,GASTOS!B:C,2,0),""))</f>
        <v/>
      </c>
      <c r="F156" s="35"/>
      <c r="G156" s="35"/>
      <c r="I156" s="35" t="str">
        <f>IF(A156="","",SUMIF(RP!D:D,A156,RP!I:I))</f>
        <v/>
      </c>
      <c r="J156" s="35" t="str">
        <f t="shared" si="4"/>
        <v/>
      </c>
      <c r="K156" s="46" t="str">
        <f t="shared" si="5"/>
        <v/>
      </c>
    </row>
    <row r="157" spans="2:11" x14ac:dyDescent="0.3">
      <c r="B157" s="36"/>
      <c r="D157" t="str">
        <f>IF(C157="","",IFERROR(VLOOKUP(C157,GASTOS!B:C,2,0),""))</f>
        <v/>
      </c>
      <c r="F157" s="35"/>
      <c r="G157" s="35"/>
      <c r="I157" s="35" t="str">
        <f>IF(A157="","",SUMIF(RP!D:D,A157,RP!I:I))</f>
        <v/>
      </c>
      <c r="J157" s="35" t="str">
        <f t="shared" si="4"/>
        <v/>
      </c>
      <c r="K157" s="46" t="str">
        <f t="shared" si="5"/>
        <v/>
      </c>
    </row>
    <row r="158" spans="2:11" x14ac:dyDescent="0.3">
      <c r="B158" s="36"/>
      <c r="D158" t="str">
        <f>IF(C158="","",IFERROR(VLOOKUP(C158,GASTOS!B:C,2,0),""))</f>
        <v/>
      </c>
      <c r="F158" s="35"/>
      <c r="G158" s="35"/>
      <c r="I158" s="35" t="str">
        <f>IF(A158="","",SUMIF(RP!D:D,A158,RP!I:I))</f>
        <v/>
      </c>
      <c r="J158" s="35" t="str">
        <f t="shared" si="4"/>
        <v/>
      </c>
      <c r="K158" s="46" t="str">
        <f t="shared" si="5"/>
        <v/>
      </c>
    </row>
    <row r="159" spans="2:11" x14ac:dyDescent="0.3">
      <c r="B159" s="36"/>
      <c r="D159" t="str">
        <f>IF(C159="","",IFERROR(VLOOKUP(C159,GASTOS!B:C,2,0),""))</f>
        <v/>
      </c>
      <c r="F159" s="35"/>
      <c r="G159" s="35"/>
      <c r="I159" s="35" t="str">
        <f>IF(A159="","",SUMIF(RP!D:D,A159,RP!I:I))</f>
        <v/>
      </c>
      <c r="J159" s="35" t="str">
        <f t="shared" si="4"/>
        <v/>
      </c>
      <c r="K159" s="46" t="str">
        <f t="shared" si="5"/>
        <v/>
      </c>
    </row>
    <row r="160" spans="2:11" x14ac:dyDescent="0.3">
      <c r="B160" s="36"/>
      <c r="D160" t="str">
        <f>IF(C160="","",IFERROR(VLOOKUP(C160,GASTOS!B:C,2,0),""))</f>
        <v/>
      </c>
      <c r="F160" s="35"/>
      <c r="G160" s="35"/>
      <c r="I160" s="35" t="str">
        <f>IF(A160="","",SUMIF(RP!D:D,A160,RP!I:I))</f>
        <v/>
      </c>
      <c r="J160" s="35" t="str">
        <f t="shared" si="4"/>
        <v/>
      </c>
      <c r="K160" s="46" t="str">
        <f t="shared" si="5"/>
        <v/>
      </c>
    </row>
    <row r="161" spans="2:11" x14ac:dyDescent="0.3">
      <c r="B161" s="36"/>
      <c r="D161" t="str">
        <f>IF(C161="","",IFERROR(VLOOKUP(C161,GASTOS!B:C,2,0),""))</f>
        <v/>
      </c>
      <c r="F161" s="35"/>
      <c r="G161" s="35"/>
      <c r="I161" s="35" t="str">
        <f>IF(A161="","",SUMIF(RP!D:D,A161,RP!I:I))</f>
        <v/>
      </c>
      <c r="J161" s="35" t="str">
        <f t="shared" si="4"/>
        <v/>
      </c>
      <c r="K161" s="46" t="str">
        <f t="shared" si="5"/>
        <v/>
      </c>
    </row>
    <row r="162" spans="2:11" x14ac:dyDescent="0.3">
      <c r="B162" s="36"/>
      <c r="D162" t="str">
        <f>IF(C162="","",IFERROR(VLOOKUP(C162,GASTOS!B:C,2,0),""))</f>
        <v/>
      </c>
      <c r="F162" s="35"/>
      <c r="G162" s="35"/>
      <c r="I162" s="35" t="str">
        <f>IF(A162="","",SUMIF(RP!D:D,A162,RP!I:I))</f>
        <v/>
      </c>
      <c r="J162" s="35" t="str">
        <f t="shared" si="4"/>
        <v/>
      </c>
      <c r="K162" s="46" t="str">
        <f t="shared" si="5"/>
        <v/>
      </c>
    </row>
    <row r="163" spans="2:11" x14ac:dyDescent="0.3">
      <c r="B163" s="36"/>
      <c r="D163" t="str">
        <f>IF(C163="","",IFERROR(VLOOKUP(C163,GASTOS!B:C,2,0),""))</f>
        <v/>
      </c>
      <c r="F163" s="35"/>
      <c r="G163" s="35"/>
      <c r="I163" s="35" t="str">
        <f>IF(A163="","",SUMIF(RP!D:D,A163,RP!I:I))</f>
        <v/>
      </c>
      <c r="J163" s="35" t="str">
        <f t="shared" si="4"/>
        <v/>
      </c>
      <c r="K163" s="46" t="str">
        <f t="shared" si="5"/>
        <v/>
      </c>
    </row>
    <row r="164" spans="2:11" x14ac:dyDescent="0.3">
      <c r="B164" s="36"/>
      <c r="D164" t="str">
        <f>IF(C164="","",IFERROR(VLOOKUP(C164,GASTOS!B:C,2,0),""))</f>
        <v/>
      </c>
      <c r="F164" s="35"/>
      <c r="G164" s="35"/>
      <c r="I164" s="35" t="str">
        <f>IF(A164="","",SUMIF(RP!D:D,A164,RP!I:I))</f>
        <v/>
      </c>
      <c r="J164" s="35" t="str">
        <f t="shared" si="4"/>
        <v/>
      </c>
      <c r="K164" s="46" t="str">
        <f t="shared" si="5"/>
        <v/>
      </c>
    </row>
    <row r="165" spans="2:11" x14ac:dyDescent="0.3">
      <c r="B165" s="36"/>
      <c r="D165" t="str">
        <f>IF(C165="","",IFERROR(VLOOKUP(C165,GASTOS!B:C,2,0),""))</f>
        <v/>
      </c>
      <c r="F165" s="35"/>
      <c r="G165" s="35"/>
      <c r="I165" s="35" t="str">
        <f>IF(A165="","",SUMIF(RP!D:D,A165,RP!I:I))</f>
        <v/>
      </c>
      <c r="J165" s="35" t="str">
        <f t="shared" si="4"/>
        <v/>
      </c>
      <c r="K165" s="46" t="str">
        <f t="shared" si="5"/>
        <v/>
      </c>
    </row>
    <row r="166" spans="2:11" x14ac:dyDescent="0.3">
      <c r="B166" s="36"/>
      <c r="D166" t="str">
        <f>IF(C166="","",IFERROR(VLOOKUP(C166,GASTOS!B:C,2,0),""))</f>
        <v/>
      </c>
      <c r="F166" s="35"/>
      <c r="G166" s="35"/>
      <c r="I166" s="35" t="str">
        <f>IF(A166="","",SUMIF(RP!D:D,A166,RP!I:I))</f>
        <v/>
      </c>
      <c r="J166" s="35" t="str">
        <f t="shared" si="4"/>
        <v/>
      </c>
      <c r="K166" s="46" t="str">
        <f t="shared" si="5"/>
        <v/>
      </c>
    </row>
    <row r="167" spans="2:11" x14ac:dyDescent="0.3">
      <c r="B167" s="36"/>
      <c r="D167" t="str">
        <f>IF(C167="","",IFERROR(VLOOKUP(C167,GASTOS!B:C,2,0),""))</f>
        <v/>
      </c>
      <c r="F167" s="35"/>
      <c r="G167" s="35"/>
      <c r="I167" s="35" t="str">
        <f>IF(A167="","",SUMIF(RP!D:D,A167,RP!I:I))</f>
        <v/>
      </c>
      <c r="J167" s="35" t="str">
        <f t="shared" si="4"/>
        <v/>
      </c>
      <c r="K167" s="46" t="str">
        <f t="shared" si="5"/>
        <v/>
      </c>
    </row>
    <row r="168" spans="2:11" x14ac:dyDescent="0.3">
      <c r="B168" s="36"/>
      <c r="D168" t="str">
        <f>IF(C168="","",IFERROR(VLOOKUP(C168,GASTOS!B:C,2,0),""))</f>
        <v/>
      </c>
      <c r="F168" s="35"/>
      <c r="G168" s="35"/>
      <c r="I168" s="35" t="str">
        <f>IF(A168="","",SUMIF(RP!D:D,A168,RP!I:I))</f>
        <v/>
      </c>
      <c r="J168" s="35" t="str">
        <f t="shared" si="4"/>
        <v/>
      </c>
      <c r="K168" s="46" t="str">
        <f t="shared" si="5"/>
        <v/>
      </c>
    </row>
    <row r="169" spans="2:11" x14ac:dyDescent="0.3">
      <c r="B169" s="36"/>
      <c r="D169" t="str">
        <f>IF(C169="","",IFERROR(VLOOKUP(C169,GASTOS!B:C,2,0),""))</f>
        <v/>
      </c>
      <c r="F169" s="35"/>
      <c r="G169" s="35"/>
      <c r="I169" s="35" t="str">
        <f>IF(A169="","",SUMIF(RP!D:D,A169,RP!I:I))</f>
        <v/>
      </c>
      <c r="J169" s="35" t="str">
        <f t="shared" si="4"/>
        <v/>
      </c>
      <c r="K169" s="46" t="str">
        <f t="shared" si="5"/>
        <v/>
      </c>
    </row>
    <row r="170" spans="2:11" x14ac:dyDescent="0.3">
      <c r="B170" s="36"/>
      <c r="D170" t="str">
        <f>IF(C170="","",IFERROR(VLOOKUP(C170,GASTOS!B:C,2,0),""))</f>
        <v/>
      </c>
      <c r="F170" s="35"/>
      <c r="G170" s="35"/>
      <c r="I170" s="35" t="str">
        <f>IF(A170="","",SUMIF(RP!D:D,A170,RP!I:I))</f>
        <v/>
      </c>
      <c r="J170" s="35" t="str">
        <f t="shared" si="4"/>
        <v/>
      </c>
      <c r="K170" s="46" t="str">
        <f t="shared" si="5"/>
        <v/>
      </c>
    </row>
    <row r="171" spans="2:11" x14ac:dyDescent="0.3">
      <c r="B171" s="36"/>
      <c r="D171" t="str">
        <f>IF(C171="","",IFERROR(VLOOKUP(C171,GASTOS!B:C,2,0),""))</f>
        <v/>
      </c>
      <c r="F171" s="35"/>
      <c r="G171" s="35"/>
      <c r="I171" s="35" t="str">
        <f>IF(A171="","",SUMIF(RP!D:D,A171,RP!I:I))</f>
        <v/>
      </c>
      <c r="J171" s="35" t="str">
        <f t="shared" si="4"/>
        <v/>
      </c>
      <c r="K171" s="46" t="str">
        <f t="shared" si="5"/>
        <v/>
      </c>
    </row>
    <row r="172" spans="2:11" x14ac:dyDescent="0.3">
      <c r="B172" s="36"/>
      <c r="D172" t="str">
        <f>IF(C172="","",IFERROR(VLOOKUP(C172,GASTOS!B:C,2,0),""))</f>
        <v/>
      </c>
      <c r="F172" s="35"/>
      <c r="G172" s="35"/>
      <c r="I172" s="35" t="str">
        <f>IF(A172="","",SUMIF(RP!D:D,A172,RP!I:I))</f>
        <v/>
      </c>
      <c r="J172" s="35" t="str">
        <f t="shared" si="4"/>
        <v/>
      </c>
      <c r="K172" s="46" t="str">
        <f t="shared" si="5"/>
        <v/>
      </c>
    </row>
    <row r="173" spans="2:11" x14ac:dyDescent="0.3">
      <c r="B173" s="36"/>
      <c r="D173" t="str">
        <f>IF(C173="","",IFERROR(VLOOKUP(C173,GASTOS!B:C,2,0),""))</f>
        <v/>
      </c>
      <c r="F173" s="35"/>
      <c r="G173" s="35"/>
      <c r="I173" s="35" t="str">
        <f>IF(A173="","",SUMIF(RP!D:D,A173,RP!I:I))</f>
        <v/>
      </c>
      <c r="J173" s="35" t="str">
        <f t="shared" si="4"/>
        <v/>
      </c>
      <c r="K173" s="46" t="str">
        <f t="shared" si="5"/>
        <v/>
      </c>
    </row>
    <row r="174" spans="2:11" x14ac:dyDescent="0.3">
      <c r="B174" s="36"/>
      <c r="D174" t="str">
        <f>IF(C174="","",IFERROR(VLOOKUP(C174,GASTOS!B:C,2,0),""))</f>
        <v/>
      </c>
      <c r="F174" s="35"/>
      <c r="G174" s="35"/>
      <c r="I174" s="35" t="str">
        <f>IF(A174="","",SUMIF(RP!D:D,A174,RP!I:I))</f>
        <v/>
      </c>
      <c r="J174" s="35" t="str">
        <f t="shared" si="4"/>
        <v/>
      </c>
      <c r="K174" s="46" t="str">
        <f t="shared" si="5"/>
        <v/>
      </c>
    </row>
    <row r="175" spans="2:11" x14ac:dyDescent="0.3">
      <c r="B175" s="36"/>
      <c r="D175" t="str">
        <f>IF(C175="","",IFERROR(VLOOKUP(C175,GASTOS!B:C,2,0),""))</f>
        <v/>
      </c>
      <c r="F175" s="35"/>
      <c r="G175" s="35"/>
      <c r="I175" s="35" t="str">
        <f>IF(A175="","",SUMIF(RP!D:D,A175,RP!I:I))</f>
        <v/>
      </c>
      <c r="J175" s="35" t="str">
        <f t="shared" si="4"/>
        <v/>
      </c>
      <c r="K175" s="46" t="str">
        <f t="shared" si="5"/>
        <v/>
      </c>
    </row>
    <row r="176" spans="2:11" x14ac:dyDescent="0.3">
      <c r="B176" s="36"/>
      <c r="D176" t="str">
        <f>IF(C176="","",IFERROR(VLOOKUP(C176,GASTOS!B:C,2,0),""))</f>
        <v/>
      </c>
      <c r="F176" s="35"/>
      <c r="G176" s="35"/>
      <c r="I176" s="35" t="str">
        <f>IF(A176="","",SUMIF(RP!D:D,A176,RP!I:I))</f>
        <v/>
      </c>
      <c r="J176" s="35" t="str">
        <f t="shared" si="4"/>
        <v/>
      </c>
      <c r="K176" s="46" t="str">
        <f t="shared" si="5"/>
        <v/>
      </c>
    </row>
    <row r="177" spans="2:11" x14ac:dyDescent="0.3">
      <c r="B177" s="36"/>
      <c r="D177" t="str">
        <f>IF(C177="","",IFERROR(VLOOKUP(C177,GASTOS!B:C,2,0),""))</f>
        <v/>
      </c>
      <c r="F177" s="35"/>
      <c r="G177" s="35"/>
      <c r="I177" s="35" t="str">
        <f>IF(A177="","",SUMIF(RP!D:D,A177,RP!I:I))</f>
        <v/>
      </c>
      <c r="J177" s="35" t="str">
        <f t="shared" si="4"/>
        <v/>
      </c>
      <c r="K177" s="46" t="str">
        <f t="shared" si="5"/>
        <v/>
      </c>
    </row>
    <row r="178" spans="2:11" x14ac:dyDescent="0.3">
      <c r="B178" s="36"/>
      <c r="D178" t="str">
        <f>IF(C178="","",IFERROR(VLOOKUP(C178,GASTOS!B:C,2,0),""))</f>
        <v/>
      </c>
      <c r="F178" s="35"/>
      <c r="G178" s="35"/>
      <c r="I178" s="35" t="str">
        <f>IF(A178="","",SUMIF(RP!D:D,A178,RP!I:I))</f>
        <v/>
      </c>
      <c r="J178" s="35" t="str">
        <f t="shared" si="4"/>
        <v/>
      </c>
      <c r="K178" s="46" t="str">
        <f t="shared" si="5"/>
        <v/>
      </c>
    </row>
    <row r="179" spans="2:11" x14ac:dyDescent="0.3">
      <c r="B179" s="36"/>
      <c r="D179" t="str">
        <f>IF(C179="","",IFERROR(VLOOKUP(C179,GASTOS!B:C,2,0),""))</f>
        <v/>
      </c>
      <c r="F179" s="35"/>
      <c r="G179" s="35"/>
      <c r="I179" s="35" t="str">
        <f>IF(A179="","",SUMIF(RP!D:D,A179,RP!I:I))</f>
        <v/>
      </c>
      <c r="J179" s="35" t="str">
        <f t="shared" si="4"/>
        <v/>
      </c>
      <c r="K179" s="46" t="str">
        <f t="shared" si="5"/>
        <v/>
      </c>
    </row>
    <row r="180" spans="2:11" x14ac:dyDescent="0.3">
      <c r="B180" s="36"/>
      <c r="D180" t="str">
        <f>IF(C180="","",IFERROR(VLOOKUP(C180,GASTOS!B:C,2,0),""))</f>
        <v/>
      </c>
      <c r="F180" s="35"/>
      <c r="G180" s="35"/>
      <c r="I180" s="35" t="str">
        <f>IF(A180="","",SUMIF(RP!D:D,A180,RP!I:I))</f>
        <v/>
      </c>
      <c r="J180" s="35" t="str">
        <f t="shared" si="4"/>
        <v/>
      </c>
      <c r="K180" s="46" t="str">
        <f t="shared" si="5"/>
        <v/>
      </c>
    </row>
    <row r="181" spans="2:11" x14ac:dyDescent="0.3">
      <c r="B181" s="36"/>
      <c r="D181" t="str">
        <f>IF(C181="","",IFERROR(VLOOKUP(C181,GASTOS!B:C,2,0),""))</f>
        <v/>
      </c>
      <c r="F181" s="35"/>
      <c r="G181" s="35"/>
      <c r="I181" s="35" t="str">
        <f>IF(A181="","",SUMIF(RP!D:D,A181,RP!I:I))</f>
        <v/>
      </c>
      <c r="J181" s="35" t="str">
        <f t="shared" si="4"/>
        <v/>
      </c>
      <c r="K181" s="46" t="str">
        <f t="shared" si="5"/>
        <v/>
      </c>
    </row>
    <row r="182" spans="2:11" x14ac:dyDescent="0.3">
      <c r="B182" s="36"/>
      <c r="D182" t="str">
        <f>IF(C182="","",IFERROR(VLOOKUP(C182,GASTOS!B:C,2,0),""))</f>
        <v/>
      </c>
      <c r="F182" s="35"/>
      <c r="G182" s="35"/>
      <c r="I182" s="35" t="str">
        <f>IF(A182="","",SUMIF(RP!D:D,A182,RP!I:I))</f>
        <v/>
      </c>
      <c r="J182" s="35" t="str">
        <f t="shared" si="4"/>
        <v/>
      </c>
      <c r="K182" s="46" t="str">
        <f t="shared" si="5"/>
        <v/>
      </c>
    </row>
    <row r="183" spans="2:11" x14ac:dyDescent="0.3">
      <c r="B183" s="36"/>
      <c r="D183" t="str">
        <f>IF(C183="","",IFERROR(VLOOKUP(C183,GASTOS!B:C,2,0),""))</f>
        <v/>
      </c>
      <c r="F183" s="35"/>
      <c r="G183" s="35"/>
      <c r="I183" s="35" t="str">
        <f>IF(A183="","",SUMIF(RP!D:D,A183,RP!I:I))</f>
        <v/>
      </c>
      <c r="J183" s="35" t="str">
        <f t="shared" si="4"/>
        <v/>
      </c>
      <c r="K183" s="46" t="str">
        <f t="shared" si="5"/>
        <v/>
      </c>
    </row>
    <row r="184" spans="2:11" x14ac:dyDescent="0.3">
      <c r="B184" s="36"/>
      <c r="D184" t="str">
        <f>IF(C184="","",IFERROR(VLOOKUP(C184,GASTOS!B:C,2,0),""))</f>
        <v/>
      </c>
      <c r="F184" s="35"/>
      <c r="G184" s="35"/>
      <c r="I184" s="35" t="str">
        <f>IF(A184="","",SUMIF(RP!D:D,A184,RP!I:I))</f>
        <v/>
      </c>
      <c r="J184" s="35" t="str">
        <f t="shared" si="4"/>
        <v/>
      </c>
      <c r="K184" s="46" t="str">
        <f t="shared" si="5"/>
        <v/>
      </c>
    </row>
    <row r="185" spans="2:11" x14ac:dyDescent="0.3">
      <c r="B185" s="36"/>
      <c r="D185" t="str">
        <f>IF(C185="","",IFERROR(VLOOKUP(C185,GASTOS!B:C,2,0),""))</f>
        <v/>
      </c>
      <c r="F185" s="35"/>
      <c r="G185" s="35"/>
      <c r="I185" s="35" t="str">
        <f>IF(A185="","",SUMIF(RP!D:D,A185,RP!I:I))</f>
        <v/>
      </c>
      <c r="J185" s="35" t="str">
        <f t="shared" si="4"/>
        <v/>
      </c>
      <c r="K185" s="46" t="str">
        <f t="shared" si="5"/>
        <v/>
      </c>
    </row>
    <row r="186" spans="2:11" x14ac:dyDescent="0.3">
      <c r="B186" s="36"/>
      <c r="D186" t="str">
        <f>IF(C186="","",IFERROR(VLOOKUP(C186,GASTOS!B:C,2,0),""))</f>
        <v/>
      </c>
      <c r="F186" s="35"/>
      <c r="G186" s="35"/>
      <c r="I186" s="35" t="str">
        <f>IF(A186="","",SUMIF(RP!D:D,A186,RP!I:I))</f>
        <v/>
      </c>
      <c r="J186" s="35" t="str">
        <f t="shared" si="4"/>
        <v/>
      </c>
      <c r="K186" s="46" t="str">
        <f t="shared" si="5"/>
        <v/>
      </c>
    </row>
    <row r="187" spans="2:11" x14ac:dyDescent="0.3">
      <c r="B187" s="36"/>
      <c r="D187" t="str">
        <f>IF(C187="","",IFERROR(VLOOKUP(C187,GASTOS!B:C,2,0),""))</f>
        <v/>
      </c>
      <c r="F187" s="35"/>
      <c r="G187" s="35"/>
      <c r="I187" s="35" t="str">
        <f>IF(A187="","",SUMIF(RP!D:D,A187,RP!I:I))</f>
        <v/>
      </c>
      <c r="J187" s="35" t="str">
        <f t="shared" si="4"/>
        <v/>
      </c>
      <c r="K187" s="46" t="str">
        <f t="shared" si="5"/>
        <v/>
      </c>
    </row>
    <row r="188" spans="2:11" x14ac:dyDescent="0.3">
      <c r="B188" s="36"/>
      <c r="D188" t="str">
        <f>IF(C188="","",IFERROR(VLOOKUP(C188,GASTOS!B:C,2,0),""))</f>
        <v/>
      </c>
      <c r="F188" s="35"/>
      <c r="G188" s="35"/>
      <c r="I188" s="35" t="str">
        <f>IF(A188="","",SUMIF(RP!D:D,A188,RP!I:I))</f>
        <v/>
      </c>
      <c r="J188" s="35" t="str">
        <f t="shared" si="4"/>
        <v/>
      </c>
      <c r="K188" s="46" t="str">
        <f t="shared" si="5"/>
        <v/>
      </c>
    </row>
    <row r="189" spans="2:11" x14ac:dyDescent="0.3">
      <c r="B189" s="36"/>
      <c r="D189" t="str">
        <f>IF(C189="","",IFERROR(VLOOKUP(C189,GASTOS!B:C,2,0),""))</f>
        <v/>
      </c>
      <c r="F189" s="35"/>
      <c r="G189" s="35"/>
      <c r="I189" s="35" t="str">
        <f>IF(A189="","",SUMIF(RP!D:D,A189,RP!I:I))</f>
        <v/>
      </c>
      <c r="J189" s="35" t="str">
        <f t="shared" si="4"/>
        <v/>
      </c>
      <c r="K189" s="46" t="str">
        <f t="shared" si="5"/>
        <v/>
      </c>
    </row>
    <row r="190" spans="2:11" x14ac:dyDescent="0.3">
      <c r="B190" s="36"/>
      <c r="D190" t="str">
        <f>IF(C190="","",IFERROR(VLOOKUP(C190,GASTOS!B:C,2,0),""))</f>
        <v/>
      </c>
      <c r="F190" s="35"/>
      <c r="G190" s="35"/>
      <c r="I190" s="35" t="str">
        <f>IF(A190="","",SUMIF(RP!D:D,A190,RP!I:I))</f>
        <v/>
      </c>
      <c r="J190" s="35" t="str">
        <f t="shared" si="4"/>
        <v/>
      </c>
      <c r="K190" s="46" t="str">
        <f t="shared" si="5"/>
        <v/>
      </c>
    </row>
    <row r="191" spans="2:11" x14ac:dyDescent="0.3">
      <c r="B191" s="36"/>
      <c r="D191" t="str">
        <f>IF(C191="","",IFERROR(VLOOKUP(C191,GASTOS!B:C,2,0),""))</f>
        <v/>
      </c>
      <c r="F191" s="35"/>
      <c r="G191" s="35"/>
      <c r="I191" s="35" t="str">
        <f>IF(A191="","",SUMIF(RP!D:D,A191,RP!I:I))</f>
        <v/>
      </c>
      <c r="J191" s="35" t="str">
        <f t="shared" si="4"/>
        <v/>
      </c>
      <c r="K191" s="46" t="str">
        <f t="shared" si="5"/>
        <v/>
      </c>
    </row>
    <row r="192" spans="2:11" x14ac:dyDescent="0.3">
      <c r="B192" s="36"/>
      <c r="D192" t="str">
        <f>IF(C192="","",IFERROR(VLOOKUP(C192,GASTOS!B:C,2,0),""))</f>
        <v/>
      </c>
      <c r="F192" s="35"/>
      <c r="G192" s="35"/>
      <c r="I192" s="35" t="str">
        <f>IF(A192="","",SUMIF(RP!D:D,A192,RP!I:I))</f>
        <v/>
      </c>
      <c r="J192" s="35" t="str">
        <f t="shared" si="4"/>
        <v/>
      </c>
      <c r="K192" s="46" t="str">
        <f t="shared" si="5"/>
        <v/>
      </c>
    </row>
    <row r="193" spans="2:11" x14ac:dyDescent="0.3">
      <c r="B193" s="36"/>
      <c r="D193" t="str">
        <f>IF(C193="","",IFERROR(VLOOKUP(C193,GASTOS!B:C,2,0),""))</f>
        <v/>
      </c>
      <c r="F193" s="35"/>
      <c r="G193" s="35"/>
      <c r="I193" s="35" t="str">
        <f>IF(A193="","",SUMIF(RP!D:D,A193,RP!I:I))</f>
        <v/>
      </c>
      <c r="J193" s="35" t="str">
        <f t="shared" si="4"/>
        <v/>
      </c>
      <c r="K193" s="46" t="str">
        <f t="shared" si="5"/>
        <v/>
      </c>
    </row>
    <row r="194" spans="2:11" x14ac:dyDescent="0.3">
      <c r="B194" s="36"/>
      <c r="D194" t="str">
        <f>IF(C194="","",IFERROR(VLOOKUP(C194,GASTOS!B:C,2,0),""))</f>
        <v/>
      </c>
      <c r="F194" s="35"/>
      <c r="G194" s="35"/>
      <c r="I194" s="35" t="str">
        <f>IF(A194="","",SUMIF(RP!D:D,A194,RP!I:I))</f>
        <v/>
      </c>
      <c r="J194" s="35" t="str">
        <f t="shared" ref="J194:J257" si="6">IF(A194="","",F194-I194)</f>
        <v/>
      </c>
      <c r="K194" s="46" t="str">
        <f t="shared" ref="K194:K257" si="7">IF(A194="","",IF(H194="ACTIVO","CDP vigente. Saldo disponible para comprometer en RPs: " &amp; TEXT(J194,"#,##0"),IF(H194="AGOTADO","CDP sin saldo. Valor total utilizado en Registros Presupuestales (RP)",IF(H194="ANULADO","CDP anulado. Valor liberado y devuelto al saldo del rubro",""))))</f>
        <v/>
      </c>
    </row>
    <row r="195" spans="2:11" x14ac:dyDescent="0.3">
      <c r="B195" s="36"/>
      <c r="D195" t="str">
        <f>IF(C195="","",IFERROR(VLOOKUP(C195,GASTOS!B:C,2,0),""))</f>
        <v/>
      </c>
      <c r="F195" s="35"/>
      <c r="G195" s="35"/>
      <c r="I195" s="35" t="str">
        <f>IF(A195="","",SUMIF(RP!D:D,A195,RP!I:I))</f>
        <v/>
      </c>
      <c r="J195" s="35" t="str">
        <f t="shared" si="6"/>
        <v/>
      </c>
      <c r="K195" s="46" t="str">
        <f t="shared" si="7"/>
        <v/>
      </c>
    </row>
    <row r="196" spans="2:11" x14ac:dyDescent="0.3">
      <c r="B196" s="36"/>
      <c r="D196" t="str">
        <f>IF(C196="","",IFERROR(VLOOKUP(C196,GASTOS!B:C,2,0),""))</f>
        <v/>
      </c>
      <c r="F196" s="35"/>
      <c r="G196" s="35"/>
      <c r="I196" s="35" t="str">
        <f>IF(A196="","",SUMIF(RP!D:D,A196,RP!I:I))</f>
        <v/>
      </c>
      <c r="J196" s="35" t="str">
        <f t="shared" si="6"/>
        <v/>
      </c>
      <c r="K196" s="46" t="str">
        <f t="shared" si="7"/>
        <v/>
      </c>
    </row>
    <row r="197" spans="2:11" x14ac:dyDescent="0.3">
      <c r="B197" s="36"/>
      <c r="D197" t="str">
        <f>IF(C197="","",IFERROR(VLOOKUP(C197,GASTOS!B:C,2,0),""))</f>
        <v/>
      </c>
      <c r="F197" s="35"/>
      <c r="G197" s="35"/>
      <c r="I197" s="35" t="str">
        <f>IF(A197="","",SUMIF(RP!D:D,A197,RP!I:I))</f>
        <v/>
      </c>
      <c r="J197" s="35" t="str">
        <f t="shared" si="6"/>
        <v/>
      </c>
      <c r="K197" s="46" t="str">
        <f t="shared" si="7"/>
        <v/>
      </c>
    </row>
    <row r="198" spans="2:11" x14ac:dyDescent="0.3">
      <c r="B198" s="36"/>
      <c r="D198" t="str">
        <f>IF(C198="","",IFERROR(VLOOKUP(C198,GASTOS!B:C,2,0),""))</f>
        <v/>
      </c>
      <c r="F198" s="35"/>
      <c r="G198" s="35"/>
      <c r="I198" s="35" t="str">
        <f>IF(A198="","",SUMIF(RP!D:D,A198,RP!I:I))</f>
        <v/>
      </c>
      <c r="J198" s="35" t="str">
        <f t="shared" si="6"/>
        <v/>
      </c>
      <c r="K198" s="46" t="str">
        <f t="shared" si="7"/>
        <v/>
      </c>
    </row>
    <row r="199" spans="2:11" x14ac:dyDescent="0.3">
      <c r="B199" s="36"/>
      <c r="D199" t="str">
        <f>IF(C199="","",IFERROR(VLOOKUP(C199,GASTOS!B:C,2,0),""))</f>
        <v/>
      </c>
      <c r="F199" s="35"/>
      <c r="G199" s="35"/>
      <c r="I199" s="35" t="str">
        <f>IF(A199="","",SUMIF(RP!D:D,A199,RP!I:I))</f>
        <v/>
      </c>
      <c r="J199" s="35" t="str">
        <f t="shared" si="6"/>
        <v/>
      </c>
      <c r="K199" s="46" t="str">
        <f t="shared" si="7"/>
        <v/>
      </c>
    </row>
    <row r="200" spans="2:11" x14ac:dyDescent="0.3">
      <c r="B200" s="36"/>
      <c r="D200" t="str">
        <f>IF(C200="","",IFERROR(VLOOKUP(C200,GASTOS!B:C,2,0),""))</f>
        <v/>
      </c>
      <c r="F200" s="35"/>
      <c r="G200" s="35"/>
      <c r="I200" s="35" t="str">
        <f>IF(A200="","",SUMIF(RP!D:D,A200,RP!I:I))</f>
        <v/>
      </c>
      <c r="J200" s="35" t="str">
        <f t="shared" si="6"/>
        <v/>
      </c>
      <c r="K200" s="46" t="str">
        <f t="shared" si="7"/>
        <v/>
      </c>
    </row>
    <row r="201" spans="2:11" x14ac:dyDescent="0.3">
      <c r="B201" s="36"/>
      <c r="D201" t="str">
        <f>IF(C201="","",IFERROR(VLOOKUP(C201,GASTOS!B:C,2,0),""))</f>
        <v/>
      </c>
      <c r="F201" s="35"/>
      <c r="G201" s="35"/>
      <c r="I201" s="35" t="str">
        <f>IF(A201="","",SUMIF(RP!D:D,A201,RP!I:I))</f>
        <v/>
      </c>
      <c r="J201" s="35" t="str">
        <f t="shared" si="6"/>
        <v/>
      </c>
      <c r="K201" s="46" t="str">
        <f t="shared" si="7"/>
        <v/>
      </c>
    </row>
    <row r="202" spans="2:11" x14ac:dyDescent="0.3">
      <c r="B202" s="36"/>
      <c r="D202" t="str">
        <f>IF(C202="","",IFERROR(VLOOKUP(C202,GASTOS!B:C,2,0),""))</f>
        <v/>
      </c>
      <c r="F202" s="35"/>
      <c r="G202" s="35"/>
      <c r="I202" s="35" t="str">
        <f>IF(A202="","",SUMIF(RP!D:D,A202,RP!I:I))</f>
        <v/>
      </c>
      <c r="J202" s="35" t="str">
        <f t="shared" si="6"/>
        <v/>
      </c>
      <c r="K202" s="46" t="str">
        <f t="shared" si="7"/>
        <v/>
      </c>
    </row>
    <row r="203" spans="2:11" x14ac:dyDescent="0.3">
      <c r="B203" s="36"/>
      <c r="D203" t="str">
        <f>IF(C203="","",IFERROR(VLOOKUP(C203,GASTOS!B:C,2,0),""))</f>
        <v/>
      </c>
      <c r="F203" s="35"/>
      <c r="G203" s="35"/>
      <c r="I203" s="35" t="str">
        <f>IF(A203="","",SUMIF(RP!D:D,A203,RP!I:I))</f>
        <v/>
      </c>
      <c r="J203" s="35" t="str">
        <f t="shared" si="6"/>
        <v/>
      </c>
      <c r="K203" s="46" t="str">
        <f t="shared" si="7"/>
        <v/>
      </c>
    </row>
    <row r="204" spans="2:11" x14ac:dyDescent="0.3">
      <c r="B204" s="36"/>
      <c r="D204" t="str">
        <f>IF(C204="","",IFERROR(VLOOKUP(C204,GASTOS!B:C,2,0),""))</f>
        <v/>
      </c>
      <c r="F204" s="35"/>
      <c r="G204" s="35"/>
      <c r="I204" s="35" t="str">
        <f>IF(A204="","",SUMIF(RP!D:D,A204,RP!I:I))</f>
        <v/>
      </c>
      <c r="J204" s="35" t="str">
        <f t="shared" si="6"/>
        <v/>
      </c>
      <c r="K204" s="46" t="str">
        <f t="shared" si="7"/>
        <v/>
      </c>
    </row>
    <row r="205" spans="2:11" x14ac:dyDescent="0.3">
      <c r="B205" s="36"/>
      <c r="D205" t="str">
        <f>IF(C205="","",IFERROR(VLOOKUP(C205,GASTOS!B:C,2,0),""))</f>
        <v/>
      </c>
      <c r="F205" s="35"/>
      <c r="G205" s="35"/>
      <c r="I205" s="35" t="str">
        <f>IF(A205="","",SUMIF(RP!D:D,A205,RP!I:I))</f>
        <v/>
      </c>
      <c r="J205" s="35" t="str">
        <f t="shared" si="6"/>
        <v/>
      </c>
      <c r="K205" s="46" t="str">
        <f t="shared" si="7"/>
        <v/>
      </c>
    </row>
    <row r="206" spans="2:11" x14ac:dyDescent="0.3">
      <c r="B206" s="36"/>
      <c r="D206" t="str">
        <f>IF(C206="","",IFERROR(VLOOKUP(C206,GASTOS!B:C,2,0),""))</f>
        <v/>
      </c>
      <c r="F206" s="35"/>
      <c r="G206" s="35"/>
      <c r="I206" s="35" t="str">
        <f>IF(A206="","",SUMIF(RP!D:D,A206,RP!I:I))</f>
        <v/>
      </c>
      <c r="J206" s="35" t="str">
        <f t="shared" si="6"/>
        <v/>
      </c>
      <c r="K206" s="46" t="str">
        <f t="shared" si="7"/>
        <v/>
      </c>
    </row>
    <row r="207" spans="2:11" x14ac:dyDescent="0.3">
      <c r="B207" s="36"/>
      <c r="D207" t="str">
        <f>IF(C207="","",IFERROR(VLOOKUP(C207,GASTOS!B:C,2,0),""))</f>
        <v/>
      </c>
      <c r="F207" s="35"/>
      <c r="G207" s="35"/>
      <c r="I207" s="35" t="str">
        <f>IF(A207="","",SUMIF(RP!D:D,A207,RP!I:I))</f>
        <v/>
      </c>
      <c r="J207" s="35" t="str">
        <f t="shared" si="6"/>
        <v/>
      </c>
      <c r="K207" s="46" t="str">
        <f t="shared" si="7"/>
        <v/>
      </c>
    </row>
    <row r="208" spans="2:11" x14ac:dyDescent="0.3">
      <c r="B208" s="36"/>
      <c r="D208" t="str">
        <f>IF(C208="","",IFERROR(VLOOKUP(C208,GASTOS!B:C,2,0),""))</f>
        <v/>
      </c>
      <c r="F208" s="35"/>
      <c r="G208" s="35"/>
      <c r="I208" s="35" t="str">
        <f>IF(A208="","",SUMIF(RP!D:D,A208,RP!I:I))</f>
        <v/>
      </c>
      <c r="J208" s="35" t="str">
        <f t="shared" si="6"/>
        <v/>
      </c>
      <c r="K208" s="46" t="str">
        <f t="shared" si="7"/>
        <v/>
      </c>
    </row>
    <row r="209" spans="2:11" x14ac:dyDescent="0.3">
      <c r="B209" s="36"/>
      <c r="D209" t="str">
        <f>IF(C209="","",IFERROR(VLOOKUP(C209,GASTOS!B:C,2,0),""))</f>
        <v/>
      </c>
      <c r="F209" s="35"/>
      <c r="G209" s="35"/>
      <c r="I209" s="35" t="str">
        <f>IF(A209="","",SUMIF(RP!D:D,A209,RP!I:I))</f>
        <v/>
      </c>
      <c r="J209" s="35" t="str">
        <f t="shared" si="6"/>
        <v/>
      </c>
      <c r="K209" s="46" t="str">
        <f t="shared" si="7"/>
        <v/>
      </c>
    </row>
    <row r="210" spans="2:11" x14ac:dyDescent="0.3">
      <c r="B210" s="36"/>
      <c r="D210" t="str">
        <f>IF(C210="","",IFERROR(VLOOKUP(C210,GASTOS!B:C,2,0),""))</f>
        <v/>
      </c>
      <c r="F210" s="35"/>
      <c r="G210" s="35"/>
      <c r="I210" s="35" t="str">
        <f>IF(A210="","",SUMIF(RP!D:D,A210,RP!I:I))</f>
        <v/>
      </c>
      <c r="J210" s="35" t="str">
        <f t="shared" si="6"/>
        <v/>
      </c>
      <c r="K210" s="46" t="str">
        <f t="shared" si="7"/>
        <v/>
      </c>
    </row>
    <row r="211" spans="2:11" x14ac:dyDescent="0.3">
      <c r="B211" s="36"/>
      <c r="D211" t="str">
        <f>IF(C211="","",IFERROR(VLOOKUP(C211,GASTOS!B:C,2,0),""))</f>
        <v/>
      </c>
      <c r="F211" s="35"/>
      <c r="G211" s="35"/>
      <c r="I211" s="35" t="str">
        <f>IF(A211="","",SUMIF(RP!D:D,A211,RP!I:I))</f>
        <v/>
      </c>
      <c r="J211" s="35" t="str">
        <f t="shared" si="6"/>
        <v/>
      </c>
      <c r="K211" s="46" t="str">
        <f t="shared" si="7"/>
        <v/>
      </c>
    </row>
    <row r="212" spans="2:11" x14ac:dyDescent="0.3">
      <c r="B212" s="36"/>
      <c r="D212" t="str">
        <f>IF(C212="","",IFERROR(VLOOKUP(C212,GASTOS!B:C,2,0),""))</f>
        <v/>
      </c>
      <c r="F212" s="35"/>
      <c r="G212" s="35"/>
      <c r="I212" s="35" t="str">
        <f>IF(A212="","",SUMIF(RP!D:D,A212,RP!I:I))</f>
        <v/>
      </c>
      <c r="J212" s="35" t="str">
        <f t="shared" si="6"/>
        <v/>
      </c>
      <c r="K212" s="46" t="str">
        <f t="shared" si="7"/>
        <v/>
      </c>
    </row>
    <row r="213" spans="2:11" x14ac:dyDescent="0.3">
      <c r="B213" s="36"/>
      <c r="D213" t="str">
        <f>IF(C213="","",IFERROR(VLOOKUP(C213,GASTOS!B:C,2,0),""))</f>
        <v/>
      </c>
      <c r="F213" s="35"/>
      <c r="G213" s="35"/>
      <c r="I213" s="35" t="str">
        <f>IF(A213="","",SUMIF(RP!D:D,A213,RP!I:I))</f>
        <v/>
      </c>
      <c r="J213" s="35" t="str">
        <f t="shared" si="6"/>
        <v/>
      </c>
      <c r="K213" s="46" t="str">
        <f t="shared" si="7"/>
        <v/>
      </c>
    </row>
    <row r="214" spans="2:11" x14ac:dyDescent="0.3">
      <c r="B214" s="36"/>
      <c r="D214" t="str">
        <f>IF(C214="","",IFERROR(VLOOKUP(C214,GASTOS!B:C,2,0),""))</f>
        <v/>
      </c>
      <c r="F214" s="35"/>
      <c r="G214" s="35"/>
      <c r="I214" s="35" t="str">
        <f>IF(A214="","",SUMIF(RP!D:D,A214,RP!I:I))</f>
        <v/>
      </c>
      <c r="J214" s="35" t="str">
        <f t="shared" si="6"/>
        <v/>
      </c>
      <c r="K214" s="46" t="str">
        <f t="shared" si="7"/>
        <v/>
      </c>
    </row>
    <row r="215" spans="2:11" x14ac:dyDescent="0.3">
      <c r="B215" s="36"/>
      <c r="D215" t="str">
        <f>IF(C215="","",IFERROR(VLOOKUP(C215,GASTOS!B:C,2,0),""))</f>
        <v/>
      </c>
      <c r="F215" s="35"/>
      <c r="G215" s="35"/>
      <c r="I215" s="35" t="str">
        <f>IF(A215="","",SUMIF(RP!D:D,A215,RP!I:I))</f>
        <v/>
      </c>
      <c r="J215" s="35" t="str">
        <f t="shared" si="6"/>
        <v/>
      </c>
      <c r="K215" s="46" t="str">
        <f t="shared" si="7"/>
        <v/>
      </c>
    </row>
    <row r="216" spans="2:11" x14ac:dyDescent="0.3">
      <c r="B216" s="36"/>
      <c r="D216" t="str">
        <f>IF(C216="","",IFERROR(VLOOKUP(C216,GASTOS!B:C,2,0),""))</f>
        <v/>
      </c>
      <c r="F216" s="35"/>
      <c r="G216" s="35"/>
      <c r="I216" s="35" t="str">
        <f>IF(A216="","",SUMIF(RP!D:D,A216,RP!I:I))</f>
        <v/>
      </c>
      <c r="J216" s="35" t="str">
        <f t="shared" si="6"/>
        <v/>
      </c>
      <c r="K216" s="46" t="str">
        <f t="shared" si="7"/>
        <v/>
      </c>
    </row>
    <row r="217" spans="2:11" x14ac:dyDescent="0.3">
      <c r="B217" s="36"/>
      <c r="D217" t="str">
        <f>IF(C217="","",IFERROR(VLOOKUP(C217,GASTOS!B:C,2,0),""))</f>
        <v/>
      </c>
      <c r="F217" s="35"/>
      <c r="G217" s="35"/>
      <c r="I217" s="35" t="str">
        <f>IF(A217="","",SUMIF(RP!D:D,A217,RP!I:I))</f>
        <v/>
      </c>
      <c r="J217" s="35" t="str">
        <f t="shared" si="6"/>
        <v/>
      </c>
      <c r="K217" s="46" t="str">
        <f t="shared" si="7"/>
        <v/>
      </c>
    </row>
    <row r="218" spans="2:11" x14ac:dyDescent="0.3">
      <c r="B218" s="36"/>
      <c r="D218" t="str">
        <f>IF(C218="","",IFERROR(VLOOKUP(C218,GASTOS!B:C,2,0),""))</f>
        <v/>
      </c>
      <c r="F218" s="35"/>
      <c r="G218" s="35"/>
      <c r="I218" s="35" t="str">
        <f>IF(A218="","",SUMIF(RP!D:D,A218,RP!I:I))</f>
        <v/>
      </c>
      <c r="J218" s="35" t="str">
        <f t="shared" si="6"/>
        <v/>
      </c>
      <c r="K218" s="46" t="str">
        <f t="shared" si="7"/>
        <v/>
      </c>
    </row>
    <row r="219" spans="2:11" x14ac:dyDescent="0.3">
      <c r="B219" s="36"/>
      <c r="D219" t="str">
        <f>IF(C219="","",IFERROR(VLOOKUP(C219,GASTOS!B:C,2,0),""))</f>
        <v/>
      </c>
      <c r="F219" s="35"/>
      <c r="G219" s="35"/>
      <c r="I219" s="35" t="str">
        <f>IF(A219="","",SUMIF(RP!D:D,A219,RP!I:I))</f>
        <v/>
      </c>
      <c r="J219" s="35" t="str">
        <f t="shared" si="6"/>
        <v/>
      </c>
      <c r="K219" s="46" t="str">
        <f t="shared" si="7"/>
        <v/>
      </c>
    </row>
    <row r="220" spans="2:11" x14ac:dyDescent="0.3">
      <c r="B220" s="36"/>
      <c r="D220" t="str">
        <f>IF(C220="","",IFERROR(VLOOKUP(C220,GASTOS!B:C,2,0),""))</f>
        <v/>
      </c>
      <c r="F220" s="35"/>
      <c r="G220" s="35"/>
      <c r="I220" s="35" t="str">
        <f>IF(A220="","",SUMIF(RP!D:D,A220,RP!I:I))</f>
        <v/>
      </c>
      <c r="J220" s="35" t="str">
        <f t="shared" si="6"/>
        <v/>
      </c>
      <c r="K220" s="46" t="str">
        <f t="shared" si="7"/>
        <v/>
      </c>
    </row>
    <row r="221" spans="2:11" x14ac:dyDescent="0.3">
      <c r="B221" s="36"/>
      <c r="D221" t="str">
        <f>IF(C221="","",IFERROR(VLOOKUP(C221,GASTOS!B:C,2,0),""))</f>
        <v/>
      </c>
      <c r="F221" s="35"/>
      <c r="G221" s="35"/>
      <c r="I221" s="35" t="str">
        <f>IF(A221="","",SUMIF(RP!D:D,A221,RP!I:I))</f>
        <v/>
      </c>
      <c r="J221" s="35" t="str">
        <f t="shared" si="6"/>
        <v/>
      </c>
      <c r="K221" s="46" t="str">
        <f t="shared" si="7"/>
        <v/>
      </c>
    </row>
    <row r="222" spans="2:11" x14ac:dyDescent="0.3">
      <c r="B222" s="36"/>
      <c r="D222" t="str">
        <f>IF(C222="","",IFERROR(VLOOKUP(C222,GASTOS!B:C,2,0),""))</f>
        <v/>
      </c>
      <c r="F222" s="35"/>
      <c r="G222" s="35"/>
      <c r="I222" s="35" t="str">
        <f>IF(A222="","",SUMIF(RP!D:D,A222,RP!I:I))</f>
        <v/>
      </c>
      <c r="J222" s="35" t="str">
        <f t="shared" si="6"/>
        <v/>
      </c>
      <c r="K222" s="46" t="str">
        <f t="shared" si="7"/>
        <v/>
      </c>
    </row>
    <row r="223" spans="2:11" x14ac:dyDescent="0.3">
      <c r="B223" s="36"/>
      <c r="D223" t="str">
        <f>IF(C223="","",IFERROR(VLOOKUP(C223,GASTOS!B:C,2,0),""))</f>
        <v/>
      </c>
      <c r="F223" s="35"/>
      <c r="G223" s="35"/>
      <c r="I223" s="35" t="str">
        <f>IF(A223="","",SUMIF(RP!D:D,A223,RP!I:I))</f>
        <v/>
      </c>
      <c r="J223" s="35" t="str">
        <f t="shared" si="6"/>
        <v/>
      </c>
      <c r="K223" s="46" t="str">
        <f t="shared" si="7"/>
        <v/>
      </c>
    </row>
    <row r="224" spans="2:11" x14ac:dyDescent="0.3">
      <c r="B224" s="36"/>
      <c r="D224" t="str">
        <f>IF(C224="","",IFERROR(VLOOKUP(C224,GASTOS!B:C,2,0),""))</f>
        <v/>
      </c>
      <c r="F224" s="35"/>
      <c r="G224" s="35"/>
      <c r="I224" s="35" t="str">
        <f>IF(A224="","",SUMIF(RP!D:D,A224,RP!I:I))</f>
        <v/>
      </c>
      <c r="J224" s="35" t="str">
        <f t="shared" si="6"/>
        <v/>
      </c>
      <c r="K224" s="46" t="str">
        <f t="shared" si="7"/>
        <v/>
      </c>
    </row>
    <row r="225" spans="2:11" x14ac:dyDescent="0.3">
      <c r="B225" s="36"/>
      <c r="D225" t="str">
        <f>IF(C225="","",IFERROR(VLOOKUP(C225,GASTOS!B:C,2,0),""))</f>
        <v/>
      </c>
      <c r="F225" s="35"/>
      <c r="G225" s="35"/>
      <c r="I225" s="35" t="str">
        <f>IF(A225="","",SUMIF(RP!D:D,A225,RP!I:I))</f>
        <v/>
      </c>
      <c r="J225" s="35" t="str">
        <f t="shared" si="6"/>
        <v/>
      </c>
      <c r="K225" s="46" t="str">
        <f t="shared" si="7"/>
        <v/>
      </c>
    </row>
    <row r="226" spans="2:11" x14ac:dyDescent="0.3">
      <c r="B226" s="36"/>
      <c r="D226" t="str">
        <f>IF(C226="","",IFERROR(VLOOKUP(C226,GASTOS!B:C,2,0),""))</f>
        <v/>
      </c>
      <c r="F226" s="35"/>
      <c r="G226" s="35"/>
      <c r="I226" s="35" t="str">
        <f>IF(A226="","",SUMIF(RP!D:D,A226,RP!I:I))</f>
        <v/>
      </c>
      <c r="J226" s="35" t="str">
        <f t="shared" si="6"/>
        <v/>
      </c>
      <c r="K226" s="46" t="str">
        <f t="shared" si="7"/>
        <v/>
      </c>
    </row>
    <row r="227" spans="2:11" x14ac:dyDescent="0.3">
      <c r="B227" s="36"/>
      <c r="D227" t="str">
        <f>IF(C227="","",IFERROR(VLOOKUP(C227,GASTOS!B:C,2,0),""))</f>
        <v/>
      </c>
      <c r="F227" s="35"/>
      <c r="G227" s="35"/>
      <c r="I227" s="35" t="str">
        <f>IF(A227="","",SUMIF(RP!D:D,A227,RP!I:I))</f>
        <v/>
      </c>
      <c r="J227" s="35" t="str">
        <f t="shared" si="6"/>
        <v/>
      </c>
      <c r="K227" s="46" t="str">
        <f t="shared" si="7"/>
        <v/>
      </c>
    </row>
    <row r="228" spans="2:11" x14ac:dyDescent="0.3">
      <c r="B228" s="36"/>
      <c r="D228" t="str">
        <f>IF(C228="","",IFERROR(VLOOKUP(C228,GASTOS!B:C,2,0),""))</f>
        <v/>
      </c>
      <c r="F228" s="35"/>
      <c r="G228" s="35"/>
      <c r="I228" s="35" t="str">
        <f>IF(A228="","",SUMIF(RP!D:D,A228,RP!I:I))</f>
        <v/>
      </c>
      <c r="J228" s="35" t="str">
        <f t="shared" si="6"/>
        <v/>
      </c>
      <c r="K228" s="46" t="str">
        <f t="shared" si="7"/>
        <v/>
      </c>
    </row>
    <row r="229" spans="2:11" x14ac:dyDescent="0.3">
      <c r="B229" s="36"/>
      <c r="D229" t="str">
        <f>IF(C229="","",IFERROR(VLOOKUP(C229,GASTOS!B:C,2,0),""))</f>
        <v/>
      </c>
      <c r="F229" s="35"/>
      <c r="G229" s="35"/>
      <c r="I229" s="35" t="str">
        <f>IF(A229="","",SUMIF(RP!D:D,A229,RP!I:I))</f>
        <v/>
      </c>
      <c r="J229" s="35" t="str">
        <f t="shared" si="6"/>
        <v/>
      </c>
      <c r="K229" s="46" t="str">
        <f t="shared" si="7"/>
        <v/>
      </c>
    </row>
    <row r="230" spans="2:11" x14ac:dyDescent="0.3">
      <c r="B230" s="36"/>
      <c r="D230" t="str">
        <f>IF(C230="","",IFERROR(VLOOKUP(C230,GASTOS!B:C,2,0),""))</f>
        <v/>
      </c>
      <c r="F230" s="35"/>
      <c r="G230" s="35"/>
      <c r="I230" s="35" t="str">
        <f>IF(A230="","",SUMIF(RP!D:D,A230,RP!I:I))</f>
        <v/>
      </c>
      <c r="J230" s="35" t="str">
        <f t="shared" si="6"/>
        <v/>
      </c>
      <c r="K230" s="46" t="str">
        <f t="shared" si="7"/>
        <v/>
      </c>
    </row>
    <row r="231" spans="2:11" x14ac:dyDescent="0.3">
      <c r="B231" s="36"/>
      <c r="D231" t="str">
        <f>IF(C231="","",IFERROR(VLOOKUP(C231,GASTOS!B:C,2,0),""))</f>
        <v/>
      </c>
      <c r="F231" s="35"/>
      <c r="G231" s="35"/>
      <c r="I231" s="35" t="str">
        <f>IF(A231="","",SUMIF(RP!D:D,A231,RP!I:I))</f>
        <v/>
      </c>
      <c r="J231" s="35" t="str">
        <f t="shared" si="6"/>
        <v/>
      </c>
      <c r="K231" s="46" t="str">
        <f t="shared" si="7"/>
        <v/>
      </c>
    </row>
    <row r="232" spans="2:11" x14ac:dyDescent="0.3">
      <c r="B232" s="36"/>
      <c r="D232" t="str">
        <f>IF(C232="","",IFERROR(VLOOKUP(C232,GASTOS!B:C,2,0),""))</f>
        <v/>
      </c>
      <c r="F232" s="35"/>
      <c r="G232" s="35"/>
      <c r="I232" s="35" t="str">
        <f>IF(A232="","",SUMIF(RP!D:D,A232,RP!I:I))</f>
        <v/>
      </c>
      <c r="J232" s="35" t="str">
        <f t="shared" si="6"/>
        <v/>
      </c>
      <c r="K232" s="46" t="str">
        <f t="shared" si="7"/>
        <v/>
      </c>
    </row>
    <row r="233" spans="2:11" x14ac:dyDescent="0.3">
      <c r="B233" s="36"/>
      <c r="D233" t="str">
        <f>IF(C233="","",IFERROR(VLOOKUP(C233,GASTOS!B:C,2,0),""))</f>
        <v/>
      </c>
      <c r="F233" s="35"/>
      <c r="G233" s="35"/>
      <c r="I233" s="35" t="str">
        <f>IF(A233="","",SUMIF(RP!D:D,A233,RP!I:I))</f>
        <v/>
      </c>
      <c r="J233" s="35" t="str">
        <f t="shared" si="6"/>
        <v/>
      </c>
      <c r="K233" s="46" t="str">
        <f t="shared" si="7"/>
        <v/>
      </c>
    </row>
    <row r="234" spans="2:11" x14ac:dyDescent="0.3">
      <c r="B234" s="36"/>
      <c r="D234" t="str">
        <f>IF(C234="","",IFERROR(VLOOKUP(C234,GASTOS!B:C,2,0),""))</f>
        <v/>
      </c>
      <c r="F234" s="35"/>
      <c r="G234" s="35"/>
      <c r="I234" s="35" t="str">
        <f>IF(A234="","",SUMIF(RP!D:D,A234,RP!I:I))</f>
        <v/>
      </c>
      <c r="J234" s="35" t="str">
        <f t="shared" si="6"/>
        <v/>
      </c>
      <c r="K234" s="46" t="str">
        <f t="shared" si="7"/>
        <v/>
      </c>
    </row>
    <row r="235" spans="2:11" x14ac:dyDescent="0.3">
      <c r="B235" s="36"/>
      <c r="D235" t="str">
        <f>IF(C235="","",IFERROR(VLOOKUP(C235,GASTOS!B:C,2,0),""))</f>
        <v/>
      </c>
      <c r="F235" s="35"/>
      <c r="G235" s="35"/>
      <c r="I235" s="35" t="str">
        <f>IF(A235="","",SUMIF(RP!D:D,A235,RP!I:I))</f>
        <v/>
      </c>
      <c r="J235" s="35" t="str">
        <f t="shared" si="6"/>
        <v/>
      </c>
      <c r="K235" s="46" t="str">
        <f t="shared" si="7"/>
        <v/>
      </c>
    </row>
    <row r="236" spans="2:11" x14ac:dyDescent="0.3">
      <c r="B236" s="36"/>
      <c r="D236" t="str">
        <f>IF(C236="","",IFERROR(VLOOKUP(C236,GASTOS!B:C,2,0),""))</f>
        <v/>
      </c>
      <c r="F236" s="35"/>
      <c r="G236" s="35"/>
      <c r="I236" s="35" t="str">
        <f>IF(A236="","",SUMIF(RP!D:D,A236,RP!I:I))</f>
        <v/>
      </c>
      <c r="J236" s="35" t="str">
        <f t="shared" si="6"/>
        <v/>
      </c>
      <c r="K236" s="46" t="str">
        <f t="shared" si="7"/>
        <v/>
      </c>
    </row>
    <row r="237" spans="2:11" x14ac:dyDescent="0.3">
      <c r="B237" s="36"/>
      <c r="D237" t="str">
        <f>IF(C237="","",IFERROR(VLOOKUP(C237,GASTOS!B:C,2,0),""))</f>
        <v/>
      </c>
      <c r="F237" s="35"/>
      <c r="G237" s="35"/>
      <c r="I237" s="35" t="str">
        <f>IF(A237="","",SUMIF(RP!D:D,A237,RP!I:I))</f>
        <v/>
      </c>
      <c r="J237" s="35" t="str">
        <f t="shared" si="6"/>
        <v/>
      </c>
      <c r="K237" s="46" t="str">
        <f t="shared" si="7"/>
        <v/>
      </c>
    </row>
    <row r="238" spans="2:11" x14ac:dyDescent="0.3">
      <c r="B238" s="36"/>
      <c r="D238" t="str">
        <f>IF(C238="","",IFERROR(VLOOKUP(C238,GASTOS!B:C,2,0),""))</f>
        <v/>
      </c>
      <c r="F238" s="35"/>
      <c r="G238" s="35"/>
      <c r="I238" s="35" t="str">
        <f>IF(A238="","",SUMIF(RP!D:D,A238,RP!I:I))</f>
        <v/>
      </c>
      <c r="J238" s="35" t="str">
        <f t="shared" si="6"/>
        <v/>
      </c>
      <c r="K238" s="46" t="str">
        <f t="shared" si="7"/>
        <v/>
      </c>
    </row>
    <row r="239" spans="2:11" x14ac:dyDescent="0.3">
      <c r="B239" s="36"/>
      <c r="D239" t="str">
        <f>IF(C239="","",IFERROR(VLOOKUP(C239,GASTOS!B:C,2,0),""))</f>
        <v/>
      </c>
      <c r="F239" s="35"/>
      <c r="G239" s="35"/>
      <c r="I239" s="35" t="str">
        <f>IF(A239="","",SUMIF(RP!D:D,A239,RP!I:I))</f>
        <v/>
      </c>
      <c r="J239" s="35" t="str">
        <f t="shared" si="6"/>
        <v/>
      </c>
      <c r="K239" s="46" t="str">
        <f t="shared" si="7"/>
        <v/>
      </c>
    </row>
    <row r="240" spans="2:11" x14ac:dyDescent="0.3">
      <c r="B240" s="36"/>
      <c r="D240" t="str">
        <f>IF(C240="","",IFERROR(VLOOKUP(C240,GASTOS!B:C,2,0),""))</f>
        <v/>
      </c>
      <c r="F240" s="35"/>
      <c r="G240" s="35"/>
      <c r="I240" s="35" t="str">
        <f>IF(A240="","",SUMIF(RP!D:D,A240,RP!I:I))</f>
        <v/>
      </c>
      <c r="J240" s="35" t="str">
        <f t="shared" si="6"/>
        <v/>
      </c>
      <c r="K240" s="46" t="str">
        <f t="shared" si="7"/>
        <v/>
      </c>
    </row>
    <row r="241" spans="2:11" x14ac:dyDescent="0.3">
      <c r="B241" s="36"/>
      <c r="D241" t="str">
        <f>IF(C241="","",IFERROR(VLOOKUP(C241,GASTOS!B:C,2,0),""))</f>
        <v/>
      </c>
      <c r="F241" s="35"/>
      <c r="G241" s="35"/>
      <c r="I241" s="35" t="str">
        <f>IF(A241="","",SUMIF(RP!D:D,A241,RP!I:I))</f>
        <v/>
      </c>
      <c r="J241" s="35" t="str">
        <f t="shared" si="6"/>
        <v/>
      </c>
      <c r="K241" s="46" t="str">
        <f t="shared" si="7"/>
        <v/>
      </c>
    </row>
    <row r="242" spans="2:11" x14ac:dyDescent="0.3">
      <c r="B242" s="36"/>
      <c r="D242" t="str">
        <f>IF(C242="","",IFERROR(VLOOKUP(C242,GASTOS!B:C,2,0),""))</f>
        <v/>
      </c>
      <c r="F242" s="35"/>
      <c r="G242" s="35"/>
      <c r="I242" s="35" t="str">
        <f>IF(A242="","",SUMIF(RP!D:D,A242,RP!I:I))</f>
        <v/>
      </c>
      <c r="J242" s="35" t="str">
        <f t="shared" si="6"/>
        <v/>
      </c>
      <c r="K242" s="46" t="str">
        <f t="shared" si="7"/>
        <v/>
      </c>
    </row>
    <row r="243" spans="2:11" x14ac:dyDescent="0.3">
      <c r="B243" s="36"/>
      <c r="D243" t="str">
        <f>IF(C243="","",IFERROR(VLOOKUP(C243,GASTOS!B:C,2,0),""))</f>
        <v/>
      </c>
      <c r="F243" s="35"/>
      <c r="G243" s="35"/>
      <c r="I243" s="35" t="str">
        <f>IF(A243="","",SUMIF(RP!D:D,A243,RP!I:I))</f>
        <v/>
      </c>
      <c r="J243" s="35" t="str">
        <f t="shared" si="6"/>
        <v/>
      </c>
      <c r="K243" s="46" t="str">
        <f t="shared" si="7"/>
        <v/>
      </c>
    </row>
    <row r="244" spans="2:11" x14ac:dyDescent="0.3">
      <c r="B244" s="36"/>
      <c r="D244" t="str">
        <f>IF(C244="","",IFERROR(VLOOKUP(C244,GASTOS!B:C,2,0),""))</f>
        <v/>
      </c>
      <c r="F244" s="35"/>
      <c r="G244" s="35"/>
      <c r="I244" s="35" t="str">
        <f>IF(A244="","",SUMIF(RP!D:D,A244,RP!I:I))</f>
        <v/>
      </c>
      <c r="J244" s="35" t="str">
        <f t="shared" si="6"/>
        <v/>
      </c>
      <c r="K244" s="46" t="str">
        <f t="shared" si="7"/>
        <v/>
      </c>
    </row>
    <row r="245" spans="2:11" x14ac:dyDescent="0.3">
      <c r="B245" s="36"/>
      <c r="D245" t="str">
        <f>IF(C245="","",IFERROR(VLOOKUP(C245,GASTOS!B:C,2,0),""))</f>
        <v/>
      </c>
      <c r="F245" s="35"/>
      <c r="G245" s="35"/>
      <c r="I245" s="35" t="str">
        <f>IF(A245="","",SUMIF(RP!D:D,A245,RP!I:I))</f>
        <v/>
      </c>
      <c r="J245" s="35" t="str">
        <f t="shared" si="6"/>
        <v/>
      </c>
      <c r="K245" s="46" t="str">
        <f t="shared" si="7"/>
        <v/>
      </c>
    </row>
    <row r="246" spans="2:11" x14ac:dyDescent="0.3">
      <c r="B246" s="36"/>
      <c r="D246" t="str">
        <f>IF(C246="","",IFERROR(VLOOKUP(C246,GASTOS!B:C,2,0),""))</f>
        <v/>
      </c>
      <c r="F246" s="35"/>
      <c r="G246" s="35"/>
      <c r="I246" s="35" t="str">
        <f>IF(A246="","",SUMIF(RP!D:D,A246,RP!I:I))</f>
        <v/>
      </c>
      <c r="J246" s="35" t="str">
        <f t="shared" si="6"/>
        <v/>
      </c>
      <c r="K246" s="46" t="str">
        <f t="shared" si="7"/>
        <v/>
      </c>
    </row>
    <row r="247" spans="2:11" x14ac:dyDescent="0.3">
      <c r="B247" s="36"/>
      <c r="D247" t="str">
        <f>IF(C247="","",IFERROR(VLOOKUP(C247,GASTOS!B:C,2,0),""))</f>
        <v/>
      </c>
      <c r="F247" s="35"/>
      <c r="G247" s="35"/>
      <c r="I247" s="35" t="str">
        <f>IF(A247="","",SUMIF(RP!D:D,A247,RP!I:I))</f>
        <v/>
      </c>
      <c r="J247" s="35" t="str">
        <f t="shared" si="6"/>
        <v/>
      </c>
      <c r="K247" s="46" t="str">
        <f t="shared" si="7"/>
        <v/>
      </c>
    </row>
    <row r="248" spans="2:11" x14ac:dyDescent="0.3">
      <c r="B248" s="36"/>
      <c r="D248" t="str">
        <f>IF(C248="","",IFERROR(VLOOKUP(C248,GASTOS!B:C,2,0),""))</f>
        <v/>
      </c>
      <c r="F248" s="35"/>
      <c r="G248" s="35"/>
      <c r="I248" s="35" t="str">
        <f>IF(A248="","",SUMIF(RP!D:D,A248,RP!I:I))</f>
        <v/>
      </c>
      <c r="J248" s="35" t="str">
        <f t="shared" si="6"/>
        <v/>
      </c>
      <c r="K248" s="46" t="str">
        <f t="shared" si="7"/>
        <v/>
      </c>
    </row>
    <row r="249" spans="2:11" x14ac:dyDescent="0.3">
      <c r="B249" s="36"/>
      <c r="D249" t="str">
        <f>IF(C249="","",IFERROR(VLOOKUP(C249,GASTOS!B:C,2,0),""))</f>
        <v/>
      </c>
      <c r="F249" s="35"/>
      <c r="G249" s="35"/>
      <c r="I249" s="35" t="str">
        <f>IF(A249="","",SUMIF(RP!D:D,A249,RP!I:I))</f>
        <v/>
      </c>
      <c r="J249" s="35" t="str">
        <f t="shared" si="6"/>
        <v/>
      </c>
      <c r="K249" s="46" t="str">
        <f t="shared" si="7"/>
        <v/>
      </c>
    </row>
    <row r="250" spans="2:11" x14ac:dyDescent="0.3">
      <c r="B250" s="36"/>
      <c r="D250" t="str">
        <f>IF(C250="","",IFERROR(VLOOKUP(C250,GASTOS!B:C,2,0),""))</f>
        <v/>
      </c>
      <c r="F250" s="35"/>
      <c r="G250" s="35"/>
      <c r="I250" s="35" t="str">
        <f>IF(A250="","",SUMIF(RP!D:D,A250,RP!I:I))</f>
        <v/>
      </c>
      <c r="J250" s="35" t="str">
        <f t="shared" si="6"/>
        <v/>
      </c>
      <c r="K250" s="46" t="str">
        <f t="shared" si="7"/>
        <v/>
      </c>
    </row>
    <row r="251" spans="2:11" x14ac:dyDescent="0.3">
      <c r="B251" s="36"/>
      <c r="D251" t="str">
        <f>IF(C251="","",IFERROR(VLOOKUP(C251,GASTOS!B:C,2,0),""))</f>
        <v/>
      </c>
      <c r="F251" s="35"/>
      <c r="G251" s="35"/>
      <c r="I251" s="35" t="str">
        <f>IF(A251="","",SUMIF(RP!D:D,A251,RP!I:I))</f>
        <v/>
      </c>
      <c r="J251" s="35" t="str">
        <f t="shared" si="6"/>
        <v/>
      </c>
      <c r="K251" s="46" t="str">
        <f t="shared" si="7"/>
        <v/>
      </c>
    </row>
    <row r="252" spans="2:11" x14ac:dyDescent="0.3">
      <c r="B252" s="36"/>
      <c r="D252" t="str">
        <f>IF(C252="","",IFERROR(VLOOKUP(C252,GASTOS!B:C,2,0),""))</f>
        <v/>
      </c>
      <c r="F252" s="35"/>
      <c r="G252" s="35"/>
      <c r="I252" s="35" t="str">
        <f>IF(A252="","",SUMIF(RP!D:D,A252,RP!I:I))</f>
        <v/>
      </c>
      <c r="J252" s="35" t="str">
        <f t="shared" si="6"/>
        <v/>
      </c>
      <c r="K252" s="46" t="str">
        <f t="shared" si="7"/>
        <v/>
      </c>
    </row>
    <row r="253" spans="2:11" x14ac:dyDescent="0.3">
      <c r="B253" s="36"/>
      <c r="D253" t="str">
        <f>IF(C253="","",IFERROR(VLOOKUP(C253,GASTOS!B:C,2,0),""))</f>
        <v/>
      </c>
      <c r="F253" s="35"/>
      <c r="G253" s="35"/>
      <c r="I253" s="35" t="str">
        <f>IF(A253="","",SUMIF(RP!D:D,A253,RP!I:I))</f>
        <v/>
      </c>
      <c r="J253" s="35" t="str">
        <f t="shared" si="6"/>
        <v/>
      </c>
      <c r="K253" s="46" t="str">
        <f t="shared" si="7"/>
        <v/>
      </c>
    </row>
    <row r="254" spans="2:11" x14ac:dyDescent="0.3">
      <c r="B254" s="36"/>
      <c r="D254" t="str">
        <f>IF(C254="","",IFERROR(VLOOKUP(C254,GASTOS!B:C,2,0),""))</f>
        <v/>
      </c>
      <c r="F254" s="35"/>
      <c r="G254" s="35"/>
      <c r="I254" s="35" t="str">
        <f>IF(A254="","",SUMIF(RP!D:D,A254,RP!I:I))</f>
        <v/>
      </c>
      <c r="J254" s="35" t="str">
        <f t="shared" si="6"/>
        <v/>
      </c>
      <c r="K254" s="46" t="str">
        <f t="shared" si="7"/>
        <v/>
      </c>
    </row>
    <row r="255" spans="2:11" x14ac:dyDescent="0.3">
      <c r="B255" s="36"/>
      <c r="D255" t="str">
        <f>IF(C255="","",IFERROR(VLOOKUP(C255,GASTOS!B:C,2,0),""))</f>
        <v/>
      </c>
      <c r="F255" s="35"/>
      <c r="G255" s="35"/>
      <c r="I255" s="35" t="str">
        <f>IF(A255="","",SUMIF(RP!D:D,A255,RP!I:I))</f>
        <v/>
      </c>
      <c r="J255" s="35" t="str">
        <f t="shared" si="6"/>
        <v/>
      </c>
      <c r="K255" s="46" t="str">
        <f t="shared" si="7"/>
        <v/>
      </c>
    </row>
    <row r="256" spans="2:11" x14ac:dyDescent="0.3">
      <c r="B256" s="36"/>
      <c r="D256" t="str">
        <f>IF(C256="","",IFERROR(VLOOKUP(C256,GASTOS!B:C,2,0),""))</f>
        <v/>
      </c>
      <c r="F256" s="35"/>
      <c r="G256" s="35"/>
      <c r="I256" s="35" t="str">
        <f>IF(A256="","",SUMIF(RP!D:D,A256,RP!I:I))</f>
        <v/>
      </c>
      <c r="J256" s="35" t="str">
        <f t="shared" si="6"/>
        <v/>
      </c>
      <c r="K256" s="46" t="str">
        <f t="shared" si="7"/>
        <v/>
      </c>
    </row>
    <row r="257" spans="2:11" x14ac:dyDescent="0.3">
      <c r="B257" s="36"/>
      <c r="D257" t="str">
        <f>IF(C257="","",IFERROR(VLOOKUP(C257,GASTOS!B:C,2,0),""))</f>
        <v/>
      </c>
      <c r="F257" s="35"/>
      <c r="G257" s="35"/>
      <c r="I257" s="35" t="str">
        <f>IF(A257="","",SUMIF(RP!D:D,A257,RP!I:I))</f>
        <v/>
      </c>
      <c r="J257" s="35" t="str">
        <f t="shared" si="6"/>
        <v/>
      </c>
      <c r="K257" s="46" t="str">
        <f t="shared" si="7"/>
        <v/>
      </c>
    </row>
    <row r="258" spans="2:11" x14ac:dyDescent="0.3">
      <c r="B258" s="36"/>
      <c r="D258" t="str">
        <f>IF(C258="","",IFERROR(VLOOKUP(C258,GASTOS!B:C,2,0),""))</f>
        <v/>
      </c>
      <c r="F258" s="35"/>
      <c r="G258" s="35"/>
      <c r="I258" s="35" t="str">
        <f>IF(A258="","",SUMIF(RP!D:D,A258,RP!I:I))</f>
        <v/>
      </c>
      <c r="J258" s="35" t="str">
        <f t="shared" ref="J258:J321" si="8">IF(A258="","",F258-I258)</f>
        <v/>
      </c>
      <c r="K258" s="46" t="str">
        <f t="shared" ref="K258:K321" si="9">IF(A258="","",IF(H258="ACTIVO","CDP vigente. Saldo disponible para comprometer en RPs: " &amp; TEXT(J258,"#,##0"),IF(H258="AGOTADO","CDP sin saldo. Valor total utilizado en Registros Presupuestales (RP)",IF(H258="ANULADO","CDP anulado. Valor liberado y devuelto al saldo del rubro",""))))</f>
        <v/>
      </c>
    </row>
    <row r="259" spans="2:11" x14ac:dyDescent="0.3">
      <c r="B259" s="36"/>
      <c r="D259" t="str">
        <f>IF(C259="","",IFERROR(VLOOKUP(C259,GASTOS!B:C,2,0),""))</f>
        <v/>
      </c>
      <c r="F259" s="35"/>
      <c r="G259" s="35"/>
      <c r="I259" s="35" t="str">
        <f>IF(A259="","",SUMIF(RP!D:D,A259,RP!I:I))</f>
        <v/>
      </c>
      <c r="J259" s="35" t="str">
        <f t="shared" si="8"/>
        <v/>
      </c>
      <c r="K259" s="46" t="str">
        <f t="shared" si="9"/>
        <v/>
      </c>
    </row>
    <row r="260" spans="2:11" x14ac:dyDescent="0.3">
      <c r="B260" s="36"/>
      <c r="D260" t="str">
        <f>IF(C260="","",IFERROR(VLOOKUP(C260,GASTOS!B:C,2,0),""))</f>
        <v/>
      </c>
      <c r="F260" s="35"/>
      <c r="G260" s="35"/>
      <c r="I260" s="35" t="str">
        <f>IF(A260="","",SUMIF(RP!D:D,A260,RP!I:I))</f>
        <v/>
      </c>
      <c r="J260" s="35" t="str">
        <f t="shared" si="8"/>
        <v/>
      </c>
      <c r="K260" s="46" t="str">
        <f t="shared" si="9"/>
        <v/>
      </c>
    </row>
    <row r="261" spans="2:11" x14ac:dyDescent="0.3">
      <c r="B261" s="36"/>
      <c r="D261" t="str">
        <f>IF(C261="","",IFERROR(VLOOKUP(C261,GASTOS!B:C,2,0),""))</f>
        <v/>
      </c>
      <c r="F261" s="35"/>
      <c r="G261" s="35"/>
      <c r="I261" s="35" t="str">
        <f>IF(A261="","",SUMIF(RP!D:D,A261,RP!I:I))</f>
        <v/>
      </c>
      <c r="J261" s="35" t="str">
        <f t="shared" si="8"/>
        <v/>
      </c>
      <c r="K261" s="46" t="str">
        <f t="shared" si="9"/>
        <v/>
      </c>
    </row>
    <row r="262" spans="2:11" x14ac:dyDescent="0.3">
      <c r="B262" s="36"/>
      <c r="D262" t="str">
        <f>IF(C262="","",IFERROR(VLOOKUP(C262,GASTOS!B:C,2,0),""))</f>
        <v/>
      </c>
      <c r="F262" s="35"/>
      <c r="G262" s="35"/>
      <c r="I262" s="35" t="str">
        <f>IF(A262="","",SUMIF(RP!D:D,A262,RP!I:I))</f>
        <v/>
      </c>
      <c r="J262" s="35" t="str">
        <f t="shared" si="8"/>
        <v/>
      </c>
      <c r="K262" s="46" t="str">
        <f t="shared" si="9"/>
        <v/>
      </c>
    </row>
    <row r="263" spans="2:11" x14ac:dyDescent="0.3">
      <c r="B263" s="36"/>
      <c r="D263" t="str">
        <f>IF(C263="","",IFERROR(VLOOKUP(C263,GASTOS!B:C,2,0),""))</f>
        <v/>
      </c>
      <c r="F263" s="35"/>
      <c r="G263" s="35"/>
      <c r="I263" s="35" t="str">
        <f>IF(A263="","",SUMIF(RP!D:D,A263,RP!I:I))</f>
        <v/>
      </c>
      <c r="J263" s="35" t="str">
        <f t="shared" si="8"/>
        <v/>
      </c>
      <c r="K263" s="46" t="str">
        <f t="shared" si="9"/>
        <v/>
      </c>
    </row>
    <row r="264" spans="2:11" x14ac:dyDescent="0.3">
      <c r="B264" s="36"/>
      <c r="D264" t="str">
        <f>IF(C264="","",IFERROR(VLOOKUP(C264,GASTOS!B:C,2,0),""))</f>
        <v/>
      </c>
      <c r="F264" s="35"/>
      <c r="G264" s="35"/>
      <c r="I264" s="35" t="str">
        <f>IF(A264="","",SUMIF(RP!D:D,A264,RP!I:I))</f>
        <v/>
      </c>
      <c r="J264" s="35" t="str">
        <f t="shared" si="8"/>
        <v/>
      </c>
      <c r="K264" s="46" t="str">
        <f t="shared" si="9"/>
        <v/>
      </c>
    </row>
    <row r="265" spans="2:11" x14ac:dyDescent="0.3">
      <c r="B265" s="36"/>
      <c r="D265" t="str">
        <f>IF(C265="","",IFERROR(VLOOKUP(C265,GASTOS!B:C,2,0),""))</f>
        <v/>
      </c>
      <c r="F265" s="35"/>
      <c r="G265" s="35"/>
      <c r="I265" s="35" t="str">
        <f>IF(A265="","",SUMIF(RP!D:D,A265,RP!I:I))</f>
        <v/>
      </c>
      <c r="J265" s="35" t="str">
        <f t="shared" si="8"/>
        <v/>
      </c>
      <c r="K265" s="46" t="str">
        <f t="shared" si="9"/>
        <v/>
      </c>
    </row>
    <row r="266" spans="2:11" x14ac:dyDescent="0.3">
      <c r="B266" s="36"/>
      <c r="D266" t="str">
        <f>IF(C266="","",IFERROR(VLOOKUP(C266,GASTOS!B:C,2,0),""))</f>
        <v/>
      </c>
      <c r="F266" s="35"/>
      <c r="G266" s="35"/>
      <c r="I266" s="35" t="str">
        <f>IF(A266="","",SUMIF(RP!D:D,A266,RP!I:I))</f>
        <v/>
      </c>
      <c r="J266" s="35" t="str">
        <f t="shared" si="8"/>
        <v/>
      </c>
      <c r="K266" s="46" t="str">
        <f t="shared" si="9"/>
        <v/>
      </c>
    </row>
    <row r="267" spans="2:11" x14ac:dyDescent="0.3">
      <c r="B267" s="36"/>
      <c r="D267" t="str">
        <f>IF(C267="","",IFERROR(VLOOKUP(C267,GASTOS!B:C,2,0),""))</f>
        <v/>
      </c>
      <c r="F267" s="35"/>
      <c r="G267" s="35"/>
      <c r="I267" s="35" t="str">
        <f>IF(A267="","",SUMIF(RP!D:D,A267,RP!I:I))</f>
        <v/>
      </c>
      <c r="J267" s="35" t="str">
        <f t="shared" si="8"/>
        <v/>
      </c>
      <c r="K267" s="46" t="str">
        <f t="shared" si="9"/>
        <v/>
      </c>
    </row>
    <row r="268" spans="2:11" x14ac:dyDescent="0.3">
      <c r="B268" s="36"/>
      <c r="D268" t="str">
        <f>IF(C268="","",IFERROR(VLOOKUP(C268,GASTOS!B:C,2,0),""))</f>
        <v/>
      </c>
      <c r="F268" s="35"/>
      <c r="G268" s="35"/>
      <c r="I268" s="35" t="str">
        <f>IF(A268="","",SUMIF(RP!D:D,A268,RP!I:I))</f>
        <v/>
      </c>
      <c r="J268" s="35" t="str">
        <f t="shared" si="8"/>
        <v/>
      </c>
      <c r="K268" s="46" t="str">
        <f t="shared" si="9"/>
        <v/>
      </c>
    </row>
    <row r="269" spans="2:11" x14ac:dyDescent="0.3">
      <c r="B269" s="36"/>
      <c r="D269" t="str">
        <f>IF(C269="","",IFERROR(VLOOKUP(C269,GASTOS!B:C,2,0),""))</f>
        <v/>
      </c>
      <c r="F269" s="35"/>
      <c r="G269" s="35"/>
      <c r="I269" s="35" t="str">
        <f>IF(A269="","",SUMIF(RP!D:D,A269,RP!I:I))</f>
        <v/>
      </c>
      <c r="J269" s="35" t="str">
        <f t="shared" si="8"/>
        <v/>
      </c>
      <c r="K269" s="46" t="str">
        <f t="shared" si="9"/>
        <v/>
      </c>
    </row>
    <row r="270" spans="2:11" x14ac:dyDescent="0.3">
      <c r="B270" s="36"/>
      <c r="D270" t="str">
        <f>IF(C270="","",IFERROR(VLOOKUP(C270,GASTOS!B:C,2,0),""))</f>
        <v/>
      </c>
      <c r="F270" s="35"/>
      <c r="G270" s="35"/>
      <c r="I270" s="35" t="str">
        <f>IF(A270="","",SUMIF(RP!D:D,A270,RP!I:I))</f>
        <v/>
      </c>
      <c r="J270" s="35" t="str">
        <f t="shared" si="8"/>
        <v/>
      </c>
      <c r="K270" s="46" t="str">
        <f t="shared" si="9"/>
        <v/>
      </c>
    </row>
    <row r="271" spans="2:11" x14ac:dyDescent="0.3">
      <c r="B271" s="36"/>
      <c r="D271" t="str">
        <f>IF(C271="","",IFERROR(VLOOKUP(C271,GASTOS!B:C,2,0),""))</f>
        <v/>
      </c>
      <c r="F271" s="35"/>
      <c r="G271" s="35"/>
      <c r="I271" s="35" t="str">
        <f>IF(A271="","",SUMIF(RP!D:D,A271,RP!I:I))</f>
        <v/>
      </c>
      <c r="J271" s="35" t="str">
        <f t="shared" si="8"/>
        <v/>
      </c>
      <c r="K271" s="46" t="str">
        <f t="shared" si="9"/>
        <v/>
      </c>
    </row>
    <row r="272" spans="2:11" x14ac:dyDescent="0.3">
      <c r="B272" s="36"/>
      <c r="D272" t="str">
        <f>IF(C272="","",IFERROR(VLOOKUP(C272,GASTOS!B:C,2,0),""))</f>
        <v/>
      </c>
      <c r="F272" s="35"/>
      <c r="G272" s="35"/>
      <c r="I272" s="35" t="str">
        <f>IF(A272="","",SUMIF(RP!D:D,A272,RP!I:I))</f>
        <v/>
      </c>
      <c r="J272" s="35" t="str">
        <f t="shared" si="8"/>
        <v/>
      </c>
      <c r="K272" s="46" t="str">
        <f t="shared" si="9"/>
        <v/>
      </c>
    </row>
    <row r="273" spans="2:11" x14ac:dyDescent="0.3">
      <c r="B273" s="36"/>
      <c r="D273" t="str">
        <f>IF(C273="","",IFERROR(VLOOKUP(C273,GASTOS!B:C,2,0),""))</f>
        <v/>
      </c>
      <c r="F273" s="35"/>
      <c r="G273" s="35"/>
      <c r="I273" s="35" t="str">
        <f>IF(A273="","",SUMIF(RP!D:D,A273,RP!I:I))</f>
        <v/>
      </c>
      <c r="J273" s="35" t="str">
        <f t="shared" si="8"/>
        <v/>
      </c>
      <c r="K273" s="46" t="str">
        <f t="shared" si="9"/>
        <v/>
      </c>
    </row>
    <row r="274" spans="2:11" x14ac:dyDescent="0.3">
      <c r="B274" s="36"/>
      <c r="D274" t="str">
        <f>IF(C274="","",IFERROR(VLOOKUP(C274,GASTOS!B:C,2,0),""))</f>
        <v/>
      </c>
      <c r="F274" s="35"/>
      <c r="G274" s="35"/>
      <c r="I274" s="35" t="str">
        <f>IF(A274="","",SUMIF(RP!D:D,A274,RP!I:I))</f>
        <v/>
      </c>
      <c r="J274" s="35" t="str">
        <f t="shared" si="8"/>
        <v/>
      </c>
      <c r="K274" s="46" t="str">
        <f t="shared" si="9"/>
        <v/>
      </c>
    </row>
    <row r="275" spans="2:11" x14ac:dyDescent="0.3">
      <c r="B275" s="36"/>
      <c r="D275" t="str">
        <f>IF(C275="","",IFERROR(VLOOKUP(C275,GASTOS!B:C,2,0),""))</f>
        <v/>
      </c>
      <c r="F275" s="35"/>
      <c r="G275" s="35"/>
      <c r="I275" s="35" t="str">
        <f>IF(A275="","",SUMIF(RP!D:D,A275,RP!I:I))</f>
        <v/>
      </c>
      <c r="J275" s="35" t="str">
        <f t="shared" si="8"/>
        <v/>
      </c>
      <c r="K275" s="46" t="str">
        <f t="shared" si="9"/>
        <v/>
      </c>
    </row>
    <row r="276" spans="2:11" x14ac:dyDescent="0.3">
      <c r="B276" s="36"/>
      <c r="D276" t="str">
        <f>IF(C276="","",IFERROR(VLOOKUP(C276,GASTOS!B:C,2,0),""))</f>
        <v/>
      </c>
      <c r="F276" s="35"/>
      <c r="G276" s="35"/>
      <c r="I276" s="35" t="str">
        <f>IF(A276="","",SUMIF(RP!D:D,A276,RP!I:I))</f>
        <v/>
      </c>
      <c r="J276" s="35" t="str">
        <f t="shared" si="8"/>
        <v/>
      </c>
      <c r="K276" s="46" t="str">
        <f t="shared" si="9"/>
        <v/>
      </c>
    </row>
    <row r="277" spans="2:11" x14ac:dyDescent="0.3">
      <c r="B277" s="36"/>
      <c r="D277" t="str">
        <f>IF(C277="","",IFERROR(VLOOKUP(C277,GASTOS!B:C,2,0),""))</f>
        <v/>
      </c>
      <c r="F277" s="35"/>
      <c r="G277" s="35"/>
      <c r="I277" s="35" t="str">
        <f>IF(A277="","",SUMIF(RP!D:D,A277,RP!I:I))</f>
        <v/>
      </c>
      <c r="J277" s="35" t="str">
        <f t="shared" si="8"/>
        <v/>
      </c>
      <c r="K277" s="46" t="str">
        <f t="shared" si="9"/>
        <v/>
      </c>
    </row>
    <row r="278" spans="2:11" x14ac:dyDescent="0.3">
      <c r="B278" s="36"/>
      <c r="D278" t="str">
        <f>IF(C278="","",IFERROR(VLOOKUP(C278,GASTOS!B:C,2,0),""))</f>
        <v/>
      </c>
      <c r="F278" s="35"/>
      <c r="G278" s="35"/>
      <c r="I278" s="35" t="str">
        <f>IF(A278="","",SUMIF(RP!D:D,A278,RP!I:I))</f>
        <v/>
      </c>
      <c r="J278" s="35" t="str">
        <f t="shared" si="8"/>
        <v/>
      </c>
      <c r="K278" s="46" t="str">
        <f t="shared" si="9"/>
        <v/>
      </c>
    </row>
    <row r="279" spans="2:11" x14ac:dyDescent="0.3">
      <c r="B279" s="36"/>
      <c r="D279" t="str">
        <f>IF(C279="","",IFERROR(VLOOKUP(C279,GASTOS!B:C,2,0),""))</f>
        <v/>
      </c>
      <c r="F279" s="35"/>
      <c r="G279" s="35"/>
      <c r="I279" s="35" t="str">
        <f>IF(A279="","",SUMIF(RP!D:D,A279,RP!I:I))</f>
        <v/>
      </c>
      <c r="J279" s="35" t="str">
        <f t="shared" si="8"/>
        <v/>
      </c>
      <c r="K279" s="46" t="str">
        <f t="shared" si="9"/>
        <v/>
      </c>
    </row>
    <row r="280" spans="2:11" x14ac:dyDescent="0.3">
      <c r="B280" s="36"/>
      <c r="D280" t="str">
        <f>IF(C280="","",IFERROR(VLOOKUP(C280,GASTOS!B:C,2,0),""))</f>
        <v/>
      </c>
      <c r="F280" s="35"/>
      <c r="G280" s="35"/>
      <c r="I280" s="35" t="str">
        <f>IF(A280="","",SUMIF(RP!D:D,A280,RP!I:I))</f>
        <v/>
      </c>
      <c r="J280" s="35" t="str">
        <f t="shared" si="8"/>
        <v/>
      </c>
      <c r="K280" s="46" t="str">
        <f t="shared" si="9"/>
        <v/>
      </c>
    </row>
    <row r="281" spans="2:11" x14ac:dyDescent="0.3">
      <c r="B281" s="36"/>
      <c r="D281" t="str">
        <f>IF(C281="","",IFERROR(VLOOKUP(C281,GASTOS!B:C,2,0),""))</f>
        <v/>
      </c>
      <c r="F281" s="35"/>
      <c r="G281" s="35"/>
      <c r="I281" s="35" t="str">
        <f>IF(A281="","",SUMIF(RP!D:D,A281,RP!I:I))</f>
        <v/>
      </c>
      <c r="J281" s="35" t="str">
        <f t="shared" si="8"/>
        <v/>
      </c>
      <c r="K281" s="46" t="str">
        <f t="shared" si="9"/>
        <v/>
      </c>
    </row>
    <row r="282" spans="2:11" x14ac:dyDescent="0.3">
      <c r="B282" s="36"/>
      <c r="D282" t="str">
        <f>IF(C282="","",IFERROR(VLOOKUP(C282,GASTOS!B:C,2,0),""))</f>
        <v/>
      </c>
      <c r="F282" s="35"/>
      <c r="G282" s="35"/>
      <c r="I282" s="35" t="str">
        <f>IF(A282="","",SUMIF(RP!D:D,A282,RP!I:I))</f>
        <v/>
      </c>
      <c r="J282" s="35" t="str">
        <f t="shared" si="8"/>
        <v/>
      </c>
      <c r="K282" s="46" t="str">
        <f t="shared" si="9"/>
        <v/>
      </c>
    </row>
    <row r="283" spans="2:11" x14ac:dyDescent="0.3">
      <c r="B283" s="36"/>
      <c r="D283" t="str">
        <f>IF(C283="","",IFERROR(VLOOKUP(C283,GASTOS!B:C,2,0),""))</f>
        <v/>
      </c>
      <c r="F283" s="35"/>
      <c r="G283" s="35"/>
      <c r="I283" s="35" t="str">
        <f>IF(A283="","",SUMIF(RP!D:D,A283,RP!I:I))</f>
        <v/>
      </c>
      <c r="J283" s="35" t="str">
        <f t="shared" si="8"/>
        <v/>
      </c>
      <c r="K283" s="46" t="str">
        <f t="shared" si="9"/>
        <v/>
      </c>
    </row>
    <row r="284" spans="2:11" x14ac:dyDescent="0.3">
      <c r="B284" s="36"/>
      <c r="D284" t="str">
        <f>IF(C284="","",IFERROR(VLOOKUP(C284,GASTOS!B:C,2,0),""))</f>
        <v/>
      </c>
      <c r="F284" s="35"/>
      <c r="G284" s="35"/>
      <c r="I284" s="35" t="str">
        <f>IF(A284="","",SUMIF(RP!D:D,A284,RP!I:I))</f>
        <v/>
      </c>
      <c r="J284" s="35" t="str">
        <f t="shared" si="8"/>
        <v/>
      </c>
      <c r="K284" s="46" t="str">
        <f t="shared" si="9"/>
        <v/>
      </c>
    </row>
    <row r="285" spans="2:11" x14ac:dyDescent="0.3">
      <c r="B285" s="36"/>
      <c r="D285" t="str">
        <f>IF(C285="","",IFERROR(VLOOKUP(C285,GASTOS!B:C,2,0),""))</f>
        <v/>
      </c>
      <c r="F285" s="35"/>
      <c r="G285" s="35"/>
      <c r="I285" s="35" t="str">
        <f>IF(A285="","",SUMIF(RP!D:D,A285,RP!I:I))</f>
        <v/>
      </c>
      <c r="J285" s="35" t="str">
        <f t="shared" si="8"/>
        <v/>
      </c>
      <c r="K285" s="46" t="str">
        <f t="shared" si="9"/>
        <v/>
      </c>
    </row>
    <row r="286" spans="2:11" x14ac:dyDescent="0.3">
      <c r="B286" s="36"/>
      <c r="D286" t="str">
        <f>IF(C286="","",IFERROR(VLOOKUP(C286,GASTOS!B:C,2,0),""))</f>
        <v/>
      </c>
      <c r="F286" s="35"/>
      <c r="G286" s="35"/>
      <c r="I286" s="35" t="str">
        <f>IF(A286="","",SUMIF(RP!D:D,A286,RP!I:I))</f>
        <v/>
      </c>
      <c r="J286" s="35" t="str">
        <f t="shared" si="8"/>
        <v/>
      </c>
      <c r="K286" s="46" t="str">
        <f t="shared" si="9"/>
        <v/>
      </c>
    </row>
    <row r="287" spans="2:11" x14ac:dyDescent="0.3">
      <c r="B287" s="36"/>
      <c r="D287" t="str">
        <f>IF(C287="","",IFERROR(VLOOKUP(C287,GASTOS!B:C,2,0),""))</f>
        <v/>
      </c>
      <c r="F287" s="35"/>
      <c r="G287" s="35"/>
      <c r="I287" s="35" t="str">
        <f>IF(A287="","",SUMIF(RP!D:D,A287,RP!I:I))</f>
        <v/>
      </c>
      <c r="J287" s="35" t="str">
        <f t="shared" si="8"/>
        <v/>
      </c>
      <c r="K287" s="46" t="str">
        <f t="shared" si="9"/>
        <v/>
      </c>
    </row>
    <row r="288" spans="2:11" x14ac:dyDescent="0.3">
      <c r="B288" s="36"/>
      <c r="D288" t="str">
        <f>IF(C288="","",IFERROR(VLOOKUP(C288,GASTOS!B:C,2,0),""))</f>
        <v/>
      </c>
      <c r="F288" s="35"/>
      <c r="G288" s="35"/>
      <c r="I288" s="35" t="str">
        <f>IF(A288="","",SUMIF(RP!D:D,A288,RP!I:I))</f>
        <v/>
      </c>
      <c r="J288" s="35" t="str">
        <f t="shared" si="8"/>
        <v/>
      </c>
      <c r="K288" s="46" t="str">
        <f t="shared" si="9"/>
        <v/>
      </c>
    </row>
    <row r="289" spans="2:11" x14ac:dyDescent="0.3">
      <c r="B289" s="36"/>
      <c r="D289" t="str">
        <f>IF(C289="","",IFERROR(VLOOKUP(C289,GASTOS!B:C,2,0),""))</f>
        <v/>
      </c>
      <c r="F289" s="35"/>
      <c r="G289" s="35"/>
      <c r="I289" s="35" t="str">
        <f>IF(A289="","",SUMIF(RP!D:D,A289,RP!I:I))</f>
        <v/>
      </c>
      <c r="J289" s="35" t="str">
        <f t="shared" si="8"/>
        <v/>
      </c>
      <c r="K289" s="46" t="str">
        <f t="shared" si="9"/>
        <v/>
      </c>
    </row>
    <row r="290" spans="2:11" x14ac:dyDescent="0.3">
      <c r="B290" s="36"/>
      <c r="D290" t="str">
        <f>IF(C290="","",IFERROR(VLOOKUP(C290,GASTOS!B:C,2,0),""))</f>
        <v/>
      </c>
      <c r="F290" s="35"/>
      <c r="G290" s="35"/>
      <c r="I290" s="35" t="str">
        <f>IF(A290="","",SUMIF(RP!D:D,A290,RP!I:I))</f>
        <v/>
      </c>
      <c r="J290" s="35" t="str">
        <f t="shared" si="8"/>
        <v/>
      </c>
      <c r="K290" s="46" t="str">
        <f t="shared" si="9"/>
        <v/>
      </c>
    </row>
    <row r="291" spans="2:11" x14ac:dyDescent="0.3">
      <c r="B291" s="36"/>
      <c r="D291" t="str">
        <f>IF(C291="","",IFERROR(VLOOKUP(C291,GASTOS!B:C,2,0),""))</f>
        <v/>
      </c>
      <c r="F291" s="35"/>
      <c r="G291" s="35"/>
      <c r="I291" s="35" t="str">
        <f>IF(A291="","",SUMIF(RP!D:D,A291,RP!I:I))</f>
        <v/>
      </c>
      <c r="J291" s="35" t="str">
        <f t="shared" si="8"/>
        <v/>
      </c>
      <c r="K291" s="46" t="str">
        <f t="shared" si="9"/>
        <v/>
      </c>
    </row>
    <row r="292" spans="2:11" x14ac:dyDescent="0.3">
      <c r="B292" s="36"/>
      <c r="D292" t="str">
        <f>IF(C292="","",IFERROR(VLOOKUP(C292,GASTOS!B:C,2,0),""))</f>
        <v/>
      </c>
      <c r="F292" s="35"/>
      <c r="G292" s="35"/>
      <c r="I292" s="35" t="str">
        <f>IF(A292="","",SUMIF(RP!D:D,A292,RP!I:I))</f>
        <v/>
      </c>
      <c r="J292" s="35" t="str">
        <f t="shared" si="8"/>
        <v/>
      </c>
      <c r="K292" s="46" t="str">
        <f t="shared" si="9"/>
        <v/>
      </c>
    </row>
    <row r="293" spans="2:11" x14ac:dyDescent="0.3">
      <c r="B293" s="36"/>
      <c r="D293" t="str">
        <f>IF(C293="","",IFERROR(VLOOKUP(C293,GASTOS!B:C,2,0),""))</f>
        <v/>
      </c>
      <c r="F293" s="35"/>
      <c r="G293" s="35"/>
      <c r="I293" s="35" t="str">
        <f>IF(A293="","",SUMIF(RP!D:D,A293,RP!I:I))</f>
        <v/>
      </c>
      <c r="J293" s="35" t="str">
        <f t="shared" si="8"/>
        <v/>
      </c>
      <c r="K293" s="46" t="str">
        <f t="shared" si="9"/>
        <v/>
      </c>
    </row>
    <row r="294" spans="2:11" x14ac:dyDescent="0.3">
      <c r="B294" s="36"/>
      <c r="D294" t="str">
        <f>IF(C294="","",IFERROR(VLOOKUP(C294,GASTOS!B:C,2,0),""))</f>
        <v/>
      </c>
      <c r="F294" s="35"/>
      <c r="G294" s="35"/>
      <c r="I294" s="35" t="str">
        <f>IF(A294="","",SUMIF(RP!D:D,A294,RP!I:I))</f>
        <v/>
      </c>
      <c r="J294" s="35" t="str">
        <f t="shared" si="8"/>
        <v/>
      </c>
      <c r="K294" s="46" t="str">
        <f t="shared" si="9"/>
        <v/>
      </c>
    </row>
    <row r="295" spans="2:11" x14ac:dyDescent="0.3">
      <c r="B295" s="36"/>
      <c r="D295" t="str">
        <f>IF(C295="","",IFERROR(VLOOKUP(C295,GASTOS!B:C,2,0),""))</f>
        <v/>
      </c>
      <c r="F295" s="35"/>
      <c r="G295" s="35"/>
      <c r="I295" s="35" t="str">
        <f>IF(A295="","",SUMIF(RP!D:D,A295,RP!I:I))</f>
        <v/>
      </c>
      <c r="J295" s="35" t="str">
        <f t="shared" si="8"/>
        <v/>
      </c>
      <c r="K295" s="46" t="str">
        <f t="shared" si="9"/>
        <v/>
      </c>
    </row>
    <row r="296" spans="2:11" x14ac:dyDescent="0.3">
      <c r="B296" s="36"/>
      <c r="D296" t="str">
        <f>IF(C296="","",IFERROR(VLOOKUP(C296,GASTOS!B:C,2,0),""))</f>
        <v/>
      </c>
      <c r="F296" s="35"/>
      <c r="G296" s="35"/>
      <c r="I296" s="35" t="str">
        <f>IF(A296="","",SUMIF(RP!D:D,A296,RP!I:I))</f>
        <v/>
      </c>
      <c r="J296" s="35" t="str">
        <f t="shared" si="8"/>
        <v/>
      </c>
      <c r="K296" s="46" t="str">
        <f t="shared" si="9"/>
        <v/>
      </c>
    </row>
    <row r="297" spans="2:11" x14ac:dyDescent="0.3">
      <c r="B297" s="36"/>
      <c r="D297" t="str">
        <f>IF(C297="","",IFERROR(VLOOKUP(C297,GASTOS!B:C,2,0),""))</f>
        <v/>
      </c>
      <c r="F297" s="35"/>
      <c r="G297" s="35"/>
      <c r="I297" s="35" t="str">
        <f>IF(A297="","",SUMIF(RP!D:D,A297,RP!I:I))</f>
        <v/>
      </c>
      <c r="J297" s="35" t="str">
        <f t="shared" si="8"/>
        <v/>
      </c>
      <c r="K297" s="46" t="str">
        <f t="shared" si="9"/>
        <v/>
      </c>
    </row>
    <row r="298" spans="2:11" x14ac:dyDescent="0.3">
      <c r="B298" s="36"/>
      <c r="D298" t="str">
        <f>IF(C298="","",IFERROR(VLOOKUP(C298,GASTOS!B:C,2,0),""))</f>
        <v/>
      </c>
      <c r="F298" s="35"/>
      <c r="G298" s="35"/>
      <c r="I298" s="35" t="str">
        <f>IF(A298="","",SUMIF(RP!D:D,A298,RP!I:I))</f>
        <v/>
      </c>
      <c r="J298" s="35" t="str">
        <f t="shared" si="8"/>
        <v/>
      </c>
      <c r="K298" s="46" t="str">
        <f t="shared" si="9"/>
        <v/>
      </c>
    </row>
    <row r="299" spans="2:11" x14ac:dyDescent="0.3">
      <c r="B299" s="36"/>
      <c r="D299" t="str">
        <f>IF(C299="","",IFERROR(VLOOKUP(C299,GASTOS!B:C,2,0),""))</f>
        <v/>
      </c>
      <c r="F299" s="35"/>
      <c r="G299" s="35"/>
      <c r="I299" s="35" t="str">
        <f>IF(A299="","",SUMIF(RP!D:D,A299,RP!I:I))</f>
        <v/>
      </c>
      <c r="J299" s="35" t="str">
        <f t="shared" si="8"/>
        <v/>
      </c>
      <c r="K299" s="46" t="str">
        <f t="shared" si="9"/>
        <v/>
      </c>
    </row>
    <row r="300" spans="2:11" x14ac:dyDescent="0.3">
      <c r="B300" s="36"/>
      <c r="D300" t="str">
        <f>IF(C300="","",IFERROR(VLOOKUP(C300,GASTOS!B:C,2,0),""))</f>
        <v/>
      </c>
      <c r="F300" s="35"/>
      <c r="G300" s="35"/>
      <c r="I300" s="35" t="str">
        <f>IF(A300="","",SUMIF(RP!D:D,A300,RP!I:I))</f>
        <v/>
      </c>
      <c r="J300" s="35" t="str">
        <f t="shared" si="8"/>
        <v/>
      </c>
      <c r="K300" s="46" t="str">
        <f t="shared" si="9"/>
        <v/>
      </c>
    </row>
    <row r="301" spans="2:11" x14ac:dyDescent="0.3">
      <c r="B301" s="36"/>
      <c r="D301" t="str">
        <f>IF(C301="","",IFERROR(VLOOKUP(C301,GASTOS!B:C,2,0),""))</f>
        <v/>
      </c>
      <c r="F301" s="35"/>
      <c r="G301" s="35"/>
      <c r="I301" s="35" t="str">
        <f>IF(A301="","",SUMIF(RP!D:D,A301,RP!I:I))</f>
        <v/>
      </c>
      <c r="J301" s="35" t="str">
        <f t="shared" si="8"/>
        <v/>
      </c>
      <c r="K301" s="46" t="str">
        <f t="shared" si="9"/>
        <v/>
      </c>
    </row>
    <row r="302" spans="2:11" x14ac:dyDescent="0.3">
      <c r="B302" s="36"/>
      <c r="D302" t="str">
        <f>IF(C302="","",IFERROR(VLOOKUP(C302,GASTOS!B:C,2,0),""))</f>
        <v/>
      </c>
      <c r="F302" s="35"/>
      <c r="G302" s="35"/>
      <c r="I302" s="35" t="str">
        <f>IF(A302="","",SUMIF(RP!D:D,A302,RP!I:I))</f>
        <v/>
      </c>
      <c r="J302" s="35" t="str">
        <f t="shared" si="8"/>
        <v/>
      </c>
      <c r="K302" s="46" t="str">
        <f t="shared" si="9"/>
        <v/>
      </c>
    </row>
    <row r="303" spans="2:11" x14ac:dyDescent="0.3">
      <c r="B303" s="36"/>
      <c r="D303" t="str">
        <f>IF(C303="","",IFERROR(VLOOKUP(C303,GASTOS!B:C,2,0),""))</f>
        <v/>
      </c>
      <c r="F303" s="35"/>
      <c r="G303" s="35"/>
      <c r="I303" s="35" t="str">
        <f>IF(A303="","",SUMIF(RP!D:D,A303,RP!I:I))</f>
        <v/>
      </c>
      <c r="J303" s="35" t="str">
        <f t="shared" si="8"/>
        <v/>
      </c>
      <c r="K303" s="46" t="str">
        <f t="shared" si="9"/>
        <v/>
      </c>
    </row>
    <row r="304" spans="2:11" x14ac:dyDescent="0.3">
      <c r="B304" s="36"/>
      <c r="D304" t="str">
        <f>IF(C304="","",IFERROR(VLOOKUP(C304,GASTOS!B:C,2,0),""))</f>
        <v/>
      </c>
      <c r="F304" s="35"/>
      <c r="G304" s="35"/>
      <c r="I304" s="35" t="str">
        <f>IF(A304="","",SUMIF(RP!D:D,A304,RP!I:I))</f>
        <v/>
      </c>
      <c r="J304" s="35" t="str">
        <f t="shared" si="8"/>
        <v/>
      </c>
      <c r="K304" s="46" t="str">
        <f t="shared" si="9"/>
        <v/>
      </c>
    </row>
    <row r="305" spans="2:11" x14ac:dyDescent="0.3">
      <c r="B305" s="36"/>
      <c r="D305" t="str">
        <f>IF(C305="","",IFERROR(VLOOKUP(C305,GASTOS!B:C,2,0),""))</f>
        <v/>
      </c>
      <c r="F305" s="35"/>
      <c r="G305" s="35"/>
      <c r="I305" s="35" t="str">
        <f>IF(A305="","",SUMIF(RP!D:D,A305,RP!I:I))</f>
        <v/>
      </c>
      <c r="J305" s="35" t="str">
        <f t="shared" si="8"/>
        <v/>
      </c>
      <c r="K305" s="46" t="str">
        <f t="shared" si="9"/>
        <v/>
      </c>
    </row>
    <row r="306" spans="2:11" x14ac:dyDescent="0.3">
      <c r="B306" s="36"/>
      <c r="D306" t="str">
        <f>IF(C306="","",IFERROR(VLOOKUP(C306,GASTOS!B:C,2,0),""))</f>
        <v/>
      </c>
      <c r="F306" s="35"/>
      <c r="G306" s="35"/>
      <c r="I306" s="35" t="str">
        <f>IF(A306="","",SUMIF(RP!D:D,A306,RP!I:I))</f>
        <v/>
      </c>
      <c r="J306" s="35" t="str">
        <f t="shared" si="8"/>
        <v/>
      </c>
      <c r="K306" s="46" t="str">
        <f t="shared" si="9"/>
        <v/>
      </c>
    </row>
    <row r="307" spans="2:11" x14ac:dyDescent="0.3">
      <c r="B307" s="36"/>
      <c r="D307" t="str">
        <f>IF(C307="","",IFERROR(VLOOKUP(C307,GASTOS!B:C,2,0),""))</f>
        <v/>
      </c>
      <c r="F307" s="35"/>
      <c r="G307" s="35"/>
      <c r="I307" s="35" t="str">
        <f>IF(A307="","",SUMIF(RP!D:D,A307,RP!I:I))</f>
        <v/>
      </c>
      <c r="J307" s="35" t="str">
        <f t="shared" si="8"/>
        <v/>
      </c>
      <c r="K307" s="46" t="str">
        <f t="shared" si="9"/>
        <v/>
      </c>
    </row>
    <row r="308" spans="2:11" x14ac:dyDescent="0.3">
      <c r="B308" s="36"/>
      <c r="D308" t="str">
        <f>IF(C308="","",IFERROR(VLOOKUP(C308,GASTOS!B:C,2,0),""))</f>
        <v/>
      </c>
      <c r="F308" s="35"/>
      <c r="G308" s="35"/>
      <c r="I308" s="35" t="str">
        <f>IF(A308="","",SUMIF(RP!D:D,A308,RP!I:I))</f>
        <v/>
      </c>
      <c r="J308" s="35" t="str">
        <f t="shared" si="8"/>
        <v/>
      </c>
      <c r="K308" s="46" t="str">
        <f t="shared" si="9"/>
        <v/>
      </c>
    </row>
    <row r="309" spans="2:11" x14ac:dyDescent="0.3">
      <c r="B309" s="36"/>
      <c r="D309" t="str">
        <f>IF(C309="","",IFERROR(VLOOKUP(C309,GASTOS!B:C,2,0),""))</f>
        <v/>
      </c>
      <c r="F309" s="35"/>
      <c r="G309" s="35"/>
      <c r="I309" s="35" t="str">
        <f>IF(A309="","",SUMIF(RP!D:D,A309,RP!I:I))</f>
        <v/>
      </c>
      <c r="J309" s="35" t="str">
        <f t="shared" si="8"/>
        <v/>
      </c>
      <c r="K309" s="46" t="str">
        <f t="shared" si="9"/>
        <v/>
      </c>
    </row>
    <row r="310" spans="2:11" x14ac:dyDescent="0.3">
      <c r="B310" s="36"/>
      <c r="D310" t="str">
        <f>IF(C310="","",IFERROR(VLOOKUP(C310,GASTOS!B:C,2,0),""))</f>
        <v/>
      </c>
      <c r="F310" s="35"/>
      <c r="G310" s="35"/>
      <c r="I310" s="35" t="str">
        <f>IF(A310="","",SUMIF(RP!D:D,A310,RP!I:I))</f>
        <v/>
      </c>
      <c r="J310" s="35" t="str">
        <f t="shared" si="8"/>
        <v/>
      </c>
      <c r="K310" s="46" t="str">
        <f t="shared" si="9"/>
        <v/>
      </c>
    </row>
    <row r="311" spans="2:11" x14ac:dyDescent="0.3">
      <c r="B311" s="36"/>
      <c r="D311" t="str">
        <f>IF(C311="","",IFERROR(VLOOKUP(C311,GASTOS!B:C,2,0),""))</f>
        <v/>
      </c>
      <c r="F311" s="35"/>
      <c r="G311" s="35"/>
      <c r="I311" s="35" t="str">
        <f>IF(A311="","",SUMIF(RP!D:D,A311,RP!I:I))</f>
        <v/>
      </c>
      <c r="J311" s="35" t="str">
        <f t="shared" si="8"/>
        <v/>
      </c>
      <c r="K311" s="46" t="str">
        <f t="shared" si="9"/>
        <v/>
      </c>
    </row>
    <row r="312" spans="2:11" x14ac:dyDescent="0.3">
      <c r="B312" s="36"/>
      <c r="D312" t="str">
        <f>IF(C312="","",IFERROR(VLOOKUP(C312,GASTOS!B:C,2,0),""))</f>
        <v/>
      </c>
      <c r="F312" s="35"/>
      <c r="G312" s="35"/>
      <c r="I312" s="35" t="str">
        <f>IF(A312="","",SUMIF(RP!D:D,A312,RP!I:I))</f>
        <v/>
      </c>
      <c r="J312" s="35" t="str">
        <f t="shared" si="8"/>
        <v/>
      </c>
      <c r="K312" s="46" t="str">
        <f t="shared" si="9"/>
        <v/>
      </c>
    </row>
    <row r="313" spans="2:11" x14ac:dyDescent="0.3">
      <c r="B313" s="36"/>
      <c r="D313" t="str">
        <f>IF(C313="","",IFERROR(VLOOKUP(C313,GASTOS!B:C,2,0),""))</f>
        <v/>
      </c>
      <c r="F313" s="35"/>
      <c r="G313" s="35"/>
      <c r="I313" s="35" t="str">
        <f>IF(A313="","",SUMIF(RP!D:D,A313,RP!I:I))</f>
        <v/>
      </c>
      <c r="J313" s="35" t="str">
        <f t="shared" si="8"/>
        <v/>
      </c>
      <c r="K313" s="46" t="str">
        <f t="shared" si="9"/>
        <v/>
      </c>
    </row>
    <row r="314" spans="2:11" x14ac:dyDescent="0.3">
      <c r="B314" s="36"/>
      <c r="D314" t="str">
        <f>IF(C314="","",IFERROR(VLOOKUP(C314,GASTOS!B:C,2,0),""))</f>
        <v/>
      </c>
      <c r="F314" s="35"/>
      <c r="G314" s="35"/>
      <c r="I314" s="35" t="str">
        <f>IF(A314="","",SUMIF(RP!D:D,A314,RP!I:I))</f>
        <v/>
      </c>
      <c r="J314" s="35" t="str">
        <f t="shared" si="8"/>
        <v/>
      </c>
      <c r="K314" s="46" t="str">
        <f t="shared" si="9"/>
        <v/>
      </c>
    </row>
    <row r="315" spans="2:11" x14ac:dyDescent="0.3">
      <c r="B315" s="36"/>
      <c r="D315" t="str">
        <f>IF(C315="","",IFERROR(VLOOKUP(C315,GASTOS!B:C,2,0),""))</f>
        <v/>
      </c>
      <c r="F315" s="35"/>
      <c r="G315" s="35"/>
      <c r="I315" s="35" t="str">
        <f>IF(A315="","",SUMIF(RP!D:D,A315,RP!I:I))</f>
        <v/>
      </c>
      <c r="J315" s="35" t="str">
        <f t="shared" si="8"/>
        <v/>
      </c>
      <c r="K315" s="46" t="str">
        <f t="shared" si="9"/>
        <v/>
      </c>
    </row>
    <row r="316" spans="2:11" x14ac:dyDescent="0.3">
      <c r="B316" s="36"/>
      <c r="D316" t="str">
        <f>IF(C316="","",IFERROR(VLOOKUP(C316,GASTOS!B:C,2,0),""))</f>
        <v/>
      </c>
      <c r="F316" s="35"/>
      <c r="G316" s="35"/>
      <c r="I316" s="35" t="str">
        <f>IF(A316="","",SUMIF(RP!D:D,A316,RP!I:I))</f>
        <v/>
      </c>
      <c r="J316" s="35" t="str">
        <f t="shared" si="8"/>
        <v/>
      </c>
      <c r="K316" s="46" t="str">
        <f t="shared" si="9"/>
        <v/>
      </c>
    </row>
    <row r="317" spans="2:11" x14ac:dyDescent="0.3">
      <c r="B317" s="36"/>
      <c r="D317" t="str">
        <f>IF(C317="","",IFERROR(VLOOKUP(C317,GASTOS!B:C,2,0),""))</f>
        <v/>
      </c>
      <c r="F317" s="35"/>
      <c r="G317" s="35"/>
      <c r="I317" s="35" t="str">
        <f>IF(A317="","",SUMIF(RP!D:D,A317,RP!I:I))</f>
        <v/>
      </c>
      <c r="J317" s="35" t="str">
        <f t="shared" si="8"/>
        <v/>
      </c>
      <c r="K317" s="46" t="str">
        <f t="shared" si="9"/>
        <v/>
      </c>
    </row>
    <row r="318" spans="2:11" x14ac:dyDescent="0.3">
      <c r="B318" s="36"/>
      <c r="D318" t="str">
        <f>IF(C318="","",IFERROR(VLOOKUP(C318,GASTOS!B:C,2,0),""))</f>
        <v/>
      </c>
      <c r="F318" s="35"/>
      <c r="G318" s="35"/>
      <c r="I318" s="35" t="str">
        <f>IF(A318="","",SUMIF(RP!D:D,A318,RP!I:I))</f>
        <v/>
      </c>
      <c r="J318" s="35" t="str">
        <f t="shared" si="8"/>
        <v/>
      </c>
      <c r="K318" s="46" t="str">
        <f t="shared" si="9"/>
        <v/>
      </c>
    </row>
    <row r="319" spans="2:11" x14ac:dyDescent="0.3">
      <c r="B319" s="36"/>
      <c r="D319" t="str">
        <f>IF(C319="","",IFERROR(VLOOKUP(C319,GASTOS!B:C,2,0),""))</f>
        <v/>
      </c>
      <c r="F319" s="35"/>
      <c r="G319" s="35"/>
      <c r="I319" s="35" t="str">
        <f>IF(A319="","",SUMIF(RP!D:D,A319,RP!I:I))</f>
        <v/>
      </c>
      <c r="J319" s="35" t="str">
        <f t="shared" si="8"/>
        <v/>
      </c>
      <c r="K319" s="46" t="str">
        <f t="shared" si="9"/>
        <v/>
      </c>
    </row>
    <row r="320" spans="2:11" x14ac:dyDescent="0.3">
      <c r="B320" s="36"/>
      <c r="D320" t="str">
        <f>IF(C320="","",IFERROR(VLOOKUP(C320,GASTOS!B:C,2,0),""))</f>
        <v/>
      </c>
      <c r="F320" s="35"/>
      <c r="G320" s="35"/>
      <c r="I320" s="35" t="str">
        <f>IF(A320="","",SUMIF(RP!D:D,A320,RP!I:I))</f>
        <v/>
      </c>
      <c r="J320" s="35" t="str">
        <f t="shared" si="8"/>
        <v/>
      </c>
      <c r="K320" s="46" t="str">
        <f t="shared" si="9"/>
        <v/>
      </c>
    </row>
    <row r="321" spans="2:11" x14ac:dyDescent="0.3">
      <c r="B321" s="36"/>
      <c r="D321" t="str">
        <f>IF(C321="","",IFERROR(VLOOKUP(C321,GASTOS!B:C,2,0),""))</f>
        <v/>
      </c>
      <c r="F321" s="35"/>
      <c r="G321" s="35"/>
      <c r="I321" s="35" t="str">
        <f>IF(A321="","",SUMIF(RP!D:D,A321,RP!I:I))</f>
        <v/>
      </c>
      <c r="J321" s="35" t="str">
        <f t="shared" si="8"/>
        <v/>
      </c>
      <c r="K321" s="46" t="str">
        <f t="shared" si="9"/>
        <v/>
      </c>
    </row>
    <row r="322" spans="2:11" x14ac:dyDescent="0.3">
      <c r="B322" s="36"/>
      <c r="D322" t="str">
        <f>IF(C322="","",IFERROR(VLOOKUP(C322,GASTOS!B:C,2,0),""))</f>
        <v/>
      </c>
      <c r="F322" s="35"/>
      <c r="G322" s="35"/>
      <c r="I322" s="35" t="str">
        <f>IF(A322="","",SUMIF(RP!D:D,A322,RP!I:I))</f>
        <v/>
      </c>
      <c r="J322" s="35" t="str">
        <f t="shared" ref="J322:J385" si="10">IF(A322="","",F322-I322)</f>
        <v/>
      </c>
      <c r="K322" s="46" t="str">
        <f t="shared" ref="K322:K385" si="11">IF(A322="","",IF(H322="ACTIVO","CDP vigente. Saldo disponible para comprometer en RPs: " &amp; TEXT(J322,"#,##0"),IF(H322="AGOTADO","CDP sin saldo. Valor total utilizado en Registros Presupuestales (RP)",IF(H322="ANULADO","CDP anulado. Valor liberado y devuelto al saldo del rubro",""))))</f>
        <v/>
      </c>
    </row>
    <row r="323" spans="2:11" x14ac:dyDescent="0.3">
      <c r="B323" s="36"/>
      <c r="D323" t="str">
        <f>IF(C323="","",IFERROR(VLOOKUP(C323,GASTOS!B:C,2,0),""))</f>
        <v/>
      </c>
      <c r="F323" s="35"/>
      <c r="G323" s="35"/>
      <c r="I323" s="35" t="str">
        <f>IF(A323="","",SUMIF(RP!D:D,A323,RP!I:I))</f>
        <v/>
      </c>
      <c r="J323" s="35" t="str">
        <f t="shared" si="10"/>
        <v/>
      </c>
      <c r="K323" s="46" t="str">
        <f t="shared" si="11"/>
        <v/>
      </c>
    </row>
    <row r="324" spans="2:11" x14ac:dyDescent="0.3">
      <c r="B324" s="36"/>
      <c r="D324" t="str">
        <f>IF(C324="","",IFERROR(VLOOKUP(C324,GASTOS!B:C,2,0),""))</f>
        <v/>
      </c>
      <c r="F324" s="35"/>
      <c r="G324" s="35"/>
      <c r="I324" s="35" t="str">
        <f>IF(A324="","",SUMIF(RP!D:D,A324,RP!I:I))</f>
        <v/>
      </c>
      <c r="J324" s="35" t="str">
        <f t="shared" si="10"/>
        <v/>
      </c>
      <c r="K324" s="46" t="str">
        <f t="shared" si="11"/>
        <v/>
      </c>
    </row>
    <row r="325" spans="2:11" x14ac:dyDescent="0.3">
      <c r="B325" s="36"/>
      <c r="D325" t="str">
        <f>IF(C325="","",IFERROR(VLOOKUP(C325,GASTOS!B:C,2,0),""))</f>
        <v/>
      </c>
      <c r="F325" s="35"/>
      <c r="G325" s="35"/>
      <c r="I325" s="35" t="str">
        <f>IF(A325="","",SUMIF(RP!D:D,A325,RP!I:I))</f>
        <v/>
      </c>
      <c r="J325" s="35" t="str">
        <f t="shared" si="10"/>
        <v/>
      </c>
      <c r="K325" s="46" t="str">
        <f t="shared" si="11"/>
        <v/>
      </c>
    </row>
    <row r="326" spans="2:11" x14ac:dyDescent="0.3">
      <c r="B326" s="36"/>
      <c r="D326" t="str">
        <f>IF(C326="","",IFERROR(VLOOKUP(C326,GASTOS!B:C,2,0),""))</f>
        <v/>
      </c>
      <c r="F326" s="35"/>
      <c r="G326" s="35"/>
      <c r="I326" s="35" t="str">
        <f>IF(A326="","",SUMIF(RP!D:D,A326,RP!I:I))</f>
        <v/>
      </c>
      <c r="J326" s="35" t="str">
        <f t="shared" si="10"/>
        <v/>
      </c>
      <c r="K326" s="46" t="str">
        <f t="shared" si="11"/>
        <v/>
      </c>
    </row>
    <row r="327" spans="2:11" x14ac:dyDescent="0.3">
      <c r="B327" s="36"/>
      <c r="D327" t="str">
        <f>IF(C327="","",IFERROR(VLOOKUP(C327,GASTOS!B:C,2,0),""))</f>
        <v/>
      </c>
      <c r="F327" s="35"/>
      <c r="G327" s="35"/>
      <c r="I327" s="35" t="str">
        <f>IF(A327="","",SUMIF(RP!D:D,A327,RP!I:I))</f>
        <v/>
      </c>
      <c r="J327" s="35" t="str">
        <f t="shared" si="10"/>
        <v/>
      </c>
      <c r="K327" s="46" t="str">
        <f t="shared" si="11"/>
        <v/>
      </c>
    </row>
    <row r="328" spans="2:11" x14ac:dyDescent="0.3">
      <c r="B328" s="36"/>
      <c r="D328" t="str">
        <f>IF(C328="","",IFERROR(VLOOKUP(C328,GASTOS!B:C,2,0),""))</f>
        <v/>
      </c>
      <c r="F328" s="35"/>
      <c r="G328" s="35"/>
      <c r="I328" s="35" t="str">
        <f>IF(A328="","",SUMIF(RP!D:D,A328,RP!I:I))</f>
        <v/>
      </c>
      <c r="J328" s="35" t="str">
        <f t="shared" si="10"/>
        <v/>
      </c>
      <c r="K328" s="46" t="str">
        <f t="shared" si="11"/>
        <v/>
      </c>
    </row>
    <row r="329" spans="2:11" x14ac:dyDescent="0.3">
      <c r="B329" s="36"/>
      <c r="D329" t="str">
        <f>IF(C329="","",IFERROR(VLOOKUP(C329,GASTOS!B:C,2,0),""))</f>
        <v/>
      </c>
      <c r="F329" s="35"/>
      <c r="G329" s="35"/>
      <c r="I329" s="35" t="str">
        <f>IF(A329="","",SUMIF(RP!D:D,A329,RP!I:I))</f>
        <v/>
      </c>
      <c r="J329" s="35" t="str">
        <f t="shared" si="10"/>
        <v/>
      </c>
      <c r="K329" s="46" t="str">
        <f t="shared" si="11"/>
        <v/>
      </c>
    </row>
    <row r="330" spans="2:11" x14ac:dyDescent="0.3">
      <c r="B330" s="36"/>
      <c r="D330" t="str">
        <f>IF(C330="","",IFERROR(VLOOKUP(C330,GASTOS!B:C,2,0),""))</f>
        <v/>
      </c>
      <c r="F330" s="35"/>
      <c r="G330" s="35"/>
      <c r="I330" s="35" t="str">
        <f>IF(A330="","",SUMIF(RP!D:D,A330,RP!I:I))</f>
        <v/>
      </c>
      <c r="J330" s="35" t="str">
        <f t="shared" si="10"/>
        <v/>
      </c>
      <c r="K330" s="46" t="str">
        <f t="shared" si="11"/>
        <v/>
      </c>
    </row>
    <row r="331" spans="2:11" x14ac:dyDescent="0.3">
      <c r="B331" s="36"/>
      <c r="D331" t="str">
        <f>IF(C331="","",IFERROR(VLOOKUP(C331,GASTOS!B:C,2,0),""))</f>
        <v/>
      </c>
      <c r="F331" s="35"/>
      <c r="G331" s="35"/>
      <c r="I331" s="35" t="str">
        <f>IF(A331="","",SUMIF(RP!D:D,A331,RP!I:I))</f>
        <v/>
      </c>
      <c r="J331" s="35" t="str">
        <f t="shared" si="10"/>
        <v/>
      </c>
      <c r="K331" s="46" t="str">
        <f t="shared" si="11"/>
        <v/>
      </c>
    </row>
    <row r="332" spans="2:11" x14ac:dyDescent="0.3">
      <c r="B332" s="36"/>
      <c r="D332" t="str">
        <f>IF(C332="","",IFERROR(VLOOKUP(C332,GASTOS!B:C,2,0),""))</f>
        <v/>
      </c>
      <c r="F332" s="35"/>
      <c r="G332" s="35"/>
      <c r="I332" s="35" t="str">
        <f>IF(A332="","",SUMIF(RP!D:D,A332,RP!I:I))</f>
        <v/>
      </c>
      <c r="J332" s="35" t="str">
        <f t="shared" si="10"/>
        <v/>
      </c>
      <c r="K332" s="46" t="str">
        <f t="shared" si="11"/>
        <v/>
      </c>
    </row>
    <row r="333" spans="2:11" x14ac:dyDescent="0.3">
      <c r="B333" s="36"/>
      <c r="D333" t="str">
        <f>IF(C333="","",IFERROR(VLOOKUP(C333,GASTOS!B:C,2,0),""))</f>
        <v/>
      </c>
      <c r="F333" s="35"/>
      <c r="G333" s="35"/>
      <c r="I333" s="35" t="str">
        <f>IF(A333="","",SUMIF(RP!D:D,A333,RP!I:I))</f>
        <v/>
      </c>
      <c r="J333" s="35" t="str">
        <f t="shared" si="10"/>
        <v/>
      </c>
      <c r="K333" s="46" t="str">
        <f t="shared" si="11"/>
        <v/>
      </c>
    </row>
    <row r="334" spans="2:11" x14ac:dyDescent="0.3">
      <c r="B334" s="36"/>
      <c r="D334" t="str">
        <f>IF(C334="","",IFERROR(VLOOKUP(C334,GASTOS!B:C,2,0),""))</f>
        <v/>
      </c>
      <c r="F334" s="35"/>
      <c r="G334" s="35"/>
      <c r="I334" s="35" t="str">
        <f>IF(A334="","",SUMIF(RP!D:D,A334,RP!I:I))</f>
        <v/>
      </c>
      <c r="J334" s="35" t="str">
        <f t="shared" si="10"/>
        <v/>
      </c>
      <c r="K334" s="46" t="str">
        <f t="shared" si="11"/>
        <v/>
      </c>
    </row>
    <row r="335" spans="2:11" x14ac:dyDescent="0.3">
      <c r="B335" s="36"/>
      <c r="D335" t="str">
        <f>IF(C335="","",IFERROR(VLOOKUP(C335,GASTOS!B:C,2,0),""))</f>
        <v/>
      </c>
      <c r="F335" s="35"/>
      <c r="G335" s="35"/>
      <c r="I335" s="35" t="str">
        <f>IF(A335="","",SUMIF(RP!D:D,A335,RP!I:I))</f>
        <v/>
      </c>
      <c r="J335" s="35" t="str">
        <f t="shared" si="10"/>
        <v/>
      </c>
      <c r="K335" s="46" t="str">
        <f t="shared" si="11"/>
        <v/>
      </c>
    </row>
    <row r="336" spans="2:11" x14ac:dyDescent="0.3">
      <c r="B336" s="36"/>
      <c r="D336" t="str">
        <f>IF(C336="","",IFERROR(VLOOKUP(C336,GASTOS!B:C,2,0),""))</f>
        <v/>
      </c>
      <c r="F336" s="35"/>
      <c r="G336" s="35"/>
      <c r="I336" s="35" t="str">
        <f>IF(A336="","",SUMIF(RP!D:D,A336,RP!I:I))</f>
        <v/>
      </c>
      <c r="J336" s="35" t="str">
        <f t="shared" si="10"/>
        <v/>
      </c>
      <c r="K336" s="46" t="str">
        <f t="shared" si="11"/>
        <v/>
      </c>
    </row>
    <row r="337" spans="2:11" x14ac:dyDescent="0.3">
      <c r="B337" s="36"/>
      <c r="D337" t="str">
        <f>IF(C337="","",IFERROR(VLOOKUP(C337,GASTOS!B:C,2,0),""))</f>
        <v/>
      </c>
      <c r="F337" s="35"/>
      <c r="G337" s="35"/>
      <c r="I337" s="35" t="str">
        <f>IF(A337="","",SUMIF(RP!D:D,A337,RP!I:I))</f>
        <v/>
      </c>
      <c r="J337" s="35" t="str">
        <f t="shared" si="10"/>
        <v/>
      </c>
      <c r="K337" s="46" t="str">
        <f t="shared" si="11"/>
        <v/>
      </c>
    </row>
    <row r="338" spans="2:11" x14ac:dyDescent="0.3">
      <c r="B338" s="36"/>
      <c r="D338" t="str">
        <f>IF(C338="","",IFERROR(VLOOKUP(C338,GASTOS!B:C,2,0),""))</f>
        <v/>
      </c>
      <c r="F338" s="35"/>
      <c r="G338" s="35"/>
      <c r="I338" s="35" t="str">
        <f>IF(A338="","",SUMIF(RP!D:D,A338,RP!I:I))</f>
        <v/>
      </c>
      <c r="J338" s="35" t="str">
        <f t="shared" si="10"/>
        <v/>
      </c>
      <c r="K338" s="46" t="str">
        <f t="shared" si="11"/>
        <v/>
      </c>
    </row>
    <row r="339" spans="2:11" x14ac:dyDescent="0.3">
      <c r="B339" s="36"/>
      <c r="D339" t="str">
        <f>IF(C339="","",IFERROR(VLOOKUP(C339,GASTOS!B:C,2,0),""))</f>
        <v/>
      </c>
      <c r="F339" s="35"/>
      <c r="G339" s="35"/>
      <c r="I339" s="35" t="str">
        <f>IF(A339="","",SUMIF(RP!D:D,A339,RP!I:I))</f>
        <v/>
      </c>
      <c r="J339" s="35" t="str">
        <f t="shared" si="10"/>
        <v/>
      </c>
      <c r="K339" s="46" t="str">
        <f t="shared" si="11"/>
        <v/>
      </c>
    </row>
    <row r="340" spans="2:11" x14ac:dyDescent="0.3">
      <c r="B340" s="36"/>
      <c r="D340" t="str">
        <f>IF(C340="","",IFERROR(VLOOKUP(C340,GASTOS!B:C,2,0),""))</f>
        <v/>
      </c>
      <c r="F340" s="35"/>
      <c r="G340" s="35"/>
      <c r="I340" s="35" t="str">
        <f>IF(A340="","",SUMIF(RP!D:D,A340,RP!I:I))</f>
        <v/>
      </c>
      <c r="J340" s="35" t="str">
        <f t="shared" si="10"/>
        <v/>
      </c>
      <c r="K340" s="46" t="str">
        <f t="shared" si="11"/>
        <v/>
      </c>
    </row>
    <row r="341" spans="2:11" x14ac:dyDescent="0.3">
      <c r="B341" s="36"/>
      <c r="D341" t="str">
        <f>IF(C341="","",IFERROR(VLOOKUP(C341,GASTOS!B:C,2,0),""))</f>
        <v/>
      </c>
      <c r="F341" s="35"/>
      <c r="G341" s="35"/>
      <c r="I341" s="35" t="str">
        <f>IF(A341="","",SUMIF(RP!D:D,A341,RP!I:I))</f>
        <v/>
      </c>
      <c r="J341" s="35" t="str">
        <f t="shared" si="10"/>
        <v/>
      </c>
      <c r="K341" s="46" t="str">
        <f t="shared" si="11"/>
        <v/>
      </c>
    </row>
    <row r="342" spans="2:11" x14ac:dyDescent="0.3">
      <c r="B342" s="36"/>
      <c r="D342" t="str">
        <f>IF(C342="","",IFERROR(VLOOKUP(C342,GASTOS!B:C,2,0),""))</f>
        <v/>
      </c>
      <c r="F342" s="35"/>
      <c r="G342" s="35"/>
      <c r="I342" s="35" t="str">
        <f>IF(A342="","",SUMIF(RP!D:D,A342,RP!I:I))</f>
        <v/>
      </c>
      <c r="J342" s="35" t="str">
        <f t="shared" si="10"/>
        <v/>
      </c>
      <c r="K342" s="46" t="str">
        <f t="shared" si="11"/>
        <v/>
      </c>
    </row>
    <row r="343" spans="2:11" x14ac:dyDescent="0.3">
      <c r="B343" s="36"/>
      <c r="D343" t="str">
        <f>IF(C343="","",IFERROR(VLOOKUP(C343,GASTOS!B:C,2,0),""))</f>
        <v/>
      </c>
      <c r="F343" s="35"/>
      <c r="G343" s="35"/>
      <c r="I343" s="35" t="str">
        <f>IF(A343="","",SUMIF(RP!D:D,A343,RP!I:I))</f>
        <v/>
      </c>
      <c r="J343" s="35" t="str">
        <f t="shared" si="10"/>
        <v/>
      </c>
      <c r="K343" s="46" t="str">
        <f t="shared" si="11"/>
        <v/>
      </c>
    </row>
    <row r="344" spans="2:11" x14ac:dyDescent="0.3">
      <c r="B344" s="36"/>
      <c r="D344" t="str">
        <f>IF(C344="","",IFERROR(VLOOKUP(C344,GASTOS!B:C,2,0),""))</f>
        <v/>
      </c>
      <c r="F344" s="35"/>
      <c r="G344" s="35"/>
      <c r="I344" s="35" t="str">
        <f>IF(A344="","",SUMIF(RP!D:D,A344,RP!I:I))</f>
        <v/>
      </c>
      <c r="J344" s="35" t="str">
        <f t="shared" si="10"/>
        <v/>
      </c>
      <c r="K344" s="46" t="str">
        <f t="shared" si="11"/>
        <v/>
      </c>
    </row>
    <row r="345" spans="2:11" x14ac:dyDescent="0.3">
      <c r="B345" s="36"/>
      <c r="D345" t="str">
        <f>IF(C345="","",IFERROR(VLOOKUP(C345,GASTOS!B:C,2,0),""))</f>
        <v/>
      </c>
      <c r="F345" s="35"/>
      <c r="G345" s="35"/>
      <c r="I345" s="35" t="str">
        <f>IF(A345="","",SUMIF(RP!D:D,A345,RP!I:I))</f>
        <v/>
      </c>
      <c r="J345" s="35" t="str">
        <f t="shared" si="10"/>
        <v/>
      </c>
      <c r="K345" s="46" t="str">
        <f t="shared" si="11"/>
        <v/>
      </c>
    </row>
    <row r="346" spans="2:11" x14ac:dyDescent="0.3">
      <c r="B346" s="36"/>
      <c r="D346" t="str">
        <f>IF(C346="","",IFERROR(VLOOKUP(C346,GASTOS!B:C,2,0),""))</f>
        <v/>
      </c>
      <c r="F346" s="35"/>
      <c r="G346" s="35"/>
      <c r="I346" s="35" t="str">
        <f>IF(A346="","",SUMIF(RP!D:D,A346,RP!I:I))</f>
        <v/>
      </c>
      <c r="J346" s="35" t="str">
        <f t="shared" si="10"/>
        <v/>
      </c>
      <c r="K346" s="46" t="str">
        <f t="shared" si="11"/>
        <v/>
      </c>
    </row>
    <row r="347" spans="2:11" x14ac:dyDescent="0.3">
      <c r="B347" s="36"/>
      <c r="D347" t="str">
        <f>IF(C347="","",IFERROR(VLOOKUP(C347,GASTOS!B:C,2,0),""))</f>
        <v/>
      </c>
      <c r="F347" s="35"/>
      <c r="G347" s="35"/>
      <c r="I347" s="35" t="str">
        <f>IF(A347="","",SUMIF(RP!D:D,A347,RP!I:I))</f>
        <v/>
      </c>
      <c r="J347" s="35" t="str">
        <f t="shared" si="10"/>
        <v/>
      </c>
      <c r="K347" s="46" t="str">
        <f t="shared" si="11"/>
        <v/>
      </c>
    </row>
    <row r="348" spans="2:11" x14ac:dyDescent="0.3">
      <c r="B348" s="36"/>
      <c r="D348" t="str">
        <f>IF(C348="","",IFERROR(VLOOKUP(C348,GASTOS!B:C,2,0),""))</f>
        <v/>
      </c>
      <c r="F348" s="35"/>
      <c r="G348" s="35"/>
      <c r="I348" s="35" t="str">
        <f>IF(A348="","",SUMIF(RP!D:D,A348,RP!I:I))</f>
        <v/>
      </c>
      <c r="J348" s="35" t="str">
        <f t="shared" si="10"/>
        <v/>
      </c>
      <c r="K348" s="46" t="str">
        <f t="shared" si="11"/>
        <v/>
      </c>
    </row>
    <row r="349" spans="2:11" x14ac:dyDescent="0.3">
      <c r="B349" s="36"/>
      <c r="D349" t="str">
        <f>IF(C349="","",IFERROR(VLOOKUP(C349,GASTOS!B:C,2,0),""))</f>
        <v/>
      </c>
      <c r="F349" s="35"/>
      <c r="G349" s="35"/>
      <c r="I349" s="35" t="str">
        <f>IF(A349="","",SUMIF(RP!D:D,A349,RP!I:I))</f>
        <v/>
      </c>
      <c r="J349" s="35" t="str">
        <f t="shared" si="10"/>
        <v/>
      </c>
      <c r="K349" s="46" t="str">
        <f t="shared" si="11"/>
        <v/>
      </c>
    </row>
    <row r="350" spans="2:11" x14ac:dyDescent="0.3">
      <c r="B350" s="36"/>
      <c r="D350" t="str">
        <f>IF(C350="","",IFERROR(VLOOKUP(C350,GASTOS!B:C,2,0),""))</f>
        <v/>
      </c>
      <c r="F350" s="35"/>
      <c r="G350" s="35"/>
      <c r="I350" s="35" t="str">
        <f>IF(A350="","",SUMIF(RP!D:D,A350,RP!I:I))</f>
        <v/>
      </c>
      <c r="J350" s="35" t="str">
        <f t="shared" si="10"/>
        <v/>
      </c>
      <c r="K350" s="46" t="str">
        <f t="shared" si="11"/>
        <v/>
      </c>
    </row>
    <row r="351" spans="2:11" x14ac:dyDescent="0.3">
      <c r="B351" s="36"/>
      <c r="D351" t="str">
        <f>IF(C351="","",IFERROR(VLOOKUP(C351,GASTOS!B:C,2,0),""))</f>
        <v/>
      </c>
      <c r="F351" s="35"/>
      <c r="G351" s="35"/>
      <c r="I351" s="35" t="str">
        <f>IF(A351="","",SUMIF(RP!D:D,A351,RP!I:I))</f>
        <v/>
      </c>
      <c r="J351" s="35" t="str">
        <f t="shared" si="10"/>
        <v/>
      </c>
      <c r="K351" s="46" t="str">
        <f t="shared" si="11"/>
        <v/>
      </c>
    </row>
    <row r="352" spans="2:11" x14ac:dyDescent="0.3">
      <c r="B352" s="36"/>
      <c r="D352" t="str">
        <f>IF(C352="","",IFERROR(VLOOKUP(C352,GASTOS!B:C,2,0),""))</f>
        <v/>
      </c>
      <c r="F352" s="35"/>
      <c r="G352" s="35"/>
      <c r="I352" s="35" t="str">
        <f>IF(A352="","",SUMIF(RP!D:D,A352,RP!I:I))</f>
        <v/>
      </c>
      <c r="J352" s="35" t="str">
        <f t="shared" si="10"/>
        <v/>
      </c>
      <c r="K352" s="46" t="str">
        <f t="shared" si="11"/>
        <v/>
      </c>
    </row>
    <row r="353" spans="2:11" x14ac:dyDescent="0.3">
      <c r="B353" s="36"/>
      <c r="D353" t="str">
        <f>IF(C353="","",IFERROR(VLOOKUP(C353,GASTOS!B:C,2,0),""))</f>
        <v/>
      </c>
      <c r="F353" s="35"/>
      <c r="G353" s="35"/>
      <c r="I353" s="35" t="str">
        <f>IF(A353="","",SUMIF(RP!D:D,A353,RP!I:I))</f>
        <v/>
      </c>
      <c r="J353" s="35" t="str">
        <f t="shared" si="10"/>
        <v/>
      </c>
      <c r="K353" s="46" t="str">
        <f t="shared" si="11"/>
        <v/>
      </c>
    </row>
    <row r="354" spans="2:11" x14ac:dyDescent="0.3">
      <c r="B354" s="36"/>
      <c r="D354" t="str">
        <f>IF(C354="","",IFERROR(VLOOKUP(C354,GASTOS!B:C,2,0),""))</f>
        <v/>
      </c>
      <c r="F354" s="35"/>
      <c r="G354" s="35"/>
      <c r="I354" s="35" t="str">
        <f>IF(A354="","",SUMIF(RP!D:D,A354,RP!I:I))</f>
        <v/>
      </c>
      <c r="J354" s="35" t="str">
        <f t="shared" si="10"/>
        <v/>
      </c>
      <c r="K354" s="46" t="str">
        <f t="shared" si="11"/>
        <v/>
      </c>
    </row>
    <row r="355" spans="2:11" x14ac:dyDescent="0.3">
      <c r="B355" s="36"/>
      <c r="D355" t="str">
        <f>IF(C355="","",IFERROR(VLOOKUP(C355,GASTOS!B:C,2,0),""))</f>
        <v/>
      </c>
      <c r="F355" s="35"/>
      <c r="G355" s="35"/>
      <c r="I355" s="35" t="str">
        <f>IF(A355="","",SUMIF(RP!D:D,A355,RP!I:I))</f>
        <v/>
      </c>
      <c r="J355" s="35" t="str">
        <f t="shared" si="10"/>
        <v/>
      </c>
      <c r="K355" s="46" t="str">
        <f t="shared" si="11"/>
        <v/>
      </c>
    </row>
    <row r="356" spans="2:11" x14ac:dyDescent="0.3">
      <c r="B356" s="36"/>
      <c r="D356" t="str">
        <f>IF(C356="","",IFERROR(VLOOKUP(C356,GASTOS!B:C,2,0),""))</f>
        <v/>
      </c>
      <c r="F356" s="35"/>
      <c r="G356" s="35"/>
      <c r="I356" s="35" t="str">
        <f>IF(A356="","",SUMIF(RP!D:D,A356,RP!I:I))</f>
        <v/>
      </c>
      <c r="J356" s="35" t="str">
        <f t="shared" si="10"/>
        <v/>
      </c>
      <c r="K356" s="46" t="str">
        <f t="shared" si="11"/>
        <v/>
      </c>
    </row>
    <row r="357" spans="2:11" x14ac:dyDescent="0.3">
      <c r="B357" s="36"/>
      <c r="D357" t="str">
        <f>IF(C357="","",IFERROR(VLOOKUP(C357,GASTOS!B:C,2,0),""))</f>
        <v/>
      </c>
      <c r="F357" s="35"/>
      <c r="G357" s="35"/>
      <c r="I357" s="35" t="str">
        <f>IF(A357="","",SUMIF(RP!D:D,A357,RP!I:I))</f>
        <v/>
      </c>
      <c r="J357" s="35" t="str">
        <f t="shared" si="10"/>
        <v/>
      </c>
      <c r="K357" s="46" t="str">
        <f t="shared" si="11"/>
        <v/>
      </c>
    </row>
    <row r="358" spans="2:11" x14ac:dyDescent="0.3">
      <c r="B358" s="36"/>
      <c r="D358" t="str">
        <f>IF(C358="","",IFERROR(VLOOKUP(C358,GASTOS!B:C,2,0),""))</f>
        <v/>
      </c>
      <c r="F358" s="35"/>
      <c r="G358" s="35"/>
      <c r="I358" s="35" t="str">
        <f>IF(A358="","",SUMIF(RP!D:D,A358,RP!I:I))</f>
        <v/>
      </c>
      <c r="J358" s="35" t="str">
        <f t="shared" si="10"/>
        <v/>
      </c>
      <c r="K358" s="46" t="str">
        <f t="shared" si="11"/>
        <v/>
      </c>
    </row>
    <row r="359" spans="2:11" x14ac:dyDescent="0.3">
      <c r="B359" s="36"/>
      <c r="D359" t="str">
        <f>IF(C359="","",IFERROR(VLOOKUP(C359,GASTOS!B:C,2,0),""))</f>
        <v/>
      </c>
      <c r="F359" s="35"/>
      <c r="G359" s="35"/>
      <c r="I359" s="35" t="str">
        <f>IF(A359="","",SUMIF(RP!D:D,A359,RP!I:I))</f>
        <v/>
      </c>
      <c r="J359" s="35" t="str">
        <f t="shared" si="10"/>
        <v/>
      </c>
      <c r="K359" s="46" t="str">
        <f t="shared" si="11"/>
        <v/>
      </c>
    </row>
    <row r="360" spans="2:11" x14ac:dyDescent="0.3">
      <c r="B360" s="36"/>
      <c r="D360" t="str">
        <f>IF(C360="","",IFERROR(VLOOKUP(C360,GASTOS!B:C,2,0),""))</f>
        <v/>
      </c>
      <c r="F360" s="35"/>
      <c r="G360" s="35"/>
      <c r="I360" s="35" t="str">
        <f>IF(A360="","",SUMIF(RP!D:D,A360,RP!I:I))</f>
        <v/>
      </c>
      <c r="J360" s="35" t="str">
        <f t="shared" si="10"/>
        <v/>
      </c>
      <c r="K360" s="46" t="str">
        <f t="shared" si="11"/>
        <v/>
      </c>
    </row>
    <row r="361" spans="2:11" x14ac:dyDescent="0.3">
      <c r="B361" s="36"/>
      <c r="D361" t="str">
        <f>IF(C361="","",IFERROR(VLOOKUP(C361,GASTOS!B:C,2,0),""))</f>
        <v/>
      </c>
      <c r="F361" s="35"/>
      <c r="G361" s="35"/>
      <c r="I361" s="35" t="str">
        <f>IF(A361="","",SUMIF(RP!D:D,A361,RP!I:I))</f>
        <v/>
      </c>
      <c r="J361" s="35" t="str">
        <f t="shared" si="10"/>
        <v/>
      </c>
      <c r="K361" s="46" t="str">
        <f t="shared" si="11"/>
        <v/>
      </c>
    </row>
    <row r="362" spans="2:11" x14ac:dyDescent="0.3">
      <c r="B362" s="36"/>
      <c r="D362" t="str">
        <f>IF(C362="","",IFERROR(VLOOKUP(C362,GASTOS!B:C,2,0),""))</f>
        <v/>
      </c>
      <c r="F362" s="35"/>
      <c r="G362" s="35"/>
      <c r="I362" s="35" t="str">
        <f>IF(A362="","",SUMIF(RP!D:D,A362,RP!I:I))</f>
        <v/>
      </c>
      <c r="J362" s="35" t="str">
        <f t="shared" si="10"/>
        <v/>
      </c>
      <c r="K362" s="46" t="str">
        <f t="shared" si="11"/>
        <v/>
      </c>
    </row>
    <row r="363" spans="2:11" x14ac:dyDescent="0.3">
      <c r="B363" s="36"/>
      <c r="D363" t="str">
        <f>IF(C363="","",IFERROR(VLOOKUP(C363,GASTOS!B:C,2,0),""))</f>
        <v/>
      </c>
      <c r="F363" s="35"/>
      <c r="G363" s="35"/>
      <c r="I363" s="35" t="str">
        <f>IF(A363="","",SUMIF(RP!D:D,A363,RP!I:I))</f>
        <v/>
      </c>
      <c r="J363" s="35" t="str">
        <f t="shared" si="10"/>
        <v/>
      </c>
      <c r="K363" s="46" t="str">
        <f t="shared" si="11"/>
        <v/>
      </c>
    </row>
    <row r="364" spans="2:11" x14ac:dyDescent="0.3">
      <c r="B364" s="36"/>
      <c r="D364" t="str">
        <f>IF(C364="","",IFERROR(VLOOKUP(C364,GASTOS!B:C,2,0),""))</f>
        <v/>
      </c>
      <c r="F364" s="35"/>
      <c r="G364" s="35"/>
      <c r="I364" s="35" t="str">
        <f>IF(A364="","",SUMIF(RP!D:D,A364,RP!I:I))</f>
        <v/>
      </c>
      <c r="J364" s="35" t="str">
        <f t="shared" si="10"/>
        <v/>
      </c>
      <c r="K364" s="46" t="str">
        <f t="shared" si="11"/>
        <v/>
      </c>
    </row>
    <row r="365" spans="2:11" x14ac:dyDescent="0.3">
      <c r="B365" s="36"/>
      <c r="D365" t="str">
        <f>IF(C365="","",IFERROR(VLOOKUP(C365,GASTOS!B:C,2,0),""))</f>
        <v/>
      </c>
      <c r="F365" s="35"/>
      <c r="G365" s="35"/>
      <c r="I365" s="35" t="str">
        <f>IF(A365="","",SUMIF(RP!D:D,A365,RP!I:I))</f>
        <v/>
      </c>
      <c r="J365" s="35" t="str">
        <f t="shared" si="10"/>
        <v/>
      </c>
      <c r="K365" s="46" t="str">
        <f t="shared" si="11"/>
        <v/>
      </c>
    </row>
    <row r="366" spans="2:11" x14ac:dyDescent="0.3">
      <c r="B366" s="36"/>
      <c r="D366" t="str">
        <f>IF(C366="","",IFERROR(VLOOKUP(C366,GASTOS!B:C,2,0),""))</f>
        <v/>
      </c>
      <c r="F366" s="35"/>
      <c r="G366" s="35"/>
      <c r="I366" s="35" t="str">
        <f>IF(A366="","",SUMIF(RP!D:D,A366,RP!I:I))</f>
        <v/>
      </c>
      <c r="J366" s="35" t="str">
        <f t="shared" si="10"/>
        <v/>
      </c>
      <c r="K366" s="46" t="str">
        <f t="shared" si="11"/>
        <v/>
      </c>
    </row>
    <row r="367" spans="2:11" x14ac:dyDescent="0.3">
      <c r="B367" s="36"/>
      <c r="D367" t="str">
        <f>IF(C367="","",IFERROR(VLOOKUP(C367,GASTOS!B:C,2,0),""))</f>
        <v/>
      </c>
      <c r="F367" s="35"/>
      <c r="G367" s="35"/>
      <c r="I367" s="35" t="str">
        <f>IF(A367="","",SUMIF(RP!D:D,A367,RP!I:I))</f>
        <v/>
      </c>
      <c r="J367" s="35" t="str">
        <f t="shared" si="10"/>
        <v/>
      </c>
      <c r="K367" s="46" t="str">
        <f t="shared" si="11"/>
        <v/>
      </c>
    </row>
    <row r="368" spans="2:11" x14ac:dyDescent="0.3">
      <c r="B368" s="36"/>
      <c r="D368" t="str">
        <f>IF(C368="","",IFERROR(VLOOKUP(C368,GASTOS!B:C,2,0),""))</f>
        <v/>
      </c>
      <c r="F368" s="35"/>
      <c r="G368" s="35"/>
      <c r="I368" s="35" t="str">
        <f>IF(A368="","",SUMIF(RP!D:D,A368,RP!I:I))</f>
        <v/>
      </c>
      <c r="J368" s="35" t="str">
        <f t="shared" si="10"/>
        <v/>
      </c>
      <c r="K368" s="46" t="str">
        <f t="shared" si="11"/>
        <v/>
      </c>
    </row>
    <row r="369" spans="2:11" x14ac:dyDescent="0.3">
      <c r="B369" s="36"/>
      <c r="D369" t="str">
        <f>IF(C369="","",IFERROR(VLOOKUP(C369,GASTOS!B:C,2,0),""))</f>
        <v/>
      </c>
      <c r="F369" s="35"/>
      <c r="G369" s="35"/>
      <c r="I369" s="35" t="str">
        <f>IF(A369="","",SUMIF(RP!D:D,A369,RP!I:I))</f>
        <v/>
      </c>
      <c r="J369" s="35" t="str">
        <f t="shared" si="10"/>
        <v/>
      </c>
      <c r="K369" s="46" t="str">
        <f t="shared" si="11"/>
        <v/>
      </c>
    </row>
    <row r="370" spans="2:11" x14ac:dyDescent="0.3">
      <c r="B370" s="36"/>
      <c r="D370" t="str">
        <f>IF(C370="","",IFERROR(VLOOKUP(C370,GASTOS!B:C,2,0),""))</f>
        <v/>
      </c>
      <c r="F370" s="35"/>
      <c r="G370" s="35"/>
      <c r="I370" s="35" t="str">
        <f>IF(A370="","",SUMIF(RP!D:D,A370,RP!I:I))</f>
        <v/>
      </c>
      <c r="J370" s="35" t="str">
        <f t="shared" si="10"/>
        <v/>
      </c>
      <c r="K370" s="46" t="str">
        <f t="shared" si="11"/>
        <v/>
      </c>
    </row>
    <row r="371" spans="2:11" x14ac:dyDescent="0.3">
      <c r="B371" s="36"/>
      <c r="D371" t="str">
        <f>IF(C371="","",IFERROR(VLOOKUP(C371,GASTOS!B:C,2,0),""))</f>
        <v/>
      </c>
      <c r="F371" s="35"/>
      <c r="G371" s="35"/>
      <c r="I371" s="35" t="str">
        <f>IF(A371="","",SUMIF(RP!D:D,A371,RP!I:I))</f>
        <v/>
      </c>
      <c r="J371" s="35" t="str">
        <f t="shared" si="10"/>
        <v/>
      </c>
      <c r="K371" s="46" t="str">
        <f t="shared" si="11"/>
        <v/>
      </c>
    </row>
    <row r="372" spans="2:11" x14ac:dyDescent="0.3">
      <c r="B372" s="36"/>
      <c r="D372" t="str">
        <f>IF(C372="","",IFERROR(VLOOKUP(C372,GASTOS!B:C,2,0),""))</f>
        <v/>
      </c>
      <c r="F372" s="35"/>
      <c r="G372" s="35"/>
      <c r="I372" s="35" t="str">
        <f>IF(A372="","",SUMIF(RP!D:D,A372,RP!I:I))</f>
        <v/>
      </c>
      <c r="J372" s="35" t="str">
        <f t="shared" si="10"/>
        <v/>
      </c>
      <c r="K372" s="46" t="str">
        <f t="shared" si="11"/>
        <v/>
      </c>
    </row>
    <row r="373" spans="2:11" x14ac:dyDescent="0.3">
      <c r="B373" s="36"/>
      <c r="D373" t="str">
        <f>IF(C373="","",IFERROR(VLOOKUP(C373,GASTOS!B:C,2,0),""))</f>
        <v/>
      </c>
      <c r="F373" s="35"/>
      <c r="G373" s="35"/>
      <c r="I373" s="35" t="str">
        <f>IF(A373="","",SUMIF(RP!D:D,A373,RP!I:I))</f>
        <v/>
      </c>
      <c r="J373" s="35" t="str">
        <f t="shared" si="10"/>
        <v/>
      </c>
      <c r="K373" s="46" t="str">
        <f t="shared" si="11"/>
        <v/>
      </c>
    </row>
    <row r="374" spans="2:11" x14ac:dyDescent="0.3">
      <c r="B374" s="36"/>
      <c r="D374" t="str">
        <f>IF(C374="","",IFERROR(VLOOKUP(C374,GASTOS!B:C,2,0),""))</f>
        <v/>
      </c>
      <c r="F374" s="35"/>
      <c r="G374" s="35"/>
      <c r="I374" s="35" t="str">
        <f>IF(A374="","",SUMIF(RP!D:D,A374,RP!I:I))</f>
        <v/>
      </c>
      <c r="J374" s="35" t="str">
        <f t="shared" si="10"/>
        <v/>
      </c>
      <c r="K374" s="46" t="str">
        <f t="shared" si="11"/>
        <v/>
      </c>
    </row>
    <row r="375" spans="2:11" x14ac:dyDescent="0.3">
      <c r="B375" s="36"/>
      <c r="D375" t="str">
        <f>IF(C375="","",IFERROR(VLOOKUP(C375,GASTOS!B:C,2,0),""))</f>
        <v/>
      </c>
      <c r="F375" s="35"/>
      <c r="G375" s="35"/>
      <c r="I375" s="35" t="str">
        <f>IF(A375="","",SUMIF(RP!D:D,A375,RP!I:I))</f>
        <v/>
      </c>
      <c r="J375" s="35" t="str">
        <f t="shared" si="10"/>
        <v/>
      </c>
      <c r="K375" s="46" t="str">
        <f t="shared" si="11"/>
        <v/>
      </c>
    </row>
    <row r="376" spans="2:11" x14ac:dyDescent="0.3">
      <c r="B376" s="36"/>
      <c r="D376" t="str">
        <f>IF(C376="","",IFERROR(VLOOKUP(C376,GASTOS!B:C,2,0),""))</f>
        <v/>
      </c>
      <c r="F376" s="35"/>
      <c r="G376" s="35"/>
      <c r="I376" s="35" t="str">
        <f>IF(A376="","",SUMIF(RP!D:D,A376,RP!I:I))</f>
        <v/>
      </c>
      <c r="J376" s="35" t="str">
        <f t="shared" si="10"/>
        <v/>
      </c>
      <c r="K376" s="46" t="str">
        <f t="shared" si="11"/>
        <v/>
      </c>
    </row>
    <row r="377" spans="2:11" x14ac:dyDescent="0.3">
      <c r="B377" s="36"/>
      <c r="D377" t="str">
        <f>IF(C377="","",IFERROR(VLOOKUP(C377,GASTOS!B:C,2,0),""))</f>
        <v/>
      </c>
      <c r="F377" s="35"/>
      <c r="G377" s="35"/>
      <c r="I377" s="35" t="str">
        <f>IF(A377="","",SUMIF(RP!D:D,A377,RP!I:I))</f>
        <v/>
      </c>
      <c r="J377" s="35" t="str">
        <f t="shared" si="10"/>
        <v/>
      </c>
      <c r="K377" s="46" t="str">
        <f t="shared" si="11"/>
        <v/>
      </c>
    </row>
    <row r="378" spans="2:11" x14ac:dyDescent="0.3">
      <c r="B378" s="36"/>
      <c r="D378" t="str">
        <f>IF(C378="","",IFERROR(VLOOKUP(C378,GASTOS!B:C,2,0),""))</f>
        <v/>
      </c>
      <c r="F378" s="35"/>
      <c r="G378" s="35"/>
      <c r="I378" s="35" t="str">
        <f>IF(A378="","",SUMIF(RP!D:D,A378,RP!I:I))</f>
        <v/>
      </c>
      <c r="J378" s="35" t="str">
        <f t="shared" si="10"/>
        <v/>
      </c>
      <c r="K378" s="46" t="str">
        <f t="shared" si="11"/>
        <v/>
      </c>
    </row>
    <row r="379" spans="2:11" x14ac:dyDescent="0.3">
      <c r="B379" s="36"/>
      <c r="D379" t="str">
        <f>IF(C379="","",IFERROR(VLOOKUP(C379,GASTOS!B:C,2,0),""))</f>
        <v/>
      </c>
      <c r="F379" s="35"/>
      <c r="G379" s="35"/>
      <c r="I379" s="35" t="str">
        <f>IF(A379="","",SUMIF(RP!D:D,A379,RP!I:I))</f>
        <v/>
      </c>
      <c r="J379" s="35" t="str">
        <f t="shared" si="10"/>
        <v/>
      </c>
      <c r="K379" s="46" t="str">
        <f t="shared" si="11"/>
        <v/>
      </c>
    </row>
    <row r="380" spans="2:11" x14ac:dyDescent="0.3">
      <c r="B380" s="36"/>
      <c r="D380" t="str">
        <f>IF(C380="","",IFERROR(VLOOKUP(C380,GASTOS!B:C,2,0),""))</f>
        <v/>
      </c>
      <c r="F380" s="35"/>
      <c r="G380" s="35"/>
      <c r="I380" s="35" t="str">
        <f>IF(A380="","",SUMIF(RP!D:D,A380,RP!I:I))</f>
        <v/>
      </c>
      <c r="J380" s="35" t="str">
        <f t="shared" si="10"/>
        <v/>
      </c>
      <c r="K380" s="46" t="str">
        <f t="shared" si="11"/>
        <v/>
      </c>
    </row>
    <row r="381" spans="2:11" x14ac:dyDescent="0.3">
      <c r="B381" s="36"/>
      <c r="D381" t="str">
        <f>IF(C381="","",IFERROR(VLOOKUP(C381,GASTOS!B:C,2,0),""))</f>
        <v/>
      </c>
      <c r="F381" s="35"/>
      <c r="G381" s="35"/>
      <c r="I381" s="35" t="str">
        <f>IF(A381="","",SUMIF(RP!D:D,A381,RP!I:I))</f>
        <v/>
      </c>
      <c r="J381" s="35" t="str">
        <f t="shared" si="10"/>
        <v/>
      </c>
      <c r="K381" s="46" t="str">
        <f t="shared" si="11"/>
        <v/>
      </c>
    </row>
    <row r="382" spans="2:11" x14ac:dyDescent="0.3">
      <c r="B382" s="36"/>
      <c r="D382" t="str">
        <f>IF(C382="","",IFERROR(VLOOKUP(C382,GASTOS!B:C,2,0),""))</f>
        <v/>
      </c>
      <c r="F382" s="35"/>
      <c r="G382" s="35"/>
      <c r="I382" s="35" t="str">
        <f>IF(A382="","",SUMIF(RP!D:D,A382,RP!I:I))</f>
        <v/>
      </c>
      <c r="J382" s="35" t="str">
        <f t="shared" si="10"/>
        <v/>
      </c>
      <c r="K382" s="46" t="str">
        <f t="shared" si="11"/>
        <v/>
      </c>
    </row>
    <row r="383" spans="2:11" x14ac:dyDescent="0.3">
      <c r="B383" s="36"/>
      <c r="D383" t="str">
        <f>IF(C383="","",IFERROR(VLOOKUP(C383,GASTOS!B:C,2,0),""))</f>
        <v/>
      </c>
      <c r="F383" s="35"/>
      <c r="G383" s="35"/>
      <c r="I383" s="35" t="str">
        <f>IF(A383="","",SUMIF(RP!D:D,A383,RP!I:I))</f>
        <v/>
      </c>
      <c r="J383" s="35" t="str">
        <f t="shared" si="10"/>
        <v/>
      </c>
      <c r="K383" s="46" t="str">
        <f t="shared" si="11"/>
        <v/>
      </c>
    </row>
    <row r="384" spans="2:11" x14ac:dyDescent="0.3">
      <c r="B384" s="36"/>
      <c r="D384" t="str">
        <f>IF(C384="","",IFERROR(VLOOKUP(C384,GASTOS!B:C,2,0),""))</f>
        <v/>
      </c>
      <c r="F384" s="35"/>
      <c r="G384" s="35"/>
      <c r="I384" s="35" t="str">
        <f>IF(A384="","",SUMIF(RP!D:D,A384,RP!I:I))</f>
        <v/>
      </c>
      <c r="J384" s="35" t="str">
        <f t="shared" si="10"/>
        <v/>
      </c>
      <c r="K384" s="46" t="str">
        <f t="shared" si="11"/>
        <v/>
      </c>
    </row>
    <row r="385" spans="2:11" x14ac:dyDescent="0.3">
      <c r="B385" s="36"/>
      <c r="D385" t="str">
        <f>IF(C385="","",IFERROR(VLOOKUP(C385,GASTOS!B:C,2,0),""))</f>
        <v/>
      </c>
      <c r="F385" s="35"/>
      <c r="G385" s="35"/>
      <c r="I385" s="35" t="str">
        <f>IF(A385="","",SUMIF(RP!D:D,A385,RP!I:I))</f>
        <v/>
      </c>
      <c r="J385" s="35" t="str">
        <f t="shared" si="10"/>
        <v/>
      </c>
      <c r="K385" s="46" t="str">
        <f t="shared" si="11"/>
        <v/>
      </c>
    </row>
    <row r="386" spans="2:11" x14ac:dyDescent="0.3">
      <c r="B386" s="36"/>
      <c r="D386" t="str">
        <f>IF(C386="","",IFERROR(VLOOKUP(C386,GASTOS!B:C,2,0),""))</f>
        <v/>
      </c>
      <c r="F386" s="35"/>
      <c r="G386" s="35"/>
      <c r="I386" s="35" t="str">
        <f>IF(A386="","",SUMIF(RP!D:D,A386,RP!I:I))</f>
        <v/>
      </c>
      <c r="J386" s="35" t="str">
        <f t="shared" ref="J386:J449" si="12">IF(A386="","",F386-I386)</f>
        <v/>
      </c>
      <c r="K386" s="46" t="str">
        <f t="shared" ref="K386:K449" si="13">IF(A386="","",IF(H386="ACTIVO","CDP vigente. Saldo disponible para comprometer en RPs: " &amp; TEXT(J386,"#,##0"),IF(H386="AGOTADO","CDP sin saldo. Valor total utilizado en Registros Presupuestales (RP)",IF(H386="ANULADO","CDP anulado. Valor liberado y devuelto al saldo del rubro",""))))</f>
        <v/>
      </c>
    </row>
    <row r="387" spans="2:11" x14ac:dyDescent="0.3">
      <c r="B387" s="36"/>
      <c r="D387" t="str">
        <f>IF(C387="","",IFERROR(VLOOKUP(C387,GASTOS!B:C,2,0),""))</f>
        <v/>
      </c>
      <c r="F387" s="35"/>
      <c r="G387" s="35"/>
      <c r="I387" s="35" t="str">
        <f>IF(A387="","",SUMIF(RP!D:D,A387,RP!I:I))</f>
        <v/>
      </c>
      <c r="J387" s="35" t="str">
        <f t="shared" si="12"/>
        <v/>
      </c>
      <c r="K387" s="46" t="str">
        <f t="shared" si="13"/>
        <v/>
      </c>
    </row>
    <row r="388" spans="2:11" x14ac:dyDescent="0.3">
      <c r="B388" s="36"/>
      <c r="D388" t="str">
        <f>IF(C388="","",IFERROR(VLOOKUP(C388,GASTOS!B:C,2,0),""))</f>
        <v/>
      </c>
      <c r="F388" s="35"/>
      <c r="G388" s="35"/>
      <c r="I388" s="35" t="str">
        <f>IF(A388="","",SUMIF(RP!D:D,A388,RP!I:I))</f>
        <v/>
      </c>
      <c r="J388" s="35" t="str">
        <f t="shared" si="12"/>
        <v/>
      </c>
      <c r="K388" s="46" t="str">
        <f t="shared" si="13"/>
        <v/>
      </c>
    </row>
    <row r="389" spans="2:11" x14ac:dyDescent="0.3">
      <c r="B389" s="36"/>
      <c r="D389" t="str">
        <f>IF(C389="","",IFERROR(VLOOKUP(C389,GASTOS!B:C,2,0),""))</f>
        <v/>
      </c>
      <c r="F389" s="35"/>
      <c r="G389" s="35"/>
      <c r="I389" s="35" t="str">
        <f>IF(A389="","",SUMIF(RP!D:D,A389,RP!I:I))</f>
        <v/>
      </c>
      <c r="J389" s="35" t="str">
        <f t="shared" si="12"/>
        <v/>
      </c>
      <c r="K389" s="46" t="str">
        <f t="shared" si="13"/>
        <v/>
      </c>
    </row>
    <row r="390" spans="2:11" x14ac:dyDescent="0.3">
      <c r="B390" s="36"/>
      <c r="D390" t="str">
        <f>IF(C390="","",IFERROR(VLOOKUP(C390,GASTOS!B:C,2,0),""))</f>
        <v/>
      </c>
      <c r="F390" s="35"/>
      <c r="G390" s="35"/>
      <c r="I390" s="35" t="str">
        <f>IF(A390="","",SUMIF(RP!D:D,A390,RP!I:I))</f>
        <v/>
      </c>
      <c r="J390" s="35" t="str">
        <f t="shared" si="12"/>
        <v/>
      </c>
      <c r="K390" s="46" t="str">
        <f t="shared" si="13"/>
        <v/>
      </c>
    </row>
    <row r="391" spans="2:11" x14ac:dyDescent="0.3">
      <c r="B391" s="36"/>
      <c r="D391" t="str">
        <f>IF(C391="","",IFERROR(VLOOKUP(C391,GASTOS!B:C,2,0),""))</f>
        <v/>
      </c>
      <c r="F391" s="35"/>
      <c r="G391" s="35"/>
      <c r="I391" s="35" t="str">
        <f>IF(A391="","",SUMIF(RP!D:D,A391,RP!I:I))</f>
        <v/>
      </c>
      <c r="J391" s="35" t="str">
        <f t="shared" si="12"/>
        <v/>
      </c>
      <c r="K391" s="46" t="str">
        <f t="shared" si="13"/>
        <v/>
      </c>
    </row>
    <row r="392" spans="2:11" x14ac:dyDescent="0.3">
      <c r="B392" s="36"/>
      <c r="D392" t="str">
        <f>IF(C392="","",IFERROR(VLOOKUP(C392,GASTOS!B:C,2,0),""))</f>
        <v/>
      </c>
      <c r="F392" s="35"/>
      <c r="G392" s="35"/>
      <c r="I392" s="35" t="str">
        <f>IF(A392="","",SUMIF(RP!D:D,A392,RP!I:I))</f>
        <v/>
      </c>
      <c r="J392" s="35" t="str">
        <f t="shared" si="12"/>
        <v/>
      </c>
      <c r="K392" s="46" t="str">
        <f t="shared" si="13"/>
        <v/>
      </c>
    </row>
    <row r="393" spans="2:11" x14ac:dyDescent="0.3">
      <c r="B393" s="36"/>
      <c r="D393" t="str">
        <f>IF(C393="","",IFERROR(VLOOKUP(C393,GASTOS!B:C,2,0),""))</f>
        <v/>
      </c>
      <c r="F393" s="35"/>
      <c r="G393" s="35"/>
      <c r="I393" s="35" t="str">
        <f>IF(A393="","",SUMIF(RP!D:D,A393,RP!I:I))</f>
        <v/>
      </c>
      <c r="J393" s="35" t="str">
        <f t="shared" si="12"/>
        <v/>
      </c>
      <c r="K393" s="46" t="str">
        <f t="shared" si="13"/>
        <v/>
      </c>
    </row>
    <row r="394" spans="2:11" x14ac:dyDescent="0.3">
      <c r="B394" s="36"/>
      <c r="D394" t="str">
        <f>IF(C394="","",IFERROR(VLOOKUP(C394,GASTOS!B:C,2,0),""))</f>
        <v/>
      </c>
      <c r="F394" s="35"/>
      <c r="G394" s="35"/>
      <c r="I394" s="35" t="str">
        <f>IF(A394="","",SUMIF(RP!D:D,A394,RP!I:I))</f>
        <v/>
      </c>
      <c r="J394" s="35" t="str">
        <f t="shared" si="12"/>
        <v/>
      </c>
      <c r="K394" s="46" t="str">
        <f t="shared" si="13"/>
        <v/>
      </c>
    </row>
    <row r="395" spans="2:11" x14ac:dyDescent="0.3">
      <c r="B395" s="36"/>
      <c r="D395" t="str">
        <f>IF(C395="","",IFERROR(VLOOKUP(C395,GASTOS!B:C,2,0),""))</f>
        <v/>
      </c>
      <c r="F395" s="35"/>
      <c r="G395" s="35"/>
      <c r="I395" s="35" t="str">
        <f>IF(A395="","",SUMIF(RP!D:D,A395,RP!I:I))</f>
        <v/>
      </c>
      <c r="J395" s="35" t="str">
        <f t="shared" si="12"/>
        <v/>
      </c>
      <c r="K395" s="46" t="str">
        <f t="shared" si="13"/>
        <v/>
      </c>
    </row>
    <row r="396" spans="2:11" x14ac:dyDescent="0.3">
      <c r="B396" s="36"/>
      <c r="D396" t="str">
        <f>IF(C396="","",IFERROR(VLOOKUP(C396,GASTOS!B:C,2,0),""))</f>
        <v/>
      </c>
      <c r="F396" s="35"/>
      <c r="G396" s="35"/>
      <c r="I396" s="35" t="str">
        <f>IF(A396="","",SUMIF(RP!D:D,A396,RP!I:I))</f>
        <v/>
      </c>
      <c r="J396" s="35" t="str">
        <f t="shared" si="12"/>
        <v/>
      </c>
      <c r="K396" s="46" t="str">
        <f t="shared" si="13"/>
        <v/>
      </c>
    </row>
    <row r="397" spans="2:11" x14ac:dyDescent="0.3">
      <c r="B397" s="36"/>
      <c r="D397" t="str">
        <f>IF(C397="","",IFERROR(VLOOKUP(C397,GASTOS!B:C,2,0),""))</f>
        <v/>
      </c>
      <c r="F397" s="35"/>
      <c r="G397" s="35"/>
      <c r="I397" s="35" t="str">
        <f>IF(A397="","",SUMIF(RP!D:D,A397,RP!I:I))</f>
        <v/>
      </c>
      <c r="J397" s="35" t="str">
        <f t="shared" si="12"/>
        <v/>
      </c>
      <c r="K397" s="46" t="str">
        <f t="shared" si="13"/>
        <v/>
      </c>
    </row>
    <row r="398" spans="2:11" x14ac:dyDescent="0.3">
      <c r="B398" s="36"/>
      <c r="D398" t="str">
        <f>IF(C398="","",IFERROR(VLOOKUP(C398,GASTOS!B:C,2,0),""))</f>
        <v/>
      </c>
      <c r="F398" s="35"/>
      <c r="G398" s="35"/>
      <c r="I398" s="35" t="str">
        <f>IF(A398="","",SUMIF(RP!D:D,A398,RP!I:I))</f>
        <v/>
      </c>
      <c r="J398" s="35" t="str">
        <f t="shared" si="12"/>
        <v/>
      </c>
      <c r="K398" s="46" t="str">
        <f t="shared" si="13"/>
        <v/>
      </c>
    </row>
    <row r="399" spans="2:11" x14ac:dyDescent="0.3">
      <c r="B399" s="36"/>
      <c r="D399" t="str">
        <f>IF(C399="","",IFERROR(VLOOKUP(C399,GASTOS!B:C,2,0),""))</f>
        <v/>
      </c>
      <c r="F399" s="35"/>
      <c r="G399" s="35"/>
      <c r="I399" s="35" t="str">
        <f>IF(A399="","",SUMIF(RP!D:D,A399,RP!I:I))</f>
        <v/>
      </c>
      <c r="J399" s="35" t="str">
        <f t="shared" si="12"/>
        <v/>
      </c>
      <c r="K399" s="46" t="str">
        <f t="shared" si="13"/>
        <v/>
      </c>
    </row>
    <row r="400" spans="2:11" x14ac:dyDescent="0.3">
      <c r="B400" s="36"/>
      <c r="D400" t="str">
        <f>IF(C400="","",IFERROR(VLOOKUP(C400,GASTOS!B:C,2,0),""))</f>
        <v/>
      </c>
      <c r="F400" s="35"/>
      <c r="G400" s="35"/>
      <c r="I400" s="35" t="str">
        <f>IF(A400="","",SUMIF(RP!D:D,A400,RP!I:I))</f>
        <v/>
      </c>
      <c r="J400" s="35" t="str">
        <f t="shared" si="12"/>
        <v/>
      </c>
      <c r="K400" s="46" t="str">
        <f t="shared" si="13"/>
        <v/>
      </c>
    </row>
    <row r="401" spans="2:11" x14ac:dyDescent="0.3">
      <c r="B401" s="36"/>
      <c r="D401" t="str">
        <f>IF(C401="","",IFERROR(VLOOKUP(C401,GASTOS!B:C,2,0),""))</f>
        <v/>
      </c>
      <c r="F401" s="35"/>
      <c r="G401" s="35"/>
      <c r="I401" s="35" t="str">
        <f>IF(A401="","",SUMIF(RP!D:D,A401,RP!I:I))</f>
        <v/>
      </c>
      <c r="J401" s="35" t="str">
        <f t="shared" si="12"/>
        <v/>
      </c>
      <c r="K401" s="46" t="str">
        <f t="shared" si="13"/>
        <v/>
      </c>
    </row>
    <row r="402" spans="2:11" x14ac:dyDescent="0.3">
      <c r="B402" s="36"/>
      <c r="D402" t="str">
        <f>IF(C402="","",IFERROR(VLOOKUP(C402,GASTOS!B:C,2,0),""))</f>
        <v/>
      </c>
      <c r="F402" s="35"/>
      <c r="G402" s="35"/>
      <c r="I402" s="35" t="str">
        <f>IF(A402="","",SUMIF(RP!D:D,A402,RP!I:I))</f>
        <v/>
      </c>
      <c r="J402" s="35" t="str">
        <f t="shared" si="12"/>
        <v/>
      </c>
      <c r="K402" s="46" t="str">
        <f t="shared" si="13"/>
        <v/>
      </c>
    </row>
    <row r="403" spans="2:11" x14ac:dyDescent="0.3">
      <c r="B403" s="36"/>
      <c r="D403" t="str">
        <f>IF(C403="","",IFERROR(VLOOKUP(C403,GASTOS!B:C,2,0),""))</f>
        <v/>
      </c>
      <c r="F403" s="35"/>
      <c r="G403" s="35"/>
      <c r="I403" s="35" t="str">
        <f>IF(A403="","",SUMIF(RP!D:D,A403,RP!I:I))</f>
        <v/>
      </c>
      <c r="J403" s="35" t="str">
        <f t="shared" si="12"/>
        <v/>
      </c>
      <c r="K403" s="46" t="str">
        <f t="shared" si="13"/>
        <v/>
      </c>
    </row>
    <row r="404" spans="2:11" x14ac:dyDescent="0.3">
      <c r="B404" s="36"/>
      <c r="D404" t="str">
        <f>IF(C404="","",IFERROR(VLOOKUP(C404,GASTOS!B:C,2,0),""))</f>
        <v/>
      </c>
      <c r="F404" s="35"/>
      <c r="G404" s="35"/>
      <c r="I404" s="35" t="str">
        <f>IF(A404="","",SUMIF(RP!D:D,A404,RP!I:I))</f>
        <v/>
      </c>
      <c r="J404" s="35" t="str">
        <f t="shared" si="12"/>
        <v/>
      </c>
      <c r="K404" s="46" t="str">
        <f t="shared" si="13"/>
        <v/>
      </c>
    </row>
    <row r="405" spans="2:11" x14ac:dyDescent="0.3">
      <c r="B405" s="36"/>
      <c r="D405" t="str">
        <f>IF(C405="","",IFERROR(VLOOKUP(C405,GASTOS!B:C,2,0),""))</f>
        <v/>
      </c>
      <c r="F405" s="35"/>
      <c r="G405" s="35"/>
      <c r="I405" s="35" t="str">
        <f>IF(A405="","",SUMIF(RP!D:D,A405,RP!I:I))</f>
        <v/>
      </c>
      <c r="J405" s="35" t="str">
        <f t="shared" si="12"/>
        <v/>
      </c>
      <c r="K405" s="46" t="str">
        <f t="shared" si="13"/>
        <v/>
      </c>
    </row>
    <row r="406" spans="2:11" x14ac:dyDescent="0.3">
      <c r="B406" s="36"/>
      <c r="D406" t="str">
        <f>IF(C406="","",IFERROR(VLOOKUP(C406,GASTOS!B:C,2,0),""))</f>
        <v/>
      </c>
      <c r="F406" s="35"/>
      <c r="G406" s="35"/>
      <c r="I406" s="35" t="str">
        <f>IF(A406="","",SUMIF(RP!D:D,A406,RP!I:I))</f>
        <v/>
      </c>
      <c r="J406" s="35" t="str">
        <f t="shared" si="12"/>
        <v/>
      </c>
      <c r="K406" s="46" t="str">
        <f t="shared" si="13"/>
        <v/>
      </c>
    </row>
    <row r="407" spans="2:11" x14ac:dyDescent="0.3">
      <c r="B407" s="36"/>
      <c r="D407" t="str">
        <f>IF(C407="","",IFERROR(VLOOKUP(C407,GASTOS!B:C,2,0),""))</f>
        <v/>
      </c>
      <c r="F407" s="35"/>
      <c r="G407" s="35"/>
      <c r="I407" s="35" t="str">
        <f>IF(A407="","",SUMIF(RP!D:D,A407,RP!I:I))</f>
        <v/>
      </c>
      <c r="J407" s="35" t="str">
        <f t="shared" si="12"/>
        <v/>
      </c>
      <c r="K407" s="46" t="str">
        <f t="shared" si="13"/>
        <v/>
      </c>
    </row>
    <row r="408" spans="2:11" x14ac:dyDescent="0.3">
      <c r="B408" s="36"/>
      <c r="D408" t="str">
        <f>IF(C408="","",IFERROR(VLOOKUP(C408,GASTOS!B:C,2,0),""))</f>
        <v/>
      </c>
      <c r="F408" s="35"/>
      <c r="G408" s="35"/>
      <c r="I408" s="35" t="str">
        <f>IF(A408="","",SUMIF(RP!D:D,A408,RP!I:I))</f>
        <v/>
      </c>
      <c r="J408" s="35" t="str">
        <f t="shared" si="12"/>
        <v/>
      </c>
      <c r="K408" s="46" t="str">
        <f t="shared" si="13"/>
        <v/>
      </c>
    </row>
    <row r="409" spans="2:11" x14ac:dyDescent="0.3">
      <c r="B409" s="36"/>
      <c r="D409" t="str">
        <f>IF(C409="","",IFERROR(VLOOKUP(C409,GASTOS!B:C,2,0),""))</f>
        <v/>
      </c>
      <c r="F409" s="35"/>
      <c r="G409" s="35"/>
      <c r="I409" s="35" t="str">
        <f>IF(A409="","",SUMIF(RP!D:D,A409,RP!I:I))</f>
        <v/>
      </c>
      <c r="J409" s="35" t="str">
        <f t="shared" si="12"/>
        <v/>
      </c>
      <c r="K409" s="46" t="str">
        <f t="shared" si="13"/>
        <v/>
      </c>
    </row>
    <row r="410" spans="2:11" x14ac:dyDescent="0.3">
      <c r="B410" s="36"/>
      <c r="D410" t="str">
        <f>IF(C410="","",IFERROR(VLOOKUP(C410,GASTOS!B:C,2,0),""))</f>
        <v/>
      </c>
      <c r="F410" s="35"/>
      <c r="G410" s="35"/>
      <c r="I410" s="35" t="str">
        <f>IF(A410="","",SUMIF(RP!D:D,A410,RP!I:I))</f>
        <v/>
      </c>
      <c r="J410" s="35" t="str">
        <f t="shared" si="12"/>
        <v/>
      </c>
      <c r="K410" s="46" t="str">
        <f t="shared" si="13"/>
        <v/>
      </c>
    </row>
    <row r="411" spans="2:11" x14ac:dyDescent="0.3">
      <c r="B411" s="36"/>
      <c r="D411" t="str">
        <f>IF(C411="","",IFERROR(VLOOKUP(C411,GASTOS!B:C,2,0),""))</f>
        <v/>
      </c>
      <c r="F411" s="35"/>
      <c r="G411" s="35"/>
      <c r="I411" s="35" t="str">
        <f>IF(A411="","",SUMIF(RP!D:D,A411,RP!I:I))</f>
        <v/>
      </c>
      <c r="J411" s="35" t="str">
        <f t="shared" si="12"/>
        <v/>
      </c>
      <c r="K411" s="46" t="str">
        <f t="shared" si="13"/>
        <v/>
      </c>
    </row>
    <row r="412" spans="2:11" x14ac:dyDescent="0.3">
      <c r="B412" s="36"/>
      <c r="D412" t="str">
        <f>IF(C412="","",IFERROR(VLOOKUP(C412,GASTOS!B:C,2,0),""))</f>
        <v/>
      </c>
      <c r="F412" s="35"/>
      <c r="G412" s="35"/>
      <c r="I412" s="35" t="str">
        <f>IF(A412="","",SUMIF(RP!D:D,A412,RP!I:I))</f>
        <v/>
      </c>
      <c r="J412" s="35" t="str">
        <f t="shared" si="12"/>
        <v/>
      </c>
      <c r="K412" s="46" t="str">
        <f t="shared" si="13"/>
        <v/>
      </c>
    </row>
    <row r="413" spans="2:11" x14ac:dyDescent="0.3">
      <c r="B413" s="36"/>
      <c r="D413" t="str">
        <f>IF(C413="","",IFERROR(VLOOKUP(C413,GASTOS!B:C,2,0),""))</f>
        <v/>
      </c>
      <c r="F413" s="35"/>
      <c r="G413" s="35"/>
      <c r="I413" s="35" t="str">
        <f>IF(A413="","",SUMIF(RP!D:D,A413,RP!I:I))</f>
        <v/>
      </c>
      <c r="J413" s="35" t="str">
        <f t="shared" si="12"/>
        <v/>
      </c>
      <c r="K413" s="46" t="str">
        <f t="shared" si="13"/>
        <v/>
      </c>
    </row>
    <row r="414" spans="2:11" x14ac:dyDescent="0.3">
      <c r="B414" s="36"/>
      <c r="D414" t="str">
        <f>IF(C414="","",IFERROR(VLOOKUP(C414,GASTOS!B:C,2,0),""))</f>
        <v/>
      </c>
      <c r="F414" s="35"/>
      <c r="G414" s="35"/>
      <c r="I414" s="35" t="str">
        <f>IF(A414="","",SUMIF(RP!D:D,A414,RP!I:I))</f>
        <v/>
      </c>
      <c r="J414" s="35" t="str">
        <f t="shared" si="12"/>
        <v/>
      </c>
      <c r="K414" s="46" t="str">
        <f t="shared" si="13"/>
        <v/>
      </c>
    </row>
    <row r="415" spans="2:11" x14ac:dyDescent="0.3">
      <c r="B415" s="36"/>
      <c r="D415" t="str">
        <f>IF(C415="","",IFERROR(VLOOKUP(C415,GASTOS!B:C,2,0),""))</f>
        <v/>
      </c>
      <c r="F415" s="35"/>
      <c r="G415" s="35"/>
      <c r="I415" s="35" t="str">
        <f>IF(A415="","",SUMIF(RP!D:D,A415,RP!I:I))</f>
        <v/>
      </c>
      <c r="J415" s="35" t="str">
        <f t="shared" si="12"/>
        <v/>
      </c>
      <c r="K415" s="46" t="str">
        <f t="shared" si="13"/>
        <v/>
      </c>
    </row>
    <row r="416" spans="2:11" x14ac:dyDescent="0.3">
      <c r="B416" s="36"/>
      <c r="D416" t="str">
        <f>IF(C416="","",IFERROR(VLOOKUP(C416,GASTOS!B:C,2,0),""))</f>
        <v/>
      </c>
      <c r="F416" s="35"/>
      <c r="G416" s="35"/>
      <c r="I416" s="35" t="str">
        <f>IF(A416="","",SUMIF(RP!D:D,A416,RP!I:I))</f>
        <v/>
      </c>
      <c r="J416" s="35" t="str">
        <f t="shared" si="12"/>
        <v/>
      </c>
      <c r="K416" s="46" t="str">
        <f t="shared" si="13"/>
        <v/>
      </c>
    </row>
    <row r="417" spans="2:11" x14ac:dyDescent="0.3">
      <c r="B417" s="36"/>
      <c r="D417" t="str">
        <f>IF(C417="","",IFERROR(VLOOKUP(C417,GASTOS!B:C,2,0),""))</f>
        <v/>
      </c>
      <c r="F417" s="35"/>
      <c r="G417" s="35"/>
      <c r="I417" s="35" t="str">
        <f>IF(A417="","",SUMIF(RP!D:D,A417,RP!I:I))</f>
        <v/>
      </c>
      <c r="J417" s="35" t="str">
        <f t="shared" si="12"/>
        <v/>
      </c>
      <c r="K417" s="46" t="str">
        <f t="shared" si="13"/>
        <v/>
      </c>
    </row>
    <row r="418" spans="2:11" x14ac:dyDescent="0.3">
      <c r="B418" s="36"/>
      <c r="D418" t="str">
        <f>IF(C418="","",IFERROR(VLOOKUP(C418,GASTOS!B:C,2,0),""))</f>
        <v/>
      </c>
      <c r="F418" s="35"/>
      <c r="G418" s="35"/>
      <c r="I418" s="35" t="str">
        <f>IF(A418="","",SUMIF(RP!D:D,A418,RP!I:I))</f>
        <v/>
      </c>
      <c r="J418" s="35" t="str">
        <f t="shared" si="12"/>
        <v/>
      </c>
      <c r="K418" s="46" t="str">
        <f t="shared" si="13"/>
        <v/>
      </c>
    </row>
    <row r="419" spans="2:11" x14ac:dyDescent="0.3">
      <c r="B419" s="36"/>
      <c r="D419" t="str">
        <f>IF(C419="","",IFERROR(VLOOKUP(C419,GASTOS!B:C,2,0),""))</f>
        <v/>
      </c>
      <c r="F419" s="35"/>
      <c r="G419" s="35"/>
      <c r="I419" s="35" t="str">
        <f>IF(A419="","",SUMIF(RP!D:D,A419,RP!I:I))</f>
        <v/>
      </c>
      <c r="J419" s="35" t="str">
        <f t="shared" si="12"/>
        <v/>
      </c>
      <c r="K419" s="46" t="str">
        <f t="shared" si="13"/>
        <v/>
      </c>
    </row>
    <row r="420" spans="2:11" x14ac:dyDescent="0.3">
      <c r="B420" s="36"/>
      <c r="D420" t="str">
        <f>IF(C420="","",IFERROR(VLOOKUP(C420,GASTOS!B:C,2,0),""))</f>
        <v/>
      </c>
      <c r="F420" s="35"/>
      <c r="G420" s="35"/>
      <c r="I420" s="35" t="str">
        <f>IF(A420="","",SUMIF(RP!D:D,A420,RP!I:I))</f>
        <v/>
      </c>
      <c r="J420" s="35" t="str">
        <f t="shared" si="12"/>
        <v/>
      </c>
      <c r="K420" s="46" t="str">
        <f t="shared" si="13"/>
        <v/>
      </c>
    </row>
    <row r="421" spans="2:11" x14ac:dyDescent="0.3">
      <c r="B421" s="36"/>
      <c r="D421" t="str">
        <f>IF(C421="","",IFERROR(VLOOKUP(C421,GASTOS!B:C,2,0),""))</f>
        <v/>
      </c>
      <c r="F421" s="35"/>
      <c r="G421" s="35"/>
      <c r="I421" s="35" t="str">
        <f>IF(A421="","",SUMIF(RP!D:D,A421,RP!I:I))</f>
        <v/>
      </c>
      <c r="J421" s="35" t="str">
        <f t="shared" si="12"/>
        <v/>
      </c>
      <c r="K421" s="46" t="str">
        <f t="shared" si="13"/>
        <v/>
      </c>
    </row>
    <row r="422" spans="2:11" x14ac:dyDescent="0.3">
      <c r="B422" s="36"/>
      <c r="D422" t="str">
        <f>IF(C422="","",IFERROR(VLOOKUP(C422,GASTOS!B:C,2,0),""))</f>
        <v/>
      </c>
      <c r="F422" s="35"/>
      <c r="G422" s="35"/>
      <c r="I422" s="35" t="str">
        <f>IF(A422="","",SUMIF(RP!D:D,A422,RP!I:I))</f>
        <v/>
      </c>
      <c r="J422" s="35" t="str">
        <f t="shared" si="12"/>
        <v/>
      </c>
      <c r="K422" s="46" t="str">
        <f t="shared" si="13"/>
        <v/>
      </c>
    </row>
    <row r="423" spans="2:11" x14ac:dyDescent="0.3">
      <c r="B423" s="36"/>
      <c r="D423" t="str">
        <f>IF(C423="","",IFERROR(VLOOKUP(C423,GASTOS!B:C,2,0),""))</f>
        <v/>
      </c>
      <c r="F423" s="35"/>
      <c r="G423" s="35"/>
      <c r="I423" s="35" t="str">
        <f>IF(A423="","",SUMIF(RP!D:D,A423,RP!I:I))</f>
        <v/>
      </c>
      <c r="J423" s="35" t="str">
        <f t="shared" si="12"/>
        <v/>
      </c>
      <c r="K423" s="46" t="str">
        <f t="shared" si="13"/>
        <v/>
      </c>
    </row>
    <row r="424" spans="2:11" x14ac:dyDescent="0.3">
      <c r="B424" s="36"/>
      <c r="D424" t="str">
        <f>IF(C424="","",IFERROR(VLOOKUP(C424,GASTOS!B:C,2,0),""))</f>
        <v/>
      </c>
      <c r="F424" s="35"/>
      <c r="G424" s="35"/>
      <c r="I424" s="35" t="str">
        <f>IF(A424="","",SUMIF(RP!D:D,A424,RP!I:I))</f>
        <v/>
      </c>
      <c r="J424" s="35" t="str">
        <f t="shared" si="12"/>
        <v/>
      </c>
      <c r="K424" s="46" t="str">
        <f t="shared" si="13"/>
        <v/>
      </c>
    </row>
    <row r="425" spans="2:11" x14ac:dyDescent="0.3">
      <c r="B425" s="36"/>
      <c r="D425" t="str">
        <f>IF(C425="","",IFERROR(VLOOKUP(C425,GASTOS!B:C,2,0),""))</f>
        <v/>
      </c>
      <c r="F425" s="35"/>
      <c r="G425" s="35"/>
      <c r="I425" s="35" t="str">
        <f>IF(A425="","",SUMIF(RP!D:D,A425,RP!I:I))</f>
        <v/>
      </c>
      <c r="J425" s="35" t="str">
        <f t="shared" si="12"/>
        <v/>
      </c>
      <c r="K425" s="46" t="str">
        <f t="shared" si="13"/>
        <v/>
      </c>
    </row>
    <row r="426" spans="2:11" x14ac:dyDescent="0.3">
      <c r="B426" s="36"/>
      <c r="D426" t="str">
        <f>IF(C426="","",IFERROR(VLOOKUP(C426,GASTOS!B:C,2,0),""))</f>
        <v/>
      </c>
      <c r="F426" s="35"/>
      <c r="G426" s="35"/>
      <c r="I426" s="35" t="str">
        <f>IF(A426="","",SUMIF(RP!D:D,A426,RP!I:I))</f>
        <v/>
      </c>
      <c r="J426" s="35" t="str">
        <f t="shared" si="12"/>
        <v/>
      </c>
      <c r="K426" s="46" t="str">
        <f t="shared" si="13"/>
        <v/>
      </c>
    </row>
    <row r="427" spans="2:11" x14ac:dyDescent="0.3">
      <c r="B427" s="36"/>
      <c r="D427" t="str">
        <f>IF(C427="","",IFERROR(VLOOKUP(C427,GASTOS!B:C,2,0),""))</f>
        <v/>
      </c>
      <c r="F427" s="35"/>
      <c r="G427" s="35"/>
      <c r="I427" s="35" t="str">
        <f>IF(A427="","",SUMIF(RP!D:D,A427,RP!I:I))</f>
        <v/>
      </c>
      <c r="J427" s="35" t="str">
        <f t="shared" si="12"/>
        <v/>
      </c>
      <c r="K427" s="46" t="str">
        <f t="shared" si="13"/>
        <v/>
      </c>
    </row>
    <row r="428" spans="2:11" x14ac:dyDescent="0.3">
      <c r="B428" s="36"/>
      <c r="D428" t="str">
        <f>IF(C428="","",IFERROR(VLOOKUP(C428,GASTOS!B:C,2,0),""))</f>
        <v/>
      </c>
      <c r="F428" s="35"/>
      <c r="G428" s="35"/>
      <c r="I428" s="35" t="str">
        <f>IF(A428="","",SUMIF(RP!D:D,A428,RP!I:I))</f>
        <v/>
      </c>
      <c r="J428" s="35" t="str">
        <f t="shared" si="12"/>
        <v/>
      </c>
      <c r="K428" s="46" t="str">
        <f t="shared" si="13"/>
        <v/>
      </c>
    </row>
    <row r="429" spans="2:11" x14ac:dyDescent="0.3">
      <c r="B429" s="36"/>
      <c r="D429" t="str">
        <f>IF(C429="","",IFERROR(VLOOKUP(C429,GASTOS!B:C,2,0),""))</f>
        <v/>
      </c>
      <c r="F429" s="35"/>
      <c r="G429" s="35"/>
      <c r="I429" s="35" t="str">
        <f>IF(A429="","",SUMIF(RP!D:D,A429,RP!I:I))</f>
        <v/>
      </c>
      <c r="J429" s="35" t="str">
        <f t="shared" si="12"/>
        <v/>
      </c>
      <c r="K429" s="46" t="str">
        <f t="shared" si="13"/>
        <v/>
      </c>
    </row>
    <row r="430" spans="2:11" x14ac:dyDescent="0.3">
      <c r="B430" s="36"/>
      <c r="D430" t="str">
        <f>IF(C430="","",IFERROR(VLOOKUP(C430,GASTOS!B:C,2,0),""))</f>
        <v/>
      </c>
      <c r="F430" s="35"/>
      <c r="G430" s="35"/>
      <c r="I430" s="35" t="str">
        <f>IF(A430="","",SUMIF(RP!D:D,A430,RP!I:I))</f>
        <v/>
      </c>
      <c r="J430" s="35" t="str">
        <f t="shared" si="12"/>
        <v/>
      </c>
      <c r="K430" s="46" t="str">
        <f t="shared" si="13"/>
        <v/>
      </c>
    </row>
    <row r="431" spans="2:11" x14ac:dyDescent="0.3">
      <c r="B431" s="36"/>
      <c r="D431" t="str">
        <f>IF(C431="","",IFERROR(VLOOKUP(C431,GASTOS!B:C,2,0),""))</f>
        <v/>
      </c>
      <c r="F431" s="35"/>
      <c r="G431" s="35"/>
      <c r="I431" s="35" t="str">
        <f>IF(A431="","",SUMIF(RP!D:D,A431,RP!I:I))</f>
        <v/>
      </c>
      <c r="J431" s="35" t="str">
        <f t="shared" si="12"/>
        <v/>
      </c>
      <c r="K431" s="46" t="str">
        <f t="shared" si="13"/>
        <v/>
      </c>
    </row>
    <row r="432" spans="2:11" x14ac:dyDescent="0.3">
      <c r="B432" s="36"/>
      <c r="D432" t="str">
        <f>IF(C432="","",IFERROR(VLOOKUP(C432,GASTOS!B:C,2,0),""))</f>
        <v/>
      </c>
      <c r="F432" s="35"/>
      <c r="G432" s="35"/>
      <c r="I432" s="35" t="str">
        <f>IF(A432="","",SUMIF(RP!D:D,A432,RP!I:I))</f>
        <v/>
      </c>
      <c r="J432" s="35" t="str">
        <f t="shared" si="12"/>
        <v/>
      </c>
      <c r="K432" s="46" t="str">
        <f t="shared" si="13"/>
        <v/>
      </c>
    </row>
    <row r="433" spans="2:11" x14ac:dyDescent="0.3">
      <c r="B433" s="36"/>
      <c r="D433" t="str">
        <f>IF(C433="","",IFERROR(VLOOKUP(C433,GASTOS!B:C,2,0),""))</f>
        <v/>
      </c>
      <c r="F433" s="35"/>
      <c r="G433" s="35"/>
      <c r="I433" s="35" t="str">
        <f>IF(A433="","",SUMIF(RP!D:D,A433,RP!I:I))</f>
        <v/>
      </c>
      <c r="J433" s="35" t="str">
        <f t="shared" si="12"/>
        <v/>
      </c>
      <c r="K433" s="46" t="str">
        <f t="shared" si="13"/>
        <v/>
      </c>
    </row>
    <row r="434" spans="2:11" x14ac:dyDescent="0.3">
      <c r="B434" s="36"/>
      <c r="D434" t="str">
        <f>IF(C434="","",IFERROR(VLOOKUP(C434,GASTOS!B:C,2,0),""))</f>
        <v/>
      </c>
      <c r="F434" s="35"/>
      <c r="G434" s="35"/>
      <c r="I434" s="35" t="str">
        <f>IF(A434="","",SUMIF(RP!D:D,A434,RP!I:I))</f>
        <v/>
      </c>
      <c r="J434" s="35" t="str">
        <f t="shared" si="12"/>
        <v/>
      </c>
      <c r="K434" s="46" t="str">
        <f t="shared" si="13"/>
        <v/>
      </c>
    </row>
    <row r="435" spans="2:11" x14ac:dyDescent="0.3">
      <c r="B435" s="36"/>
      <c r="D435" t="str">
        <f>IF(C435="","",IFERROR(VLOOKUP(C435,GASTOS!B:C,2,0),""))</f>
        <v/>
      </c>
      <c r="F435" s="35"/>
      <c r="G435" s="35"/>
      <c r="I435" s="35" t="str">
        <f>IF(A435="","",SUMIF(RP!D:D,A435,RP!I:I))</f>
        <v/>
      </c>
      <c r="J435" s="35" t="str">
        <f t="shared" si="12"/>
        <v/>
      </c>
      <c r="K435" s="46" t="str">
        <f t="shared" si="13"/>
        <v/>
      </c>
    </row>
    <row r="436" spans="2:11" x14ac:dyDescent="0.3">
      <c r="B436" s="36"/>
      <c r="D436" t="str">
        <f>IF(C436="","",IFERROR(VLOOKUP(C436,GASTOS!B:C,2,0),""))</f>
        <v/>
      </c>
      <c r="F436" s="35"/>
      <c r="G436" s="35"/>
      <c r="I436" s="35" t="str">
        <f>IF(A436="","",SUMIF(RP!D:D,A436,RP!I:I))</f>
        <v/>
      </c>
      <c r="J436" s="35" t="str">
        <f t="shared" si="12"/>
        <v/>
      </c>
      <c r="K436" s="46" t="str">
        <f t="shared" si="13"/>
        <v/>
      </c>
    </row>
    <row r="437" spans="2:11" x14ac:dyDescent="0.3">
      <c r="B437" s="36"/>
      <c r="D437" t="str">
        <f>IF(C437="","",IFERROR(VLOOKUP(C437,GASTOS!B:C,2,0),""))</f>
        <v/>
      </c>
      <c r="F437" s="35"/>
      <c r="G437" s="35"/>
      <c r="I437" s="35" t="str">
        <f>IF(A437="","",SUMIF(RP!D:D,A437,RP!I:I))</f>
        <v/>
      </c>
      <c r="J437" s="35" t="str">
        <f t="shared" si="12"/>
        <v/>
      </c>
      <c r="K437" s="46" t="str">
        <f t="shared" si="13"/>
        <v/>
      </c>
    </row>
    <row r="438" spans="2:11" x14ac:dyDescent="0.3">
      <c r="B438" s="36"/>
      <c r="D438" t="str">
        <f>IF(C438="","",IFERROR(VLOOKUP(C438,GASTOS!B:C,2,0),""))</f>
        <v/>
      </c>
      <c r="F438" s="35"/>
      <c r="G438" s="35"/>
      <c r="I438" s="35" t="str">
        <f>IF(A438="","",SUMIF(RP!D:D,A438,RP!I:I))</f>
        <v/>
      </c>
      <c r="J438" s="35" t="str">
        <f t="shared" si="12"/>
        <v/>
      </c>
      <c r="K438" s="46" t="str">
        <f t="shared" si="13"/>
        <v/>
      </c>
    </row>
    <row r="439" spans="2:11" x14ac:dyDescent="0.3">
      <c r="B439" s="36"/>
      <c r="D439" t="str">
        <f>IF(C439="","",IFERROR(VLOOKUP(C439,GASTOS!B:C,2,0),""))</f>
        <v/>
      </c>
      <c r="F439" s="35"/>
      <c r="G439" s="35"/>
      <c r="I439" s="35" t="str">
        <f>IF(A439="","",SUMIF(RP!D:D,A439,RP!I:I))</f>
        <v/>
      </c>
      <c r="J439" s="35" t="str">
        <f t="shared" si="12"/>
        <v/>
      </c>
      <c r="K439" s="46" t="str">
        <f t="shared" si="13"/>
        <v/>
      </c>
    </row>
    <row r="440" spans="2:11" x14ac:dyDescent="0.3">
      <c r="B440" s="36"/>
      <c r="D440" t="str">
        <f>IF(C440="","",IFERROR(VLOOKUP(C440,GASTOS!B:C,2,0),""))</f>
        <v/>
      </c>
      <c r="F440" s="35"/>
      <c r="G440" s="35"/>
      <c r="I440" s="35" t="str">
        <f>IF(A440="","",SUMIF(RP!D:D,A440,RP!I:I))</f>
        <v/>
      </c>
      <c r="J440" s="35" t="str">
        <f t="shared" si="12"/>
        <v/>
      </c>
      <c r="K440" s="46" t="str">
        <f t="shared" si="13"/>
        <v/>
      </c>
    </row>
    <row r="441" spans="2:11" x14ac:dyDescent="0.3">
      <c r="B441" s="36"/>
      <c r="D441" t="str">
        <f>IF(C441="","",IFERROR(VLOOKUP(C441,GASTOS!B:C,2,0),""))</f>
        <v/>
      </c>
      <c r="F441" s="35"/>
      <c r="G441" s="35"/>
      <c r="I441" s="35" t="str">
        <f>IF(A441="","",SUMIF(RP!D:D,A441,RP!I:I))</f>
        <v/>
      </c>
      <c r="J441" s="35" t="str">
        <f t="shared" si="12"/>
        <v/>
      </c>
      <c r="K441" s="46" t="str">
        <f t="shared" si="13"/>
        <v/>
      </c>
    </row>
    <row r="442" spans="2:11" x14ac:dyDescent="0.3">
      <c r="B442" s="36"/>
      <c r="D442" t="str">
        <f>IF(C442="","",IFERROR(VLOOKUP(C442,GASTOS!B:C,2,0),""))</f>
        <v/>
      </c>
      <c r="F442" s="35"/>
      <c r="G442" s="35"/>
      <c r="I442" s="35" t="str">
        <f>IF(A442="","",SUMIF(RP!D:D,A442,RP!I:I))</f>
        <v/>
      </c>
      <c r="J442" s="35" t="str">
        <f t="shared" si="12"/>
        <v/>
      </c>
      <c r="K442" s="46" t="str">
        <f t="shared" si="13"/>
        <v/>
      </c>
    </row>
    <row r="443" spans="2:11" x14ac:dyDescent="0.3">
      <c r="B443" s="36"/>
      <c r="D443" t="str">
        <f>IF(C443="","",IFERROR(VLOOKUP(C443,GASTOS!B:C,2,0),""))</f>
        <v/>
      </c>
      <c r="F443" s="35"/>
      <c r="G443" s="35"/>
      <c r="I443" s="35" t="str">
        <f>IF(A443="","",SUMIF(RP!D:D,A443,RP!I:I))</f>
        <v/>
      </c>
      <c r="J443" s="35" t="str">
        <f t="shared" si="12"/>
        <v/>
      </c>
      <c r="K443" s="46" t="str">
        <f t="shared" si="13"/>
        <v/>
      </c>
    </row>
    <row r="444" spans="2:11" x14ac:dyDescent="0.3">
      <c r="B444" s="36"/>
      <c r="D444" t="str">
        <f>IF(C444="","",IFERROR(VLOOKUP(C444,GASTOS!B:C,2,0),""))</f>
        <v/>
      </c>
      <c r="F444" s="35"/>
      <c r="G444" s="35"/>
      <c r="I444" s="35" t="str">
        <f>IF(A444="","",SUMIF(RP!D:D,A444,RP!I:I))</f>
        <v/>
      </c>
      <c r="J444" s="35" t="str">
        <f t="shared" si="12"/>
        <v/>
      </c>
      <c r="K444" s="46" t="str">
        <f t="shared" si="13"/>
        <v/>
      </c>
    </row>
    <row r="445" spans="2:11" x14ac:dyDescent="0.3">
      <c r="B445" s="36"/>
      <c r="D445" t="str">
        <f>IF(C445="","",IFERROR(VLOOKUP(C445,GASTOS!B:C,2,0),""))</f>
        <v/>
      </c>
      <c r="F445" s="35"/>
      <c r="G445" s="35"/>
      <c r="I445" s="35" t="str">
        <f>IF(A445="","",SUMIF(RP!D:D,A445,RP!I:I))</f>
        <v/>
      </c>
      <c r="J445" s="35" t="str">
        <f t="shared" si="12"/>
        <v/>
      </c>
      <c r="K445" s="46" t="str">
        <f t="shared" si="13"/>
        <v/>
      </c>
    </row>
    <row r="446" spans="2:11" x14ac:dyDescent="0.3">
      <c r="B446" s="36"/>
      <c r="D446" t="str">
        <f>IF(C446="","",IFERROR(VLOOKUP(C446,GASTOS!B:C,2,0),""))</f>
        <v/>
      </c>
      <c r="F446" s="35"/>
      <c r="G446" s="35"/>
      <c r="I446" s="35" t="str">
        <f>IF(A446="","",SUMIF(RP!D:D,A446,RP!I:I))</f>
        <v/>
      </c>
      <c r="J446" s="35" t="str">
        <f t="shared" si="12"/>
        <v/>
      </c>
      <c r="K446" s="46" t="str">
        <f t="shared" si="13"/>
        <v/>
      </c>
    </row>
    <row r="447" spans="2:11" x14ac:dyDescent="0.3">
      <c r="B447" s="36"/>
      <c r="D447" t="str">
        <f>IF(C447="","",IFERROR(VLOOKUP(C447,GASTOS!B:C,2,0),""))</f>
        <v/>
      </c>
      <c r="F447" s="35"/>
      <c r="G447" s="35"/>
      <c r="I447" s="35" t="str">
        <f>IF(A447="","",SUMIF(RP!D:D,A447,RP!I:I))</f>
        <v/>
      </c>
      <c r="J447" s="35" t="str">
        <f t="shared" si="12"/>
        <v/>
      </c>
      <c r="K447" s="46" t="str">
        <f t="shared" si="13"/>
        <v/>
      </c>
    </row>
    <row r="448" spans="2:11" x14ac:dyDescent="0.3">
      <c r="B448" s="36"/>
      <c r="D448" t="str">
        <f>IF(C448="","",IFERROR(VLOOKUP(C448,GASTOS!B:C,2,0),""))</f>
        <v/>
      </c>
      <c r="F448" s="35"/>
      <c r="G448" s="35"/>
      <c r="I448" s="35" t="str">
        <f>IF(A448="","",SUMIF(RP!D:D,A448,RP!I:I))</f>
        <v/>
      </c>
      <c r="J448" s="35" t="str">
        <f t="shared" si="12"/>
        <v/>
      </c>
      <c r="K448" s="46" t="str">
        <f t="shared" si="13"/>
        <v/>
      </c>
    </row>
    <row r="449" spans="2:11" x14ac:dyDescent="0.3">
      <c r="B449" s="36"/>
      <c r="D449" t="str">
        <f>IF(C449="","",IFERROR(VLOOKUP(C449,GASTOS!B:C,2,0),""))</f>
        <v/>
      </c>
      <c r="F449" s="35"/>
      <c r="G449" s="35"/>
      <c r="I449" s="35" t="str">
        <f>IF(A449="","",SUMIF(RP!D:D,A449,RP!I:I))</f>
        <v/>
      </c>
      <c r="J449" s="35" t="str">
        <f t="shared" si="12"/>
        <v/>
      </c>
      <c r="K449" s="46" t="str">
        <f t="shared" si="13"/>
        <v/>
      </c>
    </row>
    <row r="450" spans="2:11" x14ac:dyDescent="0.3">
      <c r="B450" s="36"/>
      <c r="D450" t="str">
        <f>IF(C450="","",IFERROR(VLOOKUP(C450,GASTOS!B:C,2,0),""))</f>
        <v/>
      </c>
      <c r="F450" s="35"/>
      <c r="G450" s="35"/>
      <c r="I450" s="35" t="str">
        <f>IF(A450="","",SUMIF(RP!D:D,A450,RP!I:I))</f>
        <v/>
      </c>
      <c r="J450" s="35" t="str">
        <f t="shared" ref="J450:J500" si="14">IF(A450="","",F450-I450)</f>
        <v/>
      </c>
      <c r="K450" s="46" t="str">
        <f t="shared" ref="K450:K500" si="15">IF(A450="","",IF(H450="ACTIVO","CDP vigente. Saldo disponible para comprometer en RPs: " &amp; TEXT(J450,"#,##0"),IF(H450="AGOTADO","CDP sin saldo. Valor total utilizado en Registros Presupuestales (RP)",IF(H450="ANULADO","CDP anulado. Valor liberado y devuelto al saldo del rubro",""))))</f>
        <v/>
      </c>
    </row>
    <row r="451" spans="2:11" x14ac:dyDescent="0.3">
      <c r="B451" s="36"/>
      <c r="D451" t="str">
        <f>IF(C451="","",IFERROR(VLOOKUP(C451,GASTOS!B:C,2,0),""))</f>
        <v/>
      </c>
      <c r="F451" s="35"/>
      <c r="G451" s="35"/>
      <c r="I451" s="35" t="str">
        <f>IF(A451="","",SUMIF(RP!D:D,A451,RP!I:I))</f>
        <v/>
      </c>
      <c r="J451" s="35" t="str">
        <f t="shared" si="14"/>
        <v/>
      </c>
      <c r="K451" s="46" t="str">
        <f t="shared" si="15"/>
        <v/>
      </c>
    </row>
    <row r="452" spans="2:11" x14ac:dyDescent="0.3">
      <c r="B452" s="36"/>
      <c r="D452" t="str">
        <f>IF(C452="","",IFERROR(VLOOKUP(C452,GASTOS!B:C,2,0),""))</f>
        <v/>
      </c>
      <c r="F452" s="35"/>
      <c r="G452" s="35"/>
      <c r="I452" s="35" t="str">
        <f>IF(A452="","",SUMIF(RP!D:D,A452,RP!I:I))</f>
        <v/>
      </c>
      <c r="J452" s="35" t="str">
        <f t="shared" si="14"/>
        <v/>
      </c>
      <c r="K452" s="46" t="str">
        <f t="shared" si="15"/>
        <v/>
      </c>
    </row>
    <row r="453" spans="2:11" x14ac:dyDescent="0.3">
      <c r="B453" s="36"/>
      <c r="D453" t="str">
        <f>IF(C453="","",IFERROR(VLOOKUP(C453,GASTOS!B:C,2,0),""))</f>
        <v/>
      </c>
      <c r="F453" s="35"/>
      <c r="G453" s="35"/>
      <c r="I453" s="35" t="str">
        <f>IF(A453="","",SUMIF(RP!D:D,A453,RP!I:I))</f>
        <v/>
      </c>
      <c r="J453" s="35" t="str">
        <f t="shared" si="14"/>
        <v/>
      </c>
      <c r="K453" s="46" t="str">
        <f t="shared" si="15"/>
        <v/>
      </c>
    </row>
    <row r="454" spans="2:11" x14ac:dyDescent="0.3">
      <c r="B454" s="36"/>
      <c r="D454" t="str">
        <f>IF(C454="","",IFERROR(VLOOKUP(C454,GASTOS!B:C,2,0),""))</f>
        <v/>
      </c>
      <c r="F454" s="35"/>
      <c r="G454" s="35"/>
      <c r="I454" s="35" t="str">
        <f>IF(A454="","",SUMIF(RP!D:D,A454,RP!I:I))</f>
        <v/>
      </c>
      <c r="J454" s="35" t="str">
        <f t="shared" si="14"/>
        <v/>
      </c>
      <c r="K454" s="46" t="str">
        <f t="shared" si="15"/>
        <v/>
      </c>
    </row>
    <row r="455" spans="2:11" x14ac:dyDescent="0.3">
      <c r="B455" s="36"/>
      <c r="D455" t="str">
        <f>IF(C455="","",IFERROR(VLOOKUP(C455,GASTOS!B:C,2,0),""))</f>
        <v/>
      </c>
      <c r="F455" s="35"/>
      <c r="G455" s="35"/>
      <c r="I455" s="35" t="str">
        <f>IF(A455="","",SUMIF(RP!D:D,A455,RP!I:I))</f>
        <v/>
      </c>
      <c r="J455" s="35" t="str">
        <f t="shared" si="14"/>
        <v/>
      </c>
      <c r="K455" s="46" t="str">
        <f t="shared" si="15"/>
        <v/>
      </c>
    </row>
    <row r="456" spans="2:11" x14ac:dyDescent="0.3">
      <c r="B456" s="36"/>
      <c r="D456" t="str">
        <f>IF(C456="","",IFERROR(VLOOKUP(C456,GASTOS!B:C,2,0),""))</f>
        <v/>
      </c>
      <c r="F456" s="35"/>
      <c r="G456" s="35"/>
      <c r="I456" s="35" t="str">
        <f>IF(A456="","",SUMIF(RP!D:D,A456,RP!I:I))</f>
        <v/>
      </c>
      <c r="J456" s="35" t="str">
        <f t="shared" si="14"/>
        <v/>
      </c>
      <c r="K456" s="46" t="str">
        <f t="shared" si="15"/>
        <v/>
      </c>
    </row>
    <row r="457" spans="2:11" x14ac:dyDescent="0.3">
      <c r="B457" s="36"/>
      <c r="D457" t="str">
        <f>IF(C457="","",IFERROR(VLOOKUP(C457,GASTOS!B:C,2,0),""))</f>
        <v/>
      </c>
      <c r="F457" s="35"/>
      <c r="G457" s="35"/>
      <c r="I457" s="35" t="str">
        <f>IF(A457="","",SUMIF(RP!D:D,A457,RP!I:I))</f>
        <v/>
      </c>
      <c r="J457" s="35" t="str">
        <f t="shared" si="14"/>
        <v/>
      </c>
      <c r="K457" s="46" t="str">
        <f t="shared" si="15"/>
        <v/>
      </c>
    </row>
    <row r="458" spans="2:11" x14ac:dyDescent="0.3">
      <c r="B458" s="36"/>
      <c r="D458" t="str">
        <f>IF(C458="","",IFERROR(VLOOKUP(C458,GASTOS!B:C,2,0),""))</f>
        <v/>
      </c>
      <c r="F458" s="35"/>
      <c r="G458" s="35"/>
      <c r="I458" s="35" t="str">
        <f>IF(A458="","",SUMIF(RP!D:D,A458,RP!I:I))</f>
        <v/>
      </c>
      <c r="J458" s="35" t="str">
        <f t="shared" si="14"/>
        <v/>
      </c>
      <c r="K458" s="46" t="str">
        <f t="shared" si="15"/>
        <v/>
      </c>
    </row>
    <row r="459" spans="2:11" x14ac:dyDescent="0.3">
      <c r="B459" s="36"/>
      <c r="D459" t="str">
        <f>IF(C459="","",IFERROR(VLOOKUP(C459,GASTOS!B:C,2,0),""))</f>
        <v/>
      </c>
      <c r="F459" s="35"/>
      <c r="G459" s="35"/>
      <c r="I459" s="35" t="str">
        <f>IF(A459="","",SUMIF(RP!D:D,A459,RP!I:I))</f>
        <v/>
      </c>
      <c r="J459" s="35" t="str">
        <f t="shared" si="14"/>
        <v/>
      </c>
      <c r="K459" s="46" t="str">
        <f t="shared" si="15"/>
        <v/>
      </c>
    </row>
    <row r="460" spans="2:11" x14ac:dyDescent="0.3">
      <c r="B460" s="36"/>
      <c r="D460" t="str">
        <f>IF(C460="","",IFERROR(VLOOKUP(C460,GASTOS!B:C,2,0),""))</f>
        <v/>
      </c>
      <c r="F460" s="35"/>
      <c r="G460" s="35"/>
      <c r="I460" s="35" t="str">
        <f>IF(A460="","",SUMIF(RP!D:D,A460,RP!I:I))</f>
        <v/>
      </c>
      <c r="J460" s="35" t="str">
        <f t="shared" si="14"/>
        <v/>
      </c>
      <c r="K460" s="46" t="str">
        <f t="shared" si="15"/>
        <v/>
      </c>
    </row>
    <row r="461" spans="2:11" x14ac:dyDescent="0.3">
      <c r="B461" s="36"/>
      <c r="D461" t="str">
        <f>IF(C461="","",IFERROR(VLOOKUP(C461,GASTOS!B:C,2,0),""))</f>
        <v/>
      </c>
      <c r="F461" s="35"/>
      <c r="G461" s="35"/>
      <c r="I461" s="35" t="str">
        <f>IF(A461="","",SUMIF(RP!D:D,A461,RP!I:I))</f>
        <v/>
      </c>
      <c r="J461" s="35" t="str">
        <f t="shared" si="14"/>
        <v/>
      </c>
      <c r="K461" s="46" t="str">
        <f t="shared" si="15"/>
        <v/>
      </c>
    </row>
    <row r="462" spans="2:11" x14ac:dyDescent="0.3">
      <c r="B462" s="36"/>
      <c r="D462" t="str">
        <f>IF(C462="","",IFERROR(VLOOKUP(C462,GASTOS!B:C,2,0),""))</f>
        <v/>
      </c>
      <c r="F462" s="35"/>
      <c r="G462" s="35"/>
      <c r="I462" s="35" t="str">
        <f>IF(A462="","",SUMIF(RP!D:D,A462,RP!I:I))</f>
        <v/>
      </c>
      <c r="J462" s="35" t="str">
        <f t="shared" si="14"/>
        <v/>
      </c>
      <c r="K462" s="46" t="str">
        <f t="shared" si="15"/>
        <v/>
      </c>
    </row>
    <row r="463" spans="2:11" x14ac:dyDescent="0.3">
      <c r="B463" s="36"/>
      <c r="D463" t="str">
        <f>IF(C463="","",IFERROR(VLOOKUP(C463,GASTOS!B:C,2,0),""))</f>
        <v/>
      </c>
      <c r="F463" s="35"/>
      <c r="G463" s="35"/>
      <c r="I463" s="35" t="str">
        <f>IF(A463="","",SUMIF(RP!D:D,A463,RP!I:I))</f>
        <v/>
      </c>
      <c r="J463" s="35" t="str">
        <f t="shared" si="14"/>
        <v/>
      </c>
      <c r="K463" s="46" t="str">
        <f t="shared" si="15"/>
        <v/>
      </c>
    </row>
    <row r="464" spans="2:11" x14ac:dyDescent="0.3">
      <c r="B464" s="36"/>
      <c r="D464" t="str">
        <f>IF(C464="","",IFERROR(VLOOKUP(C464,GASTOS!B:C,2,0),""))</f>
        <v/>
      </c>
      <c r="F464" s="35"/>
      <c r="G464" s="35"/>
      <c r="I464" s="35" t="str">
        <f>IF(A464="","",SUMIF(RP!D:D,A464,RP!I:I))</f>
        <v/>
      </c>
      <c r="J464" s="35" t="str">
        <f t="shared" si="14"/>
        <v/>
      </c>
      <c r="K464" s="46" t="str">
        <f t="shared" si="15"/>
        <v/>
      </c>
    </row>
    <row r="465" spans="2:11" x14ac:dyDescent="0.3">
      <c r="B465" s="36"/>
      <c r="D465" t="str">
        <f>IF(C465="","",IFERROR(VLOOKUP(C465,GASTOS!B:C,2,0),""))</f>
        <v/>
      </c>
      <c r="F465" s="35"/>
      <c r="G465" s="35"/>
      <c r="I465" s="35" t="str">
        <f>IF(A465="","",SUMIF(RP!D:D,A465,RP!I:I))</f>
        <v/>
      </c>
      <c r="J465" s="35" t="str">
        <f t="shared" si="14"/>
        <v/>
      </c>
      <c r="K465" s="46" t="str">
        <f t="shared" si="15"/>
        <v/>
      </c>
    </row>
    <row r="466" spans="2:11" x14ac:dyDescent="0.3">
      <c r="B466" s="36"/>
      <c r="D466" t="str">
        <f>IF(C466="","",IFERROR(VLOOKUP(C466,GASTOS!B:C,2,0),""))</f>
        <v/>
      </c>
      <c r="F466" s="35"/>
      <c r="G466" s="35"/>
      <c r="I466" s="35" t="str">
        <f>IF(A466="","",SUMIF(RP!D:D,A466,RP!I:I))</f>
        <v/>
      </c>
      <c r="J466" s="35" t="str">
        <f t="shared" si="14"/>
        <v/>
      </c>
      <c r="K466" s="46" t="str">
        <f t="shared" si="15"/>
        <v/>
      </c>
    </row>
    <row r="467" spans="2:11" x14ac:dyDescent="0.3">
      <c r="B467" s="36"/>
      <c r="D467" t="str">
        <f>IF(C467="","",IFERROR(VLOOKUP(C467,GASTOS!B:C,2,0),""))</f>
        <v/>
      </c>
      <c r="F467" s="35"/>
      <c r="G467" s="35"/>
      <c r="I467" s="35" t="str">
        <f>IF(A467="","",SUMIF(RP!D:D,A467,RP!I:I))</f>
        <v/>
      </c>
      <c r="J467" s="35" t="str">
        <f t="shared" si="14"/>
        <v/>
      </c>
      <c r="K467" s="46" t="str">
        <f t="shared" si="15"/>
        <v/>
      </c>
    </row>
    <row r="468" spans="2:11" x14ac:dyDescent="0.3">
      <c r="B468" s="36"/>
      <c r="D468" t="str">
        <f>IF(C468="","",IFERROR(VLOOKUP(C468,GASTOS!B:C,2,0),""))</f>
        <v/>
      </c>
      <c r="F468" s="35"/>
      <c r="G468" s="35"/>
      <c r="I468" s="35" t="str">
        <f>IF(A468="","",SUMIF(RP!D:D,A468,RP!I:I))</f>
        <v/>
      </c>
      <c r="J468" s="35" t="str">
        <f t="shared" si="14"/>
        <v/>
      </c>
      <c r="K468" s="46" t="str">
        <f t="shared" si="15"/>
        <v/>
      </c>
    </row>
    <row r="469" spans="2:11" x14ac:dyDescent="0.3">
      <c r="B469" s="36"/>
      <c r="D469" t="str">
        <f>IF(C469="","",IFERROR(VLOOKUP(C469,GASTOS!B:C,2,0),""))</f>
        <v/>
      </c>
      <c r="F469" s="35"/>
      <c r="G469" s="35"/>
      <c r="I469" s="35" t="str">
        <f>IF(A469="","",SUMIF(RP!D:D,A469,RP!I:I))</f>
        <v/>
      </c>
      <c r="J469" s="35" t="str">
        <f t="shared" si="14"/>
        <v/>
      </c>
      <c r="K469" s="46" t="str">
        <f t="shared" si="15"/>
        <v/>
      </c>
    </row>
    <row r="470" spans="2:11" x14ac:dyDescent="0.3">
      <c r="B470" s="36"/>
      <c r="D470" t="str">
        <f>IF(C470="","",IFERROR(VLOOKUP(C470,GASTOS!B:C,2,0),""))</f>
        <v/>
      </c>
      <c r="F470" s="35"/>
      <c r="G470" s="35"/>
      <c r="I470" s="35" t="str">
        <f>IF(A470="","",SUMIF(RP!D:D,A470,RP!I:I))</f>
        <v/>
      </c>
      <c r="J470" s="35" t="str">
        <f t="shared" si="14"/>
        <v/>
      </c>
      <c r="K470" s="46" t="str">
        <f t="shared" si="15"/>
        <v/>
      </c>
    </row>
    <row r="471" spans="2:11" x14ac:dyDescent="0.3">
      <c r="B471" s="36"/>
      <c r="D471" t="str">
        <f>IF(C471="","",IFERROR(VLOOKUP(C471,GASTOS!B:C,2,0),""))</f>
        <v/>
      </c>
      <c r="F471" s="35"/>
      <c r="G471" s="35"/>
      <c r="I471" s="35" t="str">
        <f>IF(A471="","",SUMIF(RP!D:D,A471,RP!I:I))</f>
        <v/>
      </c>
      <c r="J471" s="35" t="str">
        <f t="shared" si="14"/>
        <v/>
      </c>
      <c r="K471" s="46" t="str">
        <f t="shared" si="15"/>
        <v/>
      </c>
    </row>
    <row r="472" spans="2:11" x14ac:dyDescent="0.3">
      <c r="B472" s="36"/>
      <c r="D472" t="str">
        <f>IF(C472="","",IFERROR(VLOOKUP(C472,GASTOS!B:C,2,0),""))</f>
        <v/>
      </c>
      <c r="F472" s="35"/>
      <c r="G472" s="35"/>
      <c r="I472" s="35" t="str">
        <f>IF(A472="","",SUMIF(RP!D:D,A472,RP!I:I))</f>
        <v/>
      </c>
      <c r="J472" s="35" t="str">
        <f t="shared" si="14"/>
        <v/>
      </c>
      <c r="K472" s="46" t="str">
        <f t="shared" si="15"/>
        <v/>
      </c>
    </row>
    <row r="473" spans="2:11" x14ac:dyDescent="0.3">
      <c r="B473" s="36"/>
      <c r="D473" t="str">
        <f>IF(C473="","",IFERROR(VLOOKUP(C473,GASTOS!B:C,2,0),""))</f>
        <v/>
      </c>
      <c r="F473" s="35"/>
      <c r="G473" s="35"/>
      <c r="I473" s="35" t="str">
        <f>IF(A473="","",SUMIF(RP!D:D,A473,RP!I:I))</f>
        <v/>
      </c>
      <c r="J473" s="35" t="str">
        <f t="shared" si="14"/>
        <v/>
      </c>
      <c r="K473" s="46" t="str">
        <f t="shared" si="15"/>
        <v/>
      </c>
    </row>
    <row r="474" spans="2:11" x14ac:dyDescent="0.3">
      <c r="B474" s="36"/>
      <c r="D474" t="str">
        <f>IF(C474="","",IFERROR(VLOOKUP(C474,GASTOS!B:C,2,0),""))</f>
        <v/>
      </c>
      <c r="F474" s="35"/>
      <c r="G474" s="35"/>
      <c r="I474" s="35" t="str">
        <f>IF(A474="","",SUMIF(RP!D:D,A474,RP!I:I))</f>
        <v/>
      </c>
      <c r="J474" s="35" t="str">
        <f t="shared" si="14"/>
        <v/>
      </c>
      <c r="K474" s="46" t="str">
        <f t="shared" si="15"/>
        <v/>
      </c>
    </row>
    <row r="475" spans="2:11" x14ac:dyDescent="0.3">
      <c r="B475" s="36"/>
      <c r="D475" t="str">
        <f>IF(C475="","",IFERROR(VLOOKUP(C475,GASTOS!B:C,2,0),""))</f>
        <v/>
      </c>
      <c r="F475" s="35"/>
      <c r="G475" s="35"/>
      <c r="I475" s="35" t="str">
        <f>IF(A475="","",SUMIF(RP!D:D,A475,RP!I:I))</f>
        <v/>
      </c>
      <c r="J475" s="35" t="str">
        <f t="shared" si="14"/>
        <v/>
      </c>
      <c r="K475" s="46" t="str">
        <f t="shared" si="15"/>
        <v/>
      </c>
    </row>
    <row r="476" spans="2:11" x14ac:dyDescent="0.3">
      <c r="B476" s="36"/>
      <c r="D476" t="str">
        <f>IF(C476="","",IFERROR(VLOOKUP(C476,GASTOS!B:C,2,0),""))</f>
        <v/>
      </c>
      <c r="F476" s="35"/>
      <c r="G476" s="35"/>
      <c r="I476" s="35" t="str">
        <f>IF(A476="","",SUMIF(RP!D:D,A476,RP!I:I))</f>
        <v/>
      </c>
      <c r="J476" s="35" t="str">
        <f t="shared" si="14"/>
        <v/>
      </c>
      <c r="K476" s="46" t="str">
        <f t="shared" si="15"/>
        <v/>
      </c>
    </row>
    <row r="477" spans="2:11" x14ac:dyDescent="0.3">
      <c r="B477" s="36"/>
      <c r="D477" t="str">
        <f>IF(C477="","",IFERROR(VLOOKUP(C477,GASTOS!B:C,2,0),""))</f>
        <v/>
      </c>
      <c r="F477" s="35"/>
      <c r="G477" s="35"/>
      <c r="I477" s="35" t="str">
        <f>IF(A477="","",SUMIF(RP!D:D,A477,RP!I:I))</f>
        <v/>
      </c>
      <c r="J477" s="35" t="str">
        <f t="shared" si="14"/>
        <v/>
      </c>
      <c r="K477" s="46" t="str">
        <f t="shared" si="15"/>
        <v/>
      </c>
    </row>
    <row r="478" spans="2:11" x14ac:dyDescent="0.3">
      <c r="B478" s="36"/>
      <c r="D478" t="str">
        <f>IF(C478="","",IFERROR(VLOOKUP(C478,GASTOS!B:C,2,0),""))</f>
        <v/>
      </c>
      <c r="F478" s="35"/>
      <c r="G478" s="35"/>
      <c r="I478" s="35" t="str">
        <f>IF(A478="","",SUMIF(RP!D:D,A478,RP!I:I))</f>
        <v/>
      </c>
      <c r="J478" s="35" t="str">
        <f t="shared" si="14"/>
        <v/>
      </c>
      <c r="K478" s="46" t="str">
        <f t="shared" si="15"/>
        <v/>
      </c>
    </row>
    <row r="479" spans="2:11" x14ac:dyDescent="0.3">
      <c r="B479" s="36"/>
      <c r="D479" t="str">
        <f>IF(C479="","",IFERROR(VLOOKUP(C479,GASTOS!B:C,2,0),""))</f>
        <v/>
      </c>
      <c r="F479" s="35"/>
      <c r="G479" s="35"/>
      <c r="I479" s="35" t="str">
        <f>IF(A479="","",SUMIF(RP!D:D,A479,RP!I:I))</f>
        <v/>
      </c>
      <c r="J479" s="35" t="str">
        <f t="shared" si="14"/>
        <v/>
      </c>
      <c r="K479" s="46" t="str">
        <f t="shared" si="15"/>
        <v/>
      </c>
    </row>
    <row r="480" spans="2:11" x14ac:dyDescent="0.3">
      <c r="B480" s="36"/>
      <c r="D480" t="str">
        <f>IF(C480="","",IFERROR(VLOOKUP(C480,GASTOS!B:C,2,0),""))</f>
        <v/>
      </c>
      <c r="F480" s="35"/>
      <c r="G480" s="35"/>
      <c r="I480" s="35" t="str">
        <f>IF(A480="","",SUMIF(RP!D:D,A480,RP!I:I))</f>
        <v/>
      </c>
      <c r="J480" s="35" t="str">
        <f t="shared" si="14"/>
        <v/>
      </c>
      <c r="K480" s="46" t="str">
        <f t="shared" si="15"/>
        <v/>
      </c>
    </row>
    <row r="481" spans="2:11" x14ac:dyDescent="0.3">
      <c r="B481" s="36"/>
      <c r="D481" t="str">
        <f>IF(C481="","",IFERROR(VLOOKUP(C481,GASTOS!B:C,2,0),""))</f>
        <v/>
      </c>
      <c r="F481" s="35"/>
      <c r="G481" s="35"/>
      <c r="I481" s="35" t="str">
        <f>IF(A481="","",SUMIF(RP!D:D,A481,RP!I:I))</f>
        <v/>
      </c>
      <c r="J481" s="35" t="str">
        <f t="shared" si="14"/>
        <v/>
      </c>
      <c r="K481" s="46" t="str">
        <f t="shared" si="15"/>
        <v/>
      </c>
    </row>
    <row r="482" spans="2:11" x14ac:dyDescent="0.3">
      <c r="B482" s="36"/>
      <c r="D482" t="str">
        <f>IF(C482="","",IFERROR(VLOOKUP(C482,GASTOS!B:C,2,0),""))</f>
        <v/>
      </c>
      <c r="F482" s="35"/>
      <c r="G482" s="35"/>
      <c r="I482" s="35" t="str">
        <f>IF(A482="","",SUMIF(RP!D:D,A482,RP!I:I))</f>
        <v/>
      </c>
      <c r="J482" s="35" t="str">
        <f t="shared" si="14"/>
        <v/>
      </c>
      <c r="K482" s="46" t="str">
        <f t="shared" si="15"/>
        <v/>
      </c>
    </row>
    <row r="483" spans="2:11" x14ac:dyDescent="0.3">
      <c r="B483" s="36"/>
      <c r="D483" t="str">
        <f>IF(C483="","",IFERROR(VLOOKUP(C483,GASTOS!B:C,2,0),""))</f>
        <v/>
      </c>
      <c r="F483" s="35"/>
      <c r="G483" s="35"/>
      <c r="I483" s="35" t="str">
        <f>IF(A483="","",SUMIF(RP!D:D,A483,RP!I:I))</f>
        <v/>
      </c>
      <c r="J483" s="35" t="str">
        <f t="shared" si="14"/>
        <v/>
      </c>
      <c r="K483" s="46" t="str">
        <f t="shared" si="15"/>
        <v/>
      </c>
    </row>
    <row r="484" spans="2:11" x14ac:dyDescent="0.3">
      <c r="B484" s="36"/>
      <c r="D484" t="str">
        <f>IF(C484="","",IFERROR(VLOOKUP(C484,GASTOS!B:C,2,0),""))</f>
        <v/>
      </c>
      <c r="F484" s="35"/>
      <c r="G484" s="35"/>
      <c r="I484" s="35" t="str">
        <f>IF(A484="","",SUMIF(RP!D:D,A484,RP!I:I))</f>
        <v/>
      </c>
      <c r="J484" s="35" t="str">
        <f t="shared" si="14"/>
        <v/>
      </c>
      <c r="K484" s="46" t="str">
        <f t="shared" si="15"/>
        <v/>
      </c>
    </row>
    <row r="485" spans="2:11" x14ac:dyDescent="0.3">
      <c r="B485" s="36"/>
      <c r="D485" t="str">
        <f>IF(C485="","",IFERROR(VLOOKUP(C485,GASTOS!B:C,2,0),""))</f>
        <v/>
      </c>
      <c r="F485" s="35"/>
      <c r="G485" s="35"/>
      <c r="I485" s="35" t="str">
        <f>IF(A485="","",SUMIF(RP!D:D,A485,RP!I:I))</f>
        <v/>
      </c>
      <c r="J485" s="35" t="str">
        <f t="shared" si="14"/>
        <v/>
      </c>
      <c r="K485" s="46" t="str">
        <f t="shared" si="15"/>
        <v/>
      </c>
    </row>
    <row r="486" spans="2:11" x14ac:dyDescent="0.3">
      <c r="B486" s="36"/>
      <c r="D486" t="str">
        <f>IF(C486="","",IFERROR(VLOOKUP(C486,GASTOS!B:C,2,0),""))</f>
        <v/>
      </c>
      <c r="F486" s="35"/>
      <c r="G486" s="35"/>
      <c r="I486" s="35" t="str">
        <f>IF(A486="","",SUMIF(RP!D:D,A486,RP!I:I))</f>
        <v/>
      </c>
      <c r="J486" s="35" t="str">
        <f t="shared" si="14"/>
        <v/>
      </c>
      <c r="K486" s="46" t="str">
        <f t="shared" si="15"/>
        <v/>
      </c>
    </row>
    <row r="487" spans="2:11" x14ac:dyDescent="0.3">
      <c r="B487" s="36"/>
      <c r="D487" t="str">
        <f>IF(C487="","",IFERROR(VLOOKUP(C487,GASTOS!B:C,2,0),""))</f>
        <v/>
      </c>
      <c r="F487" s="35"/>
      <c r="G487" s="35"/>
      <c r="I487" s="35" t="str">
        <f>IF(A487="","",SUMIF(RP!D:D,A487,RP!I:I))</f>
        <v/>
      </c>
      <c r="J487" s="35" t="str">
        <f t="shared" si="14"/>
        <v/>
      </c>
      <c r="K487" s="46" t="str">
        <f t="shared" si="15"/>
        <v/>
      </c>
    </row>
    <row r="488" spans="2:11" x14ac:dyDescent="0.3">
      <c r="B488" s="36"/>
      <c r="D488" t="str">
        <f>IF(C488="","",IFERROR(VLOOKUP(C488,GASTOS!B:C,2,0),""))</f>
        <v/>
      </c>
      <c r="F488" s="35"/>
      <c r="G488" s="35"/>
      <c r="I488" s="35" t="str">
        <f>IF(A488="","",SUMIF(RP!D:D,A488,RP!I:I))</f>
        <v/>
      </c>
      <c r="J488" s="35" t="str">
        <f t="shared" si="14"/>
        <v/>
      </c>
      <c r="K488" s="46" t="str">
        <f t="shared" si="15"/>
        <v/>
      </c>
    </row>
    <row r="489" spans="2:11" x14ac:dyDescent="0.3">
      <c r="B489" s="36"/>
      <c r="D489" t="str">
        <f>IF(C489="","",IFERROR(VLOOKUP(C489,GASTOS!B:C,2,0),""))</f>
        <v/>
      </c>
      <c r="F489" s="35"/>
      <c r="G489" s="35"/>
      <c r="I489" s="35" t="str">
        <f>IF(A489="","",SUMIF(RP!D:D,A489,RP!I:I))</f>
        <v/>
      </c>
      <c r="J489" s="35" t="str">
        <f t="shared" si="14"/>
        <v/>
      </c>
      <c r="K489" s="46" t="str">
        <f t="shared" si="15"/>
        <v/>
      </c>
    </row>
    <row r="490" spans="2:11" x14ac:dyDescent="0.3">
      <c r="B490" s="36"/>
      <c r="D490" t="str">
        <f>IF(C490="","",IFERROR(VLOOKUP(C490,GASTOS!B:C,2,0),""))</f>
        <v/>
      </c>
      <c r="F490" s="35"/>
      <c r="G490" s="35"/>
      <c r="I490" s="35" t="str">
        <f>IF(A490="","",SUMIF(RP!D:D,A490,RP!I:I))</f>
        <v/>
      </c>
      <c r="J490" s="35" t="str">
        <f t="shared" si="14"/>
        <v/>
      </c>
      <c r="K490" s="46" t="str">
        <f t="shared" si="15"/>
        <v/>
      </c>
    </row>
    <row r="491" spans="2:11" x14ac:dyDescent="0.3">
      <c r="B491" s="36"/>
      <c r="D491" t="str">
        <f>IF(C491="","",IFERROR(VLOOKUP(C491,GASTOS!B:C,2,0),""))</f>
        <v/>
      </c>
      <c r="F491" s="35"/>
      <c r="G491" s="35"/>
      <c r="I491" s="35" t="str">
        <f>IF(A491="","",SUMIF(RP!D:D,A491,RP!I:I))</f>
        <v/>
      </c>
      <c r="J491" s="35" t="str">
        <f t="shared" si="14"/>
        <v/>
      </c>
      <c r="K491" s="46" t="str">
        <f t="shared" si="15"/>
        <v/>
      </c>
    </row>
    <row r="492" spans="2:11" x14ac:dyDescent="0.3">
      <c r="B492" s="36"/>
      <c r="D492" t="str">
        <f>IF(C492="","",IFERROR(VLOOKUP(C492,GASTOS!B:C,2,0),""))</f>
        <v/>
      </c>
      <c r="F492" s="35"/>
      <c r="G492" s="35"/>
      <c r="I492" s="35" t="str">
        <f>IF(A492="","",SUMIF(RP!D:D,A492,RP!I:I))</f>
        <v/>
      </c>
      <c r="J492" s="35" t="str">
        <f t="shared" si="14"/>
        <v/>
      </c>
      <c r="K492" s="46" t="str">
        <f t="shared" si="15"/>
        <v/>
      </c>
    </row>
    <row r="493" spans="2:11" x14ac:dyDescent="0.3">
      <c r="B493" s="36"/>
      <c r="D493" t="str">
        <f>IF(C493="","",IFERROR(VLOOKUP(C493,GASTOS!B:C,2,0),""))</f>
        <v/>
      </c>
      <c r="F493" s="35"/>
      <c r="G493" s="35"/>
      <c r="I493" s="35" t="str">
        <f>IF(A493="","",SUMIF(RP!D:D,A493,RP!I:I))</f>
        <v/>
      </c>
      <c r="J493" s="35" t="str">
        <f t="shared" si="14"/>
        <v/>
      </c>
      <c r="K493" s="46" t="str">
        <f t="shared" si="15"/>
        <v/>
      </c>
    </row>
    <row r="494" spans="2:11" x14ac:dyDescent="0.3">
      <c r="B494" s="36"/>
      <c r="D494" t="str">
        <f>IF(C494="","",IFERROR(VLOOKUP(C494,GASTOS!B:C,2,0),""))</f>
        <v/>
      </c>
      <c r="F494" s="35"/>
      <c r="G494" s="35"/>
      <c r="I494" s="35" t="str">
        <f>IF(A494="","",SUMIF(RP!D:D,A494,RP!I:I))</f>
        <v/>
      </c>
      <c r="J494" s="35" t="str">
        <f t="shared" si="14"/>
        <v/>
      </c>
      <c r="K494" s="46" t="str">
        <f t="shared" si="15"/>
        <v/>
      </c>
    </row>
    <row r="495" spans="2:11" x14ac:dyDescent="0.3">
      <c r="B495" s="36"/>
      <c r="D495" t="str">
        <f>IF(C495="","",IFERROR(VLOOKUP(C495,GASTOS!B:C,2,0),""))</f>
        <v/>
      </c>
      <c r="F495" s="35"/>
      <c r="G495" s="35"/>
      <c r="I495" s="35" t="str">
        <f>IF(A495="","",SUMIF(RP!D:D,A495,RP!I:I))</f>
        <v/>
      </c>
      <c r="J495" s="35" t="str">
        <f t="shared" si="14"/>
        <v/>
      </c>
      <c r="K495" s="46" t="str">
        <f t="shared" si="15"/>
        <v/>
      </c>
    </row>
    <row r="496" spans="2:11" x14ac:dyDescent="0.3">
      <c r="B496" s="36"/>
      <c r="D496" t="str">
        <f>IF(C496="","",IFERROR(VLOOKUP(C496,GASTOS!B:C,2,0),""))</f>
        <v/>
      </c>
      <c r="F496" s="35"/>
      <c r="G496" s="35"/>
      <c r="I496" s="35" t="str">
        <f>IF(A496="","",SUMIF(RP!D:D,A496,RP!I:I))</f>
        <v/>
      </c>
      <c r="J496" s="35" t="str">
        <f t="shared" si="14"/>
        <v/>
      </c>
      <c r="K496" s="46" t="str">
        <f t="shared" si="15"/>
        <v/>
      </c>
    </row>
    <row r="497" spans="2:11" x14ac:dyDescent="0.3">
      <c r="B497" s="36"/>
      <c r="D497" t="str">
        <f>IF(C497="","",IFERROR(VLOOKUP(C497,GASTOS!B:C,2,0),""))</f>
        <v/>
      </c>
      <c r="F497" s="35"/>
      <c r="G497" s="35"/>
      <c r="I497" s="35" t="str">
        <f>IF(A497="","",SUMIF(RP!D:D,A497,RP!I:I))</f>
        <v/>
      </c>
      <c r="J497" s="35" t="str">
        <f t="shared" si="14"/>
        <v/>
      </c>
      <c r="K497" s="46" t="str">
        <f t="shared" si="15"/>
        <v/>
      </c>
    </row>
    <row r="498" spans="2:11" x14ac:dyDescent="0.3">
      <c r="B498" s="36"/>
      <c r="D498" t="str">
        <f>IF(C498="","",IFERROR(VLOOKUP(C498,GASTOS!B:C,2,0),""))</f>
        <v/>
      </c>
      <c r="F498" s="35"/>
      <c r="G498" s="35"/>
      <c r="I498" s="35" t="str">
        <f>IF(A498="","",SUMIF(RP!D:D,A498,RP!I:I))</f>
        <v/>
      </c>
      <c r="J498" s="35" t="str">
        <f t="shared" si="14"/>
        <v/>
      </c>
      <c r="K498" s="46" t="str">
        <f t="shared" si="15"/>
        <v/>
      </c>
    </row>
    <row r="499" spans="2:11" x14ac:dyDescent="0.3">
      <c r="B499" s="36"/>
      <c r="D499" t="str">
        <f>IF(C499="","",IFERROR(VLOOKUP(C499,GASTOS!B:C,2,0),""))</f>
        <v/>
      </c>
      <c r="F499" s="35"/>
      <c r="G499" s="35"/>
      <c r="I499" s="35" t="str">
        <f>IF(A499="","",SUMIF(RP!D:D,A499,RP!I:I))</f>
        <v/>
      </c>
      <c r="J499" s="35" t="str">
        <f t="shared" si="14"/>
        <v/>
      </c>
      <c r="K499" s="46" t="str">
        <f t="shared" si="15"/>
        <v/>
      </c>
    </row>
    <row r="500" spans="2:11" x14ac:dyDescent="0.3">
      <c r="B500" s="36"/>
      <c r="D500" t="str">
        <f>IF(C500="","",IFERROR(VLOOKUP(C500,GASTOS!B:C,2,0),""))</f>
        <v/>
      </c>
      <c r="F500" s="35"/>
      <c r="G500" s="35"/>
      <c r="I500" s="35" t="str">
        <f>IF(A500="","",SUMIF(RP!D:D,A500,RP!I:I))</f>
        <v/>
      </c>
      <c r="J500" s="35" t="str">
        <f t="shared" si="14"/>
        <v/>
      </c>
      <c r="K500" s="46" t="str">
        <f t="shared" si="15"/>
        <v/>
      </c>
    </row>
    <row r="501" spans="2:11" x14ac:dyDescent="0.3">
      <c r="B501" s="36"/>
      <c r="F501" s="35"/>
      <c r="G501" s="35"/>
      <c r="I501" s="35"/>
      <c r="J501" s="35"/>
    </row>
    <row r="502" spans="2:11" x14ac:dyDescent="0.3">
      <c r="B502" s="36"/>
      <c r="F502" s="35"/>
      <c r="G502" s="35"/>
      <c r="I502" s="35"/>
      <c r="J502" s="35"/>
    </row>
    <row r="503" spans="2:11" x14ac:dyDescent="0.3">
      <c r="B503" s="36"/>
      <c r="F503" s="35"/>
      <c r="G503" s="35"/>
      <c r="I503" s="35"/>
      <c r="J503" s="35"/>
    </row>
    <row r="504" spans="2:11" x14ac:dyDescent="0.3">
      <c r="B504" s="36"/>
      <c r="F504" s="35"/>
      <c r="G504" s="35"/>
      <c r="I504" s="35"/>
      <c r="J504" s="35"/>
    </row>
    <row r="505" spans="2:11" x14ac:dyDescent="0.3">
      <c r="B505" s="36"/>
      <c r="F505" s="35"/>
      <c r="G505" s="35"/>
      <c r="I505" s="35"/>
      <c r="J505" s="35"/>
    </row>
    <row r="506" spans="2:11" x14ac:dyDescent="0.3">
      <c r="B506" s="36"/>
      <c r="F506" s="35"/>
      <c r="G506" s="35"/>
      <c r="I506" s="35"/>
      <c r="J506" s="35"/>
    </row>
    <row r="507" spans="2:11" x14ac:dyDescent="0.3">
      <c r="B507" s="36"/>
      <c r="F507" s="35"/>
      <c r="G507" s="35"/>
      <c r="I507" s="35"/>
      <c r="J507" s="35"/>
    </row>
    <row r="508" spans="2:11" x14ac:dyDescent="0.3">
      <c r="B508" s="36"/>
      <c r="F508" s="35"/>
      <c r="G508" s="35"/>
      <c r="I508" s="35"/>
      <c r="J508" s="35"/>
    </row>
    <row r="509" spans="2:11" x14ac:dyDescent="0.3">
      <c r="B509" s="36"/>
      <c r="F509" s="35"/>
      <c r="G509" s="35"/>
      <c r="I509" s="35"/>
      <c r="J509" s="35"/>
    </row>
    <row r="510" spans="2:11" x14ac:dyDescent="0.3">
      <c r="B510" s="36"/>
      <c r="F510" s="35"/>
      <c r="G510" s="35"/>
      <c r="I510" s="35"/>
      <c r="J510" s="35"/>
    </row>
    <row r="511" spans="2:11" x14ac:dyDescent="0.3">
      <c r="B511" s="36"/>
      <c r="F511" s="35"/>
      <c r="G511" s="35"/>
      <c r="I511" s="35"/>
      <c r="J511" s="35"/>
    </row>
    <row r="512" spans="2:11" x14ac:dyDescent="0.3">
      <c r="B512" s="36"/>
      <c r="F512" s="35"/>
      <c r="G512" s="35"/>
      <c r="I512" s="35"/>
      <c r="J512" s="35"/>
    </row>
    <row r="513" spans="2:10" x14ac:dyDescent="0.3">
      <c r="B513" s="36"/>
      <c r="F513" s="35"/>
      <c r="G513" s="35"/>
      <c r="I513" s="35"/>
      <c r="J513" s="35"/>
    </row>
    <row r="514" spans="2:10" x14ac:dyDescent="0.3">
      <c r="B514" s="36"/>
      <c r="F514" s="35"/>
      <c r="G514" s="35"/>
      <c r="I514" s="35"/>
      <c r="J514" s="35"/>
    </row>
    <row r="515" spans="2:10" x14ac:dyDescent="0.3">
      <c r="B515" s="36"/>
      <c r="F515" s="35"/>
      <c r="G515" s="35"/>
      <c r="I515" s="35"/>
      <c r="J515" s="35"/>
    </row>
    <row r="516" spans="2:10" x14ac:dyDescent="0.3">
      <c r="B516" s="36"/>
      <c r="F516" s="35"/>
      <c r="G516" s="35"/>
      <c r="I516" s="35"/>
      <c r="J516" s="35"/>
    </row>
    <row r="517" spans="2:10" x14ac:dyDescent="0.3">
      <c r="B517" s="36"/>
      <c r="F517" s="35"/>
      <c r="G517" s="35"/>
      <c r="I517" s="35"/>
      <c r="J517" s="35"/>
    </row>
    <row r="518" spans="2:10" x14ac:dyDescent="0.3">
      <c r="B518" s="36"/>
      <c r="F518" s="35"/>
      <c r="G518" s="35"/>
      <c r="I518" s="35"/>
      <c r="J518" s="35"/>
    </row>
    <row r="519" spans="2:10" x14ac:dyDescent="0.3">
      <c r="B519" s="36"/>
      <c r="F519" s="35"/>
      <c r="G519" s="35"/>
      <c r="I519" s="35"/>
      <c r="J519" s="35"/>
    </row>
    <row r="520" spans="2:10" x14ac:dyDescent="0.3">
      <c r="B520" s="36"/>
      <c r="F520" s="35"/>
      <c r="G520" s="35"/>
      <c r="I520" s="35"/>
      <c r="J520" s="35"/>
    </row>
    <row r="521" spans="2:10" x14ac:dyDescent="0.3">
      <c r="B521" s="36"/>
      <c r="F521" s="35"/>
      <c r="G521" s="35"/>
      <c r="I521" s="35"/>
      <c r="J521" s="35"/>
    </row>
    <row r="522" spans="2:10" x14ac:dyDescent="0.3">
      <c r="B522" s="36"/>
      <c r="F522" s="35"/>
      <c r="G522" s="35"/>
      <c r="I522" s="35"/>
      <c r="J522" s="35"/>
    </row>
    <row r="523" spans="2:10" x14ac:dyDescent="0.3">
      <c r="B523" s="36"/>
      <c r="F523" s="35"/>
      <c r="G523" s="35"/>
      <c r="I523" s="35"/>
      <c r="J523" s="35"/>
    </row>
    <row r="524" spans="2:10" x14ac:dyDescent="0.3">
      <c r="B524" s="36"/>
      <c r="F524" s="35"/>
      <c r="G524" s="35"/>
      <c r="I524" s="35"/>
      <c r="J524" s="35"/>
    </row>
    <row r="525" spans="2:10" x14ac:dyDescent="0.3">
      <c r="B525" s="36"/>
      <c r="F525" s="35"/>
      <c r="G525" s="35"/>
      <c r="I525" s="35"/>
      <c r="J525" s="35"/>
    </row>
    <row r="526" spans="2:10" x14ac:dyDescent="0.3">
      <c r="B526" s="36"/>
      <c r="F526" s="35"/>
      <c r="G526" s="35"/>
      <c r="I526" s="35"/>
      <c r="J526" s="35"/>
    </row>
    <row r="527" spans="2:10" x14ac:dyDescent="0.3">
      <c r="B527" s="36"/>
      <c r="F527" s="35"/>
      <c r="G527" s="35"/>
      <c r="I527" s="35"/>
      <c r="J527" s="35"/>
    </row>
    <row r="528" spans="2:10" x14ac:dyDescent="0.3">
      <c r="B528" s="36"/>
      <c r="F528" s="35"/>
      <c r="G528" s="35"/>
      <c r="I528" s="35"/>
      <c r="J528" s="35"/>
    </row>
    <row r="529" spans="2:10" x14ac:dyDescent="0.3">
      <c r="B529" s="36"/>
      <c r="F529" s="35"/>
      <c r="G529" s="35"/>
      <c r="I529" s="35"/>
      <c r="J529" s="35"/>
    </row>
    <row r="530" spans="2:10" x14ac:dyDescent="0.3">
      <c r="B530" s="36"/>
      <c r="F530" s="35"/>
      <c r="G530" s="35"/>
      <c r="I530" s="35"/>
      <c r="J530" s="35"/>
    </row>
    <row r="531" spans="2:10" x14ac:dyDescent="0.3">
      <c r="B531" s="36"/>
      <c r="F531" s="35"/>
      <c r="G531" s="35"/>
      <c r="I531" s="35"/>
      <c r="J531" s="35"/>
    </row>
    <row r="532" spans="2:10" x14ac:dyDescent="0.3">
      <c r="B532" s="36"/>
      <c r="F532" s="35"/>
      <c r="G532" s="35"/>
      <c r="I532" s="35"/>
      <c r="J532" s="35"/>
    </row>
    <row r="533" spans="2:10" x14ac:dyDescent="0.3">
      <c r="B533" s="36"/>
      <c r="F533" s="35"/>
      <c r="G533" s="35"/>
      <c r="I533" s="35"/>
      <c r="J533" s="35"/>
    </row>
    <row r="534" spans="2:10" x14ac:dyDescent="0.3">
      <c r="B534" s="36"/>
      <c r="F534" s="35"/>
      <c r="G534" s="35"/>
      <c r="I534" s="35"/>
      <c r="J534" s="35"/>
    </row>
    <row r="535" spans="2:10" x14ac:dyDescent="0.3">
      <c r="B535" s="36"/>
      <c r="F535" s="35"/>
      <c r="G535" s="35"/>
      <c r="I535" s="35"/>
      <c r="J535" s="35"/>
    </row>
    <row r="536" spans="2:10" x14ac:dyDescent="0.3">
      <c r="B536" s="36"/>
      <c r="F536" s="35"/>
      <c r="G536" s="35"/>
      <c r="I536" s="35"/>
      <c r="J536" s="35"/>
    </row>
    <row r="537" spans="2:10" x14ac:dyDescent="0.3">
      <c r="B537" s="36"/>
      <c r="F537" s="35"/>
      <c r="G537" s="35"/>
      <c r="I537" s="35"/>
      <c r="J537" s="35"/>
    </row>
    <row r="538" spans="2:10" x14ac:dyDescent="0.3">
      <c r="B538" s="36"/>
      <c r="F538" s="35"/>
      <c r="G538" s="35"/>
      <c r="I538" s="35"/>
      <c r="J538" s="35"/>
    </row>
    <row r="539" spans="2:10" x14ac:dyDescent="0.3">
      <c r="B539" s="36"/>
      <c r="F539" s="35"/>
      <c r="G539" s="35"/>
      <c r="I539" s="35"/>
      <c r="J539" s="35"/>
    </row>
    <row r="540" spans="2:10" x14ac:dyDescent="0.3">
      <c r="B540" s="36"/>
      <c r="F540" s="35"/>
      <c r="G540" s="35"/>
      <c r="I540" s="35"/>
      <c r="J540" s="35"/>
    </row>
    <row r="541" spans="2:10" x14ac:dyDescent="0.3">
      <c r="B541" s="36"/>
      <c r="F541" s="35"/>
      <c r="G541" s="35"/>
      <c r="I541" s="35"/>
      <c r="J541" s="35"/>
    </row>
    <row r="542" spans="2:10" x14ac:dyDescent="0.3">
      <c r="B542" s="36"/>
      <c r="F542" s="35"/>
      <c r="G542" s="35"/>
      <c r="I542" s="35"/>
      <c r="J542" s="35"/>
    </row>
    <row r="543" spans="2:10" x14ac:dyDescent="0.3">
      <c r="B543" s="36"/>
      <c r="F543" s="35"/>
      <c r="G543" s="35"/>
      <c r="I543" s="35"/>
      <c r="J543" s="35"/>
    </row>
    <row r="544" spans="2:10" x14ac:dyDescent="0.3">
      <c r="B544" s="36"/>
      <c r="F544" s="35"/>
      <c r="G544" s="35"/>
      <c r="I544" s="35"/>
      <c r="J544" s="35"/>
    </row>
    <row r="545" spans="2:10" x14ac:dyDescent="0.3">
      <c r="B545" s="36"/>
      <c r="F545" s="35"/>
      <c r="G545" s="35"/>
      <c r="I545" s="35"/>
      <c r="J545" s="35"/>
    </row>
    <row r="546" spans="2:10" x14ac:dyDescent="0.3">
      <c r="B546" s="36"/>
      <c r="F546" s="35"/>
      <c r="G546" s="35"/>
      <c r="I546" s="35"/>
      <c r="J546" s="35"/>
    </row>
    <row r="547" spans="2:10" x14ac:dyDescent="0.3">
      <c r="B547" s="36"/>
      <c r="F547" s="35"/>
      <c r="G547" s="35"/>
      <c r="I547" s="35"/>
      <c r="J547" s="35"/>
    </row>
    <row r="548" spans="2:10" x14ac:dyDescent="0.3">
      <c r="B548" s="36"/>
      <c r="F548" s="35"/>
      <c r="G548" s="35"/>
      <c r="I548" s="35"/>
      <c r="J548" s="35"/>
    </row>
    <row r="549" spans="2:10" x14ac:dyDescent="0.3">
      <c r="B549" s="36"/>
      <c r="F549" s="35"/>
      <c r="G549" s="35"/>
      <c r="I549" s="35"/>
      <c r="J549" s="35"/>
    </row>
    <row r="550" spans="2:10" x14ac:dyDescent="0.3">
      <c r="B550" s="36"/>
      <c r="F550" s="35"/>
      <c r="G550" s="35"/>
      <c r="I550" s="35"/>
      <c r="J550" s="35"/>
    </row>
    <row r="551" spans="2:10" x14ac:dyDescent="0.3">
      <c r="B551" s="36"/>
      <c r="F551" s="35"/>
      <c r="G551" s="35"/>
      <c r="I551" s="35"/>
      <c r="J551" s="35"/>
    </row>
    <row r="552" spans="2:10" x14ac:dyDescent="0.3">
      <c r="B552" s="36"/>
      <c r="F552" s="35"/>
      <c r="G552" s="35"/>
      <c r="I552" s="35"/>
      <c r="J552" s="35"/>
    </row>
    <row r="553" spans="2:10" x14ac:dyDescent="0.3">
      <c r="B553" s="36"/>
      <c r="F553" s="35"/>
      <c r="G553" s="35"/>
      <c r="I553" s="35"/>
      <c r="J553" s="35"/>
    </row>
    <row r="554" spans="2:10" x14ac:dyDescent="0.3">
      <c r="B554" s="36"/>
      <c r="F554" s="35"/>
      <c r="G554" s="35"/>
      <c r="I554" s="35"/>
      <c r="J554" s="35"/>
    </row>
    <row r="555" spans="2:10" x14ac:dyDescent="0.3">
      <c r="B555" s="36"/>
      <c r="F555" s="35"/>
      <c r="G555" s="35"/>
      <c r="I555" s="35"/>
      <c r="J555" s="35"/>
    </row>
    <row r="556" spans="2:10" x14ac:dyDescent="0.3">
      <c r="B556" s="36"/>
      <c r="F556" s="35"/>
      <c r="G556" s="35"/>
      <c r="I556" s="35"/>
      <c r="J556" s="35"/>
    </row>
    <row r="557" spans="2:10" x14ac:dyDescent="0.3">
      <c r="B557" s="36"/>
      <c r="F557" s="35"/>
      <c r="G557" s="35"/>
      <c r="I557" s="35"/>
      <c r="J557" s="35"/>
    </row>
    <row r="558" spans="2:10" x14ac:dyDescent="0.3">
      <c r="B558" s="36"/>
      <c r="F558" s="35"/>
      <c r="G558" s="35"/>
      <c r="I558" s="35"/>
      <c r="J558" s="35"/>
    </row>
    <row r="559" spans="2:10" x14ac:dyDescent="0.3">
      <c r="B559" s="36"/>
      <c r="F559" s="35"/>
      <c r="G559" s="35"/>
      <c r="I559" s="35"/>
      <c r="J559" s="35"/>
    </row>
    <row r="560" spans="2:10" x14ac:dyDescent="0.3">
      <c r="B560" s="36"/>
      <c r="F560" s="35"/>
      <c r="G560" s="35"/>
      <c r="I560" s="35"/>
      <c r="J560" s="35"/>
    </row>
    <row r="561" spans="2:10" x14ac:dyDescent="0.3">
      <c r="B561" s="36"/>
      <c r="F561" s="35"/>
      <c r="G561" s="35"/>
      <c r="I561" s="35"/>
      <c r="J561" s="35"/>
    </row>
    <row r="562" spans="2:10" x14ac:dyDescent="0.3">
      <c r="B562" s="36"/>
      <c r="F562" s="35"/>
      <c r="G562" s="35"/>
      <c r="I562" s="35"/>
      <c r="J562" s="35"/>
    </row>
    <row r="563" spans="2:10" x14ac:dyDescent="0.3">
      <c r="B563" s="36"/>
      <c r="F563" s="35"/>
      <c r="G563" s="35"/>
      <c r="I563" s="35"/>
      <c r="J563" s="35"/>
    </row>
    <row r="564" spans="2:10" x14ac:dyDescent="0.3">
      <c r="B564" s="36"/>
      <c r="F564" s="35"/>
      <c r="G564" s="35"/>
      <c r="I564" s="35"/>
      <c r="J564" s="35"/>
    </row>
    <row r="565" spans="2:10" x14ac:dyDescent="0.3">
      <c r="B565" s="36"/>
      <c r="F565" s="35"/>
      <c r="G565" s="35"/>
      <c r="I565" s="35"/>
      <c r="J565" s="35"/>
    </row>
    <row r="566" spans="2:10" x14ac:dyDescent="0.3">
      <c r="B566" s="36"/>
      <c r="F566" s="35"/>
      <c r="G566" s="35"/>
      <c r="I566" s="35"/>
      <c r="J566" s="35"/>
    </row>
    <row r="567" spans="2:10" x14ac:dyDescent="0.3">
      <c r="B567" s="36"/>
      <c r="F567" s="35"/>
      <c r="G567" s="35"/>
      <c r="I567" s="35"/>
      <c r="J567" s="35"/>
    </row>
    <row r="568" spans="2:10" x14ac:dyDescent="0.3">
      <c r="B568" s="36"/>
      <c r="F568" s="35"/>
      <c r="G568" s="35"/>
      <c r="I568" s="35"/>
      <c r="J568" s="35"/>
    </row>
    <row r="569" spans="2:10" x14ac:dyDescent="0.3">
      <c r="B569" s="36"/>
      <c r="F569" s="35"/>
      <c r="G569" s="35"/>
      <c r="I569" s="35"/>
      <c r="J569" s="35"/>
    </row>
    <row r="570" spans="2:10" x14ac:dyDescent="0.3">
      <c r="B570" s="36"/>
      <c r="F570" s="35"/>
      <c r="G570" s="35"/>
      <c r="I570" s="35"/>
      <c r="J570" s="35"/>
    </row>
    <row r="571" spans="2:10" x14ac:dyDescent="0.3">
      <c r="B571" s="36"/>
      <c r="F571" s="35"/>
      <c r="G571" s="35"/>
      <c r="I571" s="35"/>
      <c r="J571" s="35"/>
    </row>
    <row r="572" spans="2:10" x14ac:dyDescent="0.3">
      <c r="B572" s="36"/>
      <c r="F572" s="35"/>
      <c r="G572" s="35"/>
      <c r="I572" s="35"/>
      <c r="J572" s="35"/>
    </row>
    <row r="573" spans="2:10" x14ac:dyDescent="0.3">
      <c r="B573" s="36"/>
      <c r="F573" s="35"/>
      <c r="G573" s="35"/>
      <c r="I573" s="35"/>
      <c r="J573" s="35"/>
    </row>
    <row r="574" spans="2:10" x14ac:dyDescent="0.3">
      <c r="B574" s="36"/>
      <c r="F574" s="35"/>
      <c r="G574" s="35"/>
      <c r="I574" s="35"/>
      <c r="J574" s="35"/>
    </row>
    <row r="575" spans="2:10" x14ac:dyDescent="0.3">
      <c r="B575" s="36"/>
      <c r="F575" s="35"/>
      <c r="G575" s="35"/>
      <c r="I575" s="35"/>
      <c r="J575" s="35"/>
    </row>
    <row r="576" spans="2:10" x14ac:dyDescent="0.3">
      <c r="B576" s="36"/>
      <c r="F576" s="35"/>
      <c r="G576" s="35"/>
      <c r="I576" s="35"/>
      <c r="J576" s="35"/>
    </row>
    <row r="577" spans="2:10" x14ac:dyDescent="0.3">
      <c r="B577" s="36"/>
      <c r="F577" s="35"/>
      <c r="G577" s="35"/>
      <c r="I577" s="35"/>
      <c r="J577" s="35"/>
    </row>
    <row r="578" spans="2:10" x14ac:dyDescent="0.3">
      <c r="B578" s="36"/>
      <c r="F578" s="35"/>
      <c r="G578" s="35"/>
      <c r="I578" s="35"/>
      <c r="J578" s="35"/>
    </row>
    <row r="579" spans="2:10" x14ac:dyDescent="0.3">
      <c r="B579" s="36"/>
      <c r="F579" s="35"/>
      <c r="G579" s="35"/>
      <c r="I579" s="35"/>
      <c r="J579" s="35"/>
    </row>
    <row r="580" spans="2:10" x14ac:dyDescent="0.3">
      <c r="B580" s="36"/>
      <c r="F580" s="35"/>
      <c r="G580" s="35"/>
      <c r="I580" s="35"/>
      <c r="J580" s="35"/>
    </row>
    <row r="581" spans="2:10" x14ac:dyDescent="0.3">
      <c r="B581" s="36"/>
      <c r="F581" s="35"/>
      <c r="G581" s="35"/>
      <c r="I581" s="35"/>
      <c r="J581" s="35"/>
    </row>
    <row r="582" spans="2:10" x14ac:dyDescent="0.3">
      <c r="B582" s="36"/>
      <c r="F582" s="35"/>
      <c r="G582" s="35"/>
      <c r="I582" s="35"/>
      <c r="J582" s="35"/>
    </row>
    <row r="583" spans="2:10" x14ac:dyDescent="0.3">
      <c r="B583" s="36"/>
      <c r="F583" s="35"/>
      <c r="G583" s="35"/>
      <c r="I583" s="35"/>
      <c r="J583" s="35"/>
    </row>
    <row r="584" spans="2:10" x14ac:dyDescent="0.3">
      <c r="B584" s="36"/>
      <c r="F584" s="35"/>
      <c r="G584" s="35"/>
      <c r="I584" s="35"/>
      <c r="J584" s="35"/>
    </row>
    <row r="585" spans="2:10" x14ac:dyDescent="0.3">
      <c r="B585" s="36"/>
      <c r="F585" s="35"/>
      <c r="G585" s="35"/>
      <c r="I585" s="35"/>
      <c r="J585" s="35"/>
    </row>
    <row r="586" spans="2:10" x14ac:dyDescent="0.3">
      <c r="B586" s="36"/>
      <c r="F586" s="35"/>
      <c r="G586" s="35"/>
      <c r="I586" s="35"/>
      <c r="J586" s="35"/>
    </row>
    <row r="587" spans="2:10" x14ac:dyDescent="0.3">
      <c r="B587" s="36"/>
      <c r="F587" s="35"/>
      <c r="G587" s="35"/>
      <c r="I587" s="35"/>
      <c r="J587" s="35"/>
    </row>
    <row r="588" spans="2:10" x14ac:dyDescent="0.3">
      <c r="B588" s="36"/>
      <c r="F588" s="35"/>
      <c r="G588" s="35"/>
      <c r="I588" s="35"/>
      <c r="J588" s="35"/>
    </row>
    <row r="589" spans="2:10" x14ac:dyDescent="0.3">
      <c r="B589" s="36"/>
      <c r="F589" s="35"/>
      <c r="G589" s="35"/>
      <c r="I589" s="35"/>
      <c r="J589" s="35"/>
    </row>
    <row r="590" spans="2:10" x14ac:dyDescent="0.3">
      <c r="B590" s="36"/>
      <c r="F590" s="35"/>
      <c r="G590" s="35"/>
      <c r="I590" s="35"/>
      <c r="J590" s="35"/>
    </row>
    <row r="591" spans="2:10" x14ac:dyDescent="0.3">
      <c r="B591" s="36"/>
      <c r="F591" s="35"/>
      <c r="G591" s="35"/>
      <c r="I591" s="35"/>
      <c r="J591" s="35"/>
    </row>
    <row r="592" spans="2:10" x14ac:dyDescent="0.3">
      <c r="B592" s="36"/>
      <c r="F592" s="35"/>
      <c r="G592" s="35"/>
      <c r="I592" s="35"/>
      <c r="J592" s="35"/>
    </row>
    <row r="593" spans="2:10" x14ac:dyDescent="0.3">
      <c r="B593" s="36"/>
      <c r="F593" s="35"/>
      <c r="G593" s="35"/>
      <c r="I593" s="35"/>
      <c r="J593" s="35"/>
    </row>
    <row r="594" spans="2:10" x14ac:dyDescent="0.3">
      <c r="B594" s="36"/>
      <c r="F594" s="35"/>
      <c r="G594" s="35"/>
      <c r="I594" s="35"/>
      <c r="J594" s="35"/>
    </row>
    <row r="595" spans="2:10" x14ac:dyDescent="0.3">
      <c r="B595" s="36"/>
      <c r="F595" s="35"/>
      <c r="G595" s="35"/>
      <c r="I595" s="35"/>
      <c r="J595" s="35"/>
    </row>
    <row r="596" spans="2:10" x14ac:dyDescent="0.3">
      <c r="B596" s="36"/>
      <c r="F596" s="35"/>
      <c r="G596" s="35"/>
      <c r="I596" s="35"/>
      <c r="J596" s="35"/>
    </row>
    <row r="597" spans="2:10" x14ac:dyDescent="0.3">
      <c r="B597" s="36"/>
      <c r="F597" s="35"/>
      <c r="G597" s="35"/>
      <c r="I597" s="35"/>
      <c r="J597" s="35"/>
    </row>
    <row r="598" spans="2:10" x14ac:dyDescent="0.3">
      <c r="B598" s="36"/>
      <c r="F598" s="35"/>
      <c r="G598" s="35"/>
      <c r="I598" s="35"/>
      <c r="J598" s="35"/>
    </row>
    <row r="599" spans="2:10" x14ac:dyDescent="0.3">
      <c r="B599" s="36"/>
      <c r="F599" s="35"/>
      <c r="G599" s="35"/>
      <c r="I599" s="35"/>
      <c r="J599" s="35"/>
    </row>
    <row r="600" spans="2:10" x14ac:dyDescent="0.3">
      <c r="B600" s="36"/>
      <c r="F600" s="35"/>
      <c r="G600" s="35"/>
      <c r="I600" s="35"/>
      <c r="J600" s="35"/>
    </row>
    <row r="601" spans="2:10" x14ac:dyDescent="0.3">
      <c r="B601" s="36"/>
      <c r="F601" s="35"/>
      <c r="G601" s="35"/>
      <c r="I601" s="35"/>
      <c r="J601" s="35"/>
    </row>
    <row r="602" spans="2:10" x14ac:dyDescent="0.3">
      <c r="B602" s="36"/>
      <c r="F602" s="35"/>
      <c r="G602" s="35"/>
      <c r="I602" s="35"/>
      <c r="J602" s="35"/>
    </row>
    <row r="603" spans="2:10" x14ac:dyDescent="0.3">
      <c r="B603" s="36"/>
      <c r="F603" s="35"/>
      <c r="G603" s="35"/>
      <c r="I603" s="35"/>
      <c r="J603" s="35"/>
    </row>
    <row r="604" spans="2:10" x14ac:dyDescent="0.3">
      <c r="B604" s="36"/>
      <c r="F604" s="35"/>
      <c r="G604" s="35"/>
      <c r="I604" s="35"/>
      <c r="J604" s="35"/>
    </row>
    <row r="605" spans="2:10" x14ac:dyDescent="0.3">
      <c r="B605" s="36"/>
      <c r="F605" s="35"/>
      <c r="G605" s="35"/>
      <c r="I605" s="35"/>
      <c r="J605" s="35"/>
    </row>
    <row r="606" spans="2:10" x14ac:dyDescent="0.3">
      <c r="B606" s="36"/>
      <c r="F606" s="35"/>
      <c r="G606" s="35"/>
      <c r="I606" s="35"/>
      <c r="J606" s="35"/>
    </row>
    <row r="607" spans="2:10" x14ac:dyDescent="0.3">
      <c r="B607" s="36"/>
      <c r="F607" s="35"/>
      <c r="G607" s="35"/>
      <c r="I607" s="35"/>
      <c r="J607" s="35"/>
    </row>
    <row r="608" spans="2:10" x14ac:dyDescent="0.3">
      <c r="B608" s="36"/>
      <c r="F608" s="35"/>
      <c r="G608" s="35"/>
      <c r="I608" s="35"/>
      <c r="J608" s="35"/>
    </row>
    <row r="609" spans="2:10" x14ac:dyDescent="0.3">
      <c r="B609" s="36"/>
      <c r="F609" s="35"/>
      <c r="G609" s="35"/>
      <c r="I609" s="35"/>
      <c r="J609" s="35"/>
    </row>
    <row r="610" spans="2:10" x14ac:dyDescent="0.3">
      <c r="B610" s="36"/>
      <c r="F610" s="35"/>
      <c r="G610" s="35"/>
      <c r="I610" s="35"/>
      <c r="J610" s="35"/>
    </row>
    <row r="611" spans="2:10" x14ac:dyDescent="0.3">
      <c r="B611" s="36"/>
      <c r="F611" s="35"/>
      <c r="G611" s="35"/>
      <c r="I611" s="35"/>
      <c r="J611" s="35"/>
    </row>
    <row r="612" spans="2:10" x14ac:dyDescent="0.3">
      <c r="B612" s="36"/>
      <c r="F612" s="35"/>
      <c r="G612" s="35"/>
      <c r="I612" s="35"/>
      <c r="J612" s="35"/>
    </row>
    <row r="613" spans="2:10" x14ac:dyDescent="0.3">
      <c r="B613" s="36"/>
      <c r="F613" s="35"/>
      <c r="G613" s="35"/>
      <c r="I613" s="35"/>
      <c r="J613" s="35"/>
    </row>
    <row r="614" spans="2:10" x14ac:dyDescent="0.3">
      <c r="B614" s="36"/>
      <c r="F614" s="35"/>
      <c r="G614" s="35"/>
      <c r="I614" s="35"/>
      <c r="J614" s="35"/>
    </row>
    <row r="615" spans="2:10" x14ac:dyDescent="0.3">
      <c r="B615" s="36"/>
      <c r="F615" s="35"/>
      <c r="G615" s="35"/>
      <c r="I615" s="35"/>
      <c r="J615" s="35"/>
    </row>
    <row r="616" spans="2:10" x14ac:dyDescent="0.3">
      <c r="B616" s="36"/>
      <c r="F616" s="35"/>
      <c r="G616" s="35"/>
      <c r="I616" s="35"/>
      <c r="J616" s="35"/>
    </row>
    <row r="617" spans="2:10" x14ac:dyDescent="0.3">
      <c r="B617" s="36"/>
      <c r="F617" s="35"/>
      <c r="G617" s="35"/>
      <c r="I617" s="35"/>
      <c r="J617" s="35"/>
    </row>
    <row r="618" spans="2:10" x14ac:dyDescent="0.3">
      <c r="B618" s="36"/>
      <c r="F618" s="35"/>
      <c r="G618" s="35"/>
      <c r="I618" s="35"/>
      <c r="J618" s="35"/>
    </row>
    <row r="619" spans="2:10" x14ac:dyDescent="0.3">
      <c r="B619" s="36"/>
      <c r="F619" s="35"/>
      <c r="G619" s="35"/>
      <c r="I619" s="35"/>
      <c r="J619" s="35"/>
    </row>
    <row r="620" spans="2:10" x14ac:dyDescent="0.3">
      <c r="B620" s="36"/>
      <c r="F620" s="35"/>
      <c r="G620" s="35"/>
      <c r="I620" s="35"/>
      <c r="J620" s="35"/>
    </row>
    <row r="621" spans="2:10" x14ac:dyDescent="0.3">
      <c r="B621" s="36"/>
      <c r="F621" s="35"/>
      <c r="G621" s="35"/>
      <c r="I621" s="35"/>
      <c r="J621" s="35"/>
    </row>
    <row r="622" spans="2:10" x14ac:dyDescent="0.3">
      <c r="B622" s="36"/>
      <c r="F622" s="35"/>
      <c r="G622" s="35"/>
      <c r="I622" s="35"/>
      <c r="J622" s="35"/>
    </row>
    <row r="623" spans="2:10" x14ac:dyDescent="0.3">
      <c r="B623" s="36"/>
      <c r="F623" s="35"/>
      <c r="G623" s="35"/>
      <c r="I623" s="35"/>
      <c r="J623" s="35"/>
    </row>
    <row r="624" spans="2:10" x14ac:dyDescent="0.3">
      <c r="B624" s="36"/>
      <c r="F624" s="35"/>
      <c r="G624" s="35"/>
      <c r="I624" s="35"/>
      <c r="J624" s="35"/>
    </row>
    <row r="625" spans="2:10" x14ac:dyDescent="0.3">
      <c r="B625" s="36"/>
      <c r="F625" s="35"/>
      <c r="G625" s="35"/>
      <c r="I625" s="35"/>
      <c r="J625" s="35"/>
    </row>
    <row r="626" spans="2:10" x14ac:dyDescent="0.3">
      <c r="B626" s="36"/>
      <c r="F626" s="35"/>
      <c r="G626" s="35"/>
      <c r="I626" s="35"/>
      <c r="J626" s="35"/>
    </row>
    <row r="627" spans="2:10" x14ac:dyDescent="0.3">
      <c r="B627" s="36"/>
      <c r="F627" s="35"/>
      <c r="G627" s="35"/>
      <c r="I627" s="35"/>
      <c r="J627" s="35"/>
    </row>
    <row r="628" spans="2:10" x14ac:dyDescent="0.3">
      <c r="B628" s="36"/>
      <c r="F628" s="35"/>
      <c r="G628" s="35"/>
      <c r="I628" s="35"/>
      <c r="J628" s="35"/>
    </row>
    <row r="629" spans="2:10" x14ac:dyDescent="0.3">
      <c r="B629" s="36"/>
      <c r="F629" s="35"/>
      <c r="G629" s="35"/>
      <c r="I629" s="35"/>
      <c r="J629" s="35"/>
    </row>
    <row r="630" spans="2:10" x14ac:dyDescent="0.3">
      <c r="B630" s="36"/>
      <c r="F630" s="35"/>
      <c r="G630" s="35"/>
      <c r="I630" s="35"/>
      <c r="J630" s="35"/>
    </row>
    <row r="631" spans="2:10" x14ac:dyDescent="0.3">
      <c r="B631" s="36"/>
      <c r="F631" s="35"/>
      <c r="G631" s="35"/>
      <c r="I631" s="35"/>
      <c r="J631" s="35"/>
    </row>
    <row r="632" spans="2:10" x14ac:dyDescent="0.3">
      <c r="B632" s="36"/>
      <c r="F632" s="35"/>
      <c r="G632" s="35"/>
      <c r="I632" s="35"/>
      <c r="J632" s="35"/>
    </row>
    <row r="633" spans="2:10" x14ac:dyDescent="0.3">
      <c r="B633" s="36"/>
      <c r="F633" s="35"/>
      <c r="G633" s="35"/>
      <c r="I633" s="35"/>
      <c r="J633" s="35"/>
    </row>
    <row r="634" spans="2:10" x14ac:dyDescent="0.3">
      <c r="B634" s="36"/>
      <c r="F634" s="35"/>
      <c r="G634" s="35"/>
      <c r="I634" s="35"/>
      <c r="J634" s="35"/>
    </row>
    <row r="635" spans="2:10" x14ac:dyDescent="0.3">
      <c r="B635" s="36"/>
      <c r="F635" s="35"/>
      <c r="G635" s="35"/>
      <c r="I635" s="35"/>
      <c r="J635" s="35"/>
    </row>
    <row r="636" spans="2:10" x14ac:dyDescent="0.3">
      <c r="B636" s="36"/>
      <c r="F636" s="35"/>
      <c r="G636" s="35"/>
      <c r="I636" s="35"/>
      <c r="J636" s="35"/>
    </row>
    <row r="637" spans="2:10" x14ac:dyDescent="0.3">
      <c r="B637" s="36"/>
      <c r="F637" s="35"/>
      <c r="G637" s="35"/>
      <c r="I637" s="35"/>
      <c r="J637" s="35"/>
    </row>
    <row r="638" spans="2:10" x14ac:dyDescent="0.3">
      <c r="B638" s="36"/>
      <c r="F638" s="35"/>
      <c r="G638" s="35"/>
      <c r="I638" s="35"/>
      <c r="J638" s="35"/>
    </row>
    <row r="639" spans="2:10" x14ac:dyDescent="0.3">
      <c r="B639" s="36"/>
      <c r="F639" s="35"/>
      <c r="G639" s="35"/>
      <c r="I639" s="35"/>
      <c r="J639" s="35"/>
    </row>
    <row r="640" spans="2:10" x14ac:dyDescent="0.3">
      <c r="B640" s="36"/>
      <c r="F640" s="35"/>
      <c r="G640" s="35"/>
      <c r="I640" s="35"/>
      <c r="J640" s="35"/>
    </row>
    <row r="641" spans="2:10" x14ac:dyDescent="0.3">
      <c r="B641" s="36"/>
      <c r="F641" s="35"/>
      <c r="G641" s="35"/>
      <c r="I641" s="35"/>
      <c r="J641" s="35"/>
    </row>
    <row r="642" spans="2:10" x14ac:dyDescent="0.3">
      <c r="B642" s="36"/>
      <c r="F642" s="35"/>
      <c r="G642" s="35"/>
      <c r="I642" s="35"/>
      <c r="J642" s="35"/>
    </row>
    <row r="643" spans="2:10" x14ac:dyDescent="0.3">
      <c r="B643" s="36"/>
      <c r="F643" s="35"/>
      <c r="G643" s="35"/>
      <c r="I643" s="35"/>
      <c r="J643" s="35"/>
    </row>
    <row r="644" spans="2:10" x14ac:dyDescent="0.3">
      <c r="B644" s="36"/>
      <c r="F644" s="35"/>
      <c r="G644" s="35"/>
      <c r="I644" s="35"/>
      <c r="J644" s="35"/>
    </row>
    <row r="645" spans="2:10" x14ac:dyDescent="0.3">
      <c r="B645" s="36"/>
      <c r="F645" s="35"/>
      <c r="G645" s="35"/>
      <c r="I645" s="35"/>
      <c r="J645" s="35"/>
    </row>
    <row r="646" spans="2:10" x14ac:dyDescent="0.3">
      <c r="B646" s="36"/>
      <c r="F646" s="35"/>
      <c r="G646" s="35"/>
      <c r="I646" s="35"/>
      <c r="J646" s="35"/>
    </row>
    <row r="647" spans="2:10" x14ac:dyDescent="0.3">
      <c r="B647" s="36"/>
      <c r="F647" s="35"/>
      <c r="G647" s="35"/>
      <c r="I647" s="35"/>
      <c r="J647" s="35"/>
    </row>
    <row r="648" spans="2:10" x14ac:dyDescent="0.3">
      <c r="B648" s="36"/>
      <c r="F648" s="35"/>
      <c r="G648" s="35"/>
      <c r="I648" s="35"/>
      <c r="J648" s="35"/>
    </row>
    <row r="649" spans="2:10" x14ac:dyDescent="0.3">
      <c r="B649" s="36"/>
      <c r="F649" s="35"/>
      <c r="G649" s="35"/>
      <c r="I649" s="35"/>
      <c r="J649" s="35"/>
    </row>
    <row r="650" spans="2:10" x14ac:dyDescent="0.3">
      <c r="B650" s="36"/>
      <c r="F650" s="35"/>
      <c r="G650" s="35"/>
      <c r="I650" s="35"/>
      <c r="J650" s="35"/>
    </row>
    <row r="651" spans="2:10" x14ac:dyDescent="0.3">
      <c r="B651" s="36"/>
      <c r="F651" s="35"/>
      <c r="G651" s="35"/>
      <c r="I651" s="35"/>
      <c r="J651" s="35"/>
    </row>
    <row r="652" spans="2:10" x14ac:dyDescent="0.3">
      <c r="B652" s="36"/>
      <c r="F652" s="35"/>
      <c r="G652" s="35"/>
      <c r="I652" s="35"/>
      <c r="J652" s="35"/>
    </row>
    <row r="653" spans="2:10" x14ac:dyDescent="0.3">
      <c r="B653" s="36"/>
      <c r="F653" s="35"/>
      <c r="G653" s="35"/>
      <c r="I653" s="35"/>
      <c r="J653" s="35"/>
    </row>
    <row r="654" spans="2:10" x14ac:dyDescent="0.3">
      <c r="B654" s="36"/>
      <c r="F654" s="35"/>
      <c r="G654" s="35"/>
      <c r="I654" s="35"/>
      <c r="J654" s="35"/>
    </row>
    <row r="655" spans="2:10" x14ac:dyDescent="0.3">
      <c r="B655" s="36"/>
      <c r="F655" s="35"/>
      <c r="G655" s="35"/>
      <c r="I655" s="35"/>
      <c r="J655" s="35"/>
    </row>
    <row r="656" spans="2:10" x14ac:dyDescent="0.3">
      <c r="B656" s="36"/>
      <c r="F656" s="35"/>
      <c r="G656" s="35"/>
      <c r="I656" s="35"/>
      <c r="J656" s="35"/>
    </row>
    <row r="657" spans="2:10" x14ac:dyDescent="0.3">
      <c r="B657" s="36"/>
      <c r="F657" s="35"/>
      <c r="G657" s="35"/>
      <c r="I657" s="35"/>
      <c r="J657" s="35"/>
    </row>
    <row r="658" spans="2:10" x14ac:dyDescent="0.3">
      <c r="B658" s="36"/>
      <c r="F658" s="35"/>
      <c r="G658" s="35"/>
      <c r="I658" s="35"/>
      <c r="J658" s="35"/>
    </row>
    <row r="659" spans="2:10" x14ac:dyDescent="0.3">
      <c r="B659" s="36"/>
      <c r="F659" s="35"/>
      <c r="G659" s="35"/>
      <c r="I659" s="35"/>
      <c r="J659" s="35"/>
    </row>
    <row r="660" spans="2:10" x14ac:dyDescent="0.3">
      <c r="B660" s="36"/>
      <c r="F660" s="35"/>
      <c r="G660" s="35"/>
      <c r="I660" s="35"/>
      <c r="J660" s="35"/>
    </row>
    <row r="661" spans="2:10" x14ac:dyDescent="0.3">
      <c r="B661" s="36"/>
      <c r="F661" s="35"/>
      <c r="G661" s="35"/>
      <c r="I661" s="35"/>
      <c r="J661" s="35"/>
    </row>
    <row r="662" spans="2:10" x14ac:dyDescent="0.3">
      <c r="B662" s="36"/>
      <c r="F662" s="35"/>
      <c r="G662" s="35"/>
      <c r="I662" s="35"/>
      <c r="J662" s="35"/>
    </row>
    <row r="663" spans="2:10" x14ac:dyDescent="0.3">
      <c r="B663" s="36"/>
      <c r="F663" s="35"/>
      <c r="G663" s="35"/>
      <c r="I663" s="35"/>
      <c r="J663" s="35"/>
    </row>
    <row r="664" spans="2:10" x14ac:dyDescent="0.3">
      <c r="B664" s="36"/>
      <c r="F664" s="35"/>
      <c r="G664" s="35"/>
      <c r="I664" s="35"/>
      <c r="J664" s="35"/>
    </row>
    <row r="665" spans="2:10" x14ac:dyDescent="0.3">
      <c r="B665" s="36"/>
      <c r="F665" s="35"/>
      <c r="G665" s="35"/>
      <c r="I665" s="35"/>
      <c r="J665" s="35"/>
    </row>
    <row r="666" spans="2:10" x14ac:dyDescent="0.3">
      <c r="B666" s="36"/>
      <c r="F666" s="35"/>
      <c r="G666" s="35"/>
      <c r="I666" s="35"/>
      <c r="J666" s="35"/>
    </row>
    <row r="667" spans="2:10" x14ac:dyDescent="0.3">
      <c r="B667" s="36"/>
      <c r="F667" s="35"/>
      <c r="G667" s="35"/>
      <c r="I667" s="35"/>
      <c r="J667" s="35"/>
    </row>
    <row r="668" spans="2:10" x14ac:dyDescent="0.3">
      <c r="B668" s="36"/>
      <c r="F668" s="35"/>
      <c r="G668" s="35"/>
      <c r="I668" s="35"/>
      <c r="J668" s="35"/>
    </row>
    <row r="669" spans="2:10" x14ac:dyDescent="0.3">
      <c r="B669" s="36"/>
      <c r="F669" s="35"/>
      <c r="G669" s="35"/>
      <c r="I669" s="35"/>
      <c r="J669" s="35"/>
    </row>
    <row r="670" spans="2:10" x14ac:dyDescent="0.3">
      <c r="B670" s="36"/>
      <c r="F670" s="35"/>
      <c r="G670" s="35"/>
      <c r="I670" s="35"/>
      <c r="J670" s="35"/>
    </row>
    <row r="671" spans="2:10" x14ac:dyDescent="0.3">
      <c r="B671" s="36"/>
      <c r="F671" s="35"/>
      <c r="G671" s="35"/>
      <c r="I671" s="35"/>
      <c r="J671" s="35"/>
    </row>
    <row r="672" spans="2:10" x14ac:dyDescent="0.3">
      <c r="B672" s="36"/>
      <c r="F672" s="35"/>
      <c r="G672" s="35"/>
      <c r="I672" s="35"/>
      <c r="J672" s="35"/>
    </row>
    <row r="673" spans="2:10" x14ac:dyDescent="0.3">
      <c r="B673" s="36"/>
      <c r="F673" s="35"/>
      <c r="G673" s="35"/>
      <c r="I673" s="35"/>
      <c r="J673" s="35"/>
    </row>
    <row r="674" spans="2:10" x14ac:dyDescent="0.3">
      <c r="B674" s="36"/>
      <c r="F674" s="35"/>
      <c r="G674" s="35"/>
      <c r="I674" s="35"/>
      <c r="J674" s="35"/>
    </row>
    <row r="675" spans="2:10" x14ac:dyDescent="0.3">
      <c r="B675" s="36"/>
      <c r="F675" s="35"/>
      <c r="G675" s="35"/>
      <c r="I675" s="35"/>
      <c r="J675" s="35"/>
    </row>
    <row r="676" spans="2:10" x14ac:dyDescent="0.3">
      <c r="B676" s="36"/>
      <c r="F676" s="35"/>
      <c r="G676" s="35"/>
      <c r="I676" s="35"/>
      <c r="J676" s="35"/>
    </row>
    <row r="677" spans="2:10" x14ac:dyDescent="0.3">
      <c r="B677" s="36"/>
      <c r="F677" s="35"/>
      <c r="G677" s="35"/>
      <c r="I677" s="35"/>
      <c r="J677" s="35"/>
    </row>
    <row r="678" spans="2:10" x14ac:dyDescent="0.3">
      <c r="B678" s="36"/>
      <c r="F678" s="35"/>
      <c r="G678" s="35"/>
      <c r="I678" s="35"/>
      <c r="J678" s="35"/>
    </row>
    <row r="679" spans="2:10" x14ac:dyDescent="0.3">
      <c r="B679" s="36"/>
      <c r="F679" s="35"/>
      <c r="G679" s="35"/>
      <c r="I679" s="35"/>
      <c r="J679" s="35"/>
    </row>
    <row r="680" spans="2:10" x14ac:dyDescent="0.3">
      <c r="B680" s="36"/>
      <c r="F680" s="35"/>
      <c r="G680" s="35"/>
      <c r="I680" s="35"/>
      <c r="J680" s="35"/>
    </row>
    <row r="681" spans="2:10" x14ac:dyDescent="0.3">
      <c r="B681" s="36"/>
      <c r="F681" s="35"/>
      <c r="G681" s="35"/>
      <c r="I681" s="35"/>
      <c r="J681" s="35"/>
    </row>
    <row r="682" spans="2:10" x14ac:dyDescent="0.3">
      <c r="B682" s="36"/>
      <c r="F682" s="35"/>
      <c r="G682" s="35"/>
      <c r="I682" s="35"/>
      <c r="J682" s="35"/>
    </row>
    <row r="683" spans="2:10" x14ac:dyDescent="0.3">
      <c r="B683" s="36"/>
      <c r="F683" s="35"/>
      <c r="G683" s="35"/>
      <c r="I683" s="35"/>
      <c r="J683" s="35"/>
    </row>
    <row r="684" spans="2:10" x14ac:dyDescent="0.3">
      <c r="B684" s="36"/>
      <c r="F684" s="35"/>
      <c r="G684" s="35"/>
      <c r="I684" s="35"/>
      <c r="J684" s="35"/>
    </row>
    <row r="685" spans="2:10" x14ac:dyDescent="0.3">
      <c r="B685" s="36"/>
      <c r="F685" s="35"/>
      <c r="G685" s="35"/>
      <c r="I685" s="35"/>
      <c r="J685" s="35"/>
    </row>
    <row r="686" spans="2:10" x14ac:dyDescent="0.3">
      <c r="B686" s="36"/>
      <c r="F686" s="35"/>
      <c r="G686" s="35"/>
      <c r="I686" s="35"/>
      <c r="J686" s="35"/>
    </row>
    <row r="687" spans="2:10" x14ac:dyDescent="0.3">
      <c r="B687" s="36"/>
      <c r="F687" s="35"/>
      <c r="G687" s="35"/>
      <c r="I687" s="35"/>
      <c r="J687" s="35"/>
    </row>
    <row r="688" spans="2:10" x14ac:dyDescent="0.3">
      <c r="B688" s="36"/>
      <c r="F688" s="35"/>
      <c r="G688" s="35"/>
      <c r="I688" s="35"/>
      <c r="J688" s="35"/>
    </row>
    <row r="689" spans="2:10" x14ac:dyDescent="0.3">
      <c r="B689" s="36"/>
      <c r="F689" s="35"/>
      <c r="G689" s="35"/>
      <c r="I689" s="35"/>
      <c r="J689" s="35"/>
    </row>
    <row r="690" spans="2:10" x14ac:dyDescent="0.3">
      <c r="B690" s="36"/>
      <c r="F690" s="35"/>
      <c r="G690" s="35"/>
      <c r="I690" s="35"/>
      <c r="J690" s="35"/>
    </row>
    <row r="691" spans="2:10" x14ac:dyDescent="0.3">
      <c r="B691" s="36"/>
      <c r="F691" s="35"/>
      <c r="G691" s="35"/>
      <c r="I691" s="35"/>
      <c r="J691" s="35"/>
    </row>
    <row r="692" spans="2:10" x14ac:dyDescent="0.3">
      <c r="B692" s="36"/>
      <c r="F692" s="35"/>
      <c r="G692" s="35"/>
      <c r="I692" s="35"/>
      <c r="J692" s="35"/>
    </row>
    <row r="693" spans="2:10" x14ac:dyDescent="0.3">
      <c r="B693" s="36"/>
      <c r="F693" s="35"/>
      <c r="G693" s="35"/>
      <c r="I693" s="35"/>
      <c r="J693" s="35"/>
    </row>
    <row r="694" spans="2:10" x14ac:dyDescent="0.3">
      <c r="B694" s="36"/>
      <c r="F694" s="35"/>
      <c r="G694" s="35"/>
      <c r="I694" s="35"/>
      <c r="J694" s="35"/>
    </row>
    <row r="695" spans="2:10" x14ac:dyDescent="0.3">
      <c r="B695" s="36"/>
      <c r="F695" s="35"/>
      <c r="G695" s="35"/>
      <c r="I695" s="35"/>
      <c r="J695" s="35"/>
    </row>
    <row r="696" spans="2:10" x14ac:dyDescent="0.3">
      <c r="B696" s="36"/>
      <c r="F696" s="35"/>
      <c r="G696" s="35"/>
      <c r="I696" s="35"/>
      <c r="J696" s="35"/>
    </row>
    <row r="697" spans="2:10" x14ac:dyDescent="0.3">
      <c r="B697" s="36"/>
      <c r="F697" s="35"/>
      <c r="G697" s="35"/>
      <c r="I697" s="35"/>
      <c r="J697" s="35"/>
    </row>
    <row r="698" spans="2:10" x14ac:dyDescent="0.3">
      <c r="B698" s="36"/>
      <c r="F698" s="35"/>
      <c r="G698" s="35"/>
      <c r="I698" s="35"/>
      <c r="J698" s="35"/>
    </row>
    <row r="699" spans="2:10" x14ac:dyDescent="0.3">
      <c r="B699" s="36"/>
      <c r="F699" s="35"/>
      <c r="G699" s="35"/>
      <c r="I699" s="35"/>
      <c r="J699" s="35"/>
    </row>
    <row r="700" spans="2:10" x14ac:dyDescent="0.3">
      <c r="B700" s="36"/>
      <c r="F700" s="35"/>
      <c r="G700" s="35"/>
      <c r="I700" s="35"/>
      <c r="J700" s="35"/>
    </row>
    <row r="701" spans="2:10" x14ac:dyDescent="0.3">
      <c r="B701" s="36"/>
      <c r="F701" s="35"/>
      <c r="G701" s="35"/>
      <c r="I701" s="35"/>
      <c r="J701" s="35"/>
    </row>
    <row r="702" spans="2:10" x14ac:dyDescent="0.3">
      <c r="B702" s="36"/>
      <c r="F702" s="35"/>
      <c r="G702" s="35"/>
      <c r="I702" s="35"/>
      <c r="J702" s="35"/>
    </row>
    <row r="703" spans="2:10" x14ac:dyDescent="0.3">
      <c r="B703" s="36"/>
      <c r="F703" s="35"/>
      <c r="G703" s="35"/>
      <c r="I703" s="35"/>
      <c r="J703" s="35"/>
    </row>
    <row r="704" spans="2:10" x14ac:dyDescent="0.3">
      <c r="B704" s="36"/>
      <c r="F704" s="35"/>
      <c r="G704" s="35"/>
      <c r="I704" s="35"/>
      <c r="J704" s="35"/>
    </row>
    <row r="705" spans="2:10" x14ac:dyDescent="0.3">
      <c r="B705" s="36"/>
      <c r="F705" s="35"/>
      <c r="G705" s="35"/>
      <c r="I705" s="35"/>
      <c r="J705" s="35"/>
    </row>
    <row r="706" spans="2:10" x14ac:dyDescent="0.3">
      <c r="B706" s="36"/>
      <c r="F706" s="35"/>
      <c r="G706" s="35"/>
      <c r="I706" s="35"/>
      <c r="J706" s="35"/>
    </row>
    <row r="707" spans="2:10" x14ac:dyDescent="0.3">
      <c r="B707" s="36"/>
      <c r="F707" s="35"/>
      <c r="G707" s="35"/>
      <c r="I707" s="35"/>
      <c r="J707" s="35"/>
    </row>
    <row r="708" spans="2:10" x14ac:dyDescent="0.3">
      <c r="B708" s="36"/>
      <c r="F708" s="35"/>
      <c r="G708" s="35"/>
      <c r="I708" s="35"/>
      <c r="J708" s="35"/>
    </row>
    <row r="709" spans="2:10" x14ac:dyDescent="0.3">
      <c r="B709" s="36"/>
      <c r="F709" s="35"/>
      <c r="G709" s="35"/>
      <c r="I709" s="35"/>
      <c r="J709" s="35"/>
    </row>
    <row r="710" spans="2:10" x14ac:dyDescent="0.3">
      <c r="B710" s="36"/>
      <c r="F710" s="35"/>
      <c r="G710" s="35"/>
      <c r="I710" s="35"/>
      <c r="J710" s="35"/>
    </row>
    <row r="711" spans="2:10" x14ac:dyDescent="0.3">
      <c r="B711" s="36"/>
      <c r="F711" s="35"/>
      <c r="G711" s="35"/>
      <c r="I711" s="35"/>
      <c r="J711" s="35"/>
    </row>
    <row r="712" spans="2:10" x14ac:dyDescent="0.3">
      <c r="B712" s="36"/>
      <c r="F712" s="35"/>
      <c r="G712" s="35"/>
      <c r="I712" s="35"/>
      <c r="J712" s="35"/>
    </row>
    <row r="713" spans="2:10" x14ac:dyDescent="0.3">
      <c r="B713" s="36"/>
      <c r="F713" s="35"/>
      <c r="G713" s="35"/>
      <c r="I713" s="35"/>
      <c r="J713" s="35"/>
    </row>
    <row r="714" spans="2:10" x14ac:dyDescent="0.3">
      <c r="B714" s="36"/>
      <c r="F714" s="35"/>
      <c r="G714" s="35"/>
      <c r="I714" s="35"/>
      <c r="J714" s="35"/>
    </row>
    <row r="715" spans="2:10" x14ac:dyDescent="0.3">
      <c r="B715" s="36"/>
      <c r="F715" s="35"/>
      <c r="G715" s="35"/>
      <c r="I715" s="35"/>
      <c r="J715" s="35"/>
    </row>
    <row r="716" spans="2:10" x14ac:dyDescent="0.3">
      <c r="B716" s="36"/>
      <c r="F716" s="35"/>
      <c r="G716" s="35"/>
      <c r="I716" s="35"/>
      <c r="J716" s="35"/>
    </row>
    <row r="717" spans="2:10" x14ac:dyDescent="0.3">
      <c r="B717" s="36"/>
      <c r="F717" s="35"/>
      <c r="G717" s="35"/>
      <c r="I717" s="35"/>
      <c r="J717" s="35"/>
    </row>
    <row r="718" spans="2:10" x14ac:dyDescent="0.3">
      <c r="B718" s="36"/>
      <c r="F718" s="35"/>
      <c r="G718" s="35"/>
      <c r="I718" s="35"/>
      <c r="J718" s="35"/>
    </row>
    <row r="719" spans="2:10" x14ac:dyDescent="0.3">
      <c r="B719" s="36"/>
      <c r="F719" s="35"/>
      <c r="G719" s="35"/>
      <c r="I719" s="35"/>
      <c r="J719" s="35"/>
    </row>
    <row r="720" spans="2:10" x14ac:dyDescent="0.3">
      <c r="B720" s="36"/>
      <c r="F720" s="35"/>
      <c r="G720" s="35"/>
      <c r="I720" s="35"/>
      <c r="J720" s="35"/>
    </row>
    <row r="721" spans="2:10" x14ac:dyDescent="0.3">
      <c r="B721" s="36"/>
      <c r="F721" s="35"/>
      <c r="G721" s="35"/>
      <c r="I721" s="35"/>
      <c r="J721" s="35"/>
    </row>
    <row r="722" spans="2:10" x14ac:dyDescent="0.3">
      <c r="B722" s="36"/>
      <c r="F722" s="35"/>
      <c r="G722" s="35"/>
      <c r="I722" s="35"/>
      <c r="J722" s="35"/>
    </row>
    <row r="723" spans="2:10" x14ac:dyDescent="0.3">
      <c r="B723" s="36"/>
      <c r="F723" s="35"/>
      <c r="G723" s="35"/>
      <c r="I723" s="35"/>
      <c r="J723" s="35"/>
    </row>
    <row r="724" spans="2:10" x14ac:dyDescent="0.3">
      <c r="B724" s="36"/>
      <c r="F724" s="35"/>
      <c r="G724" s="35"/>
      <c r="I724" s="35"/>
      <c r="J724" s="35"/>
    </row>
    <row r="725" spans="2:10" x14ac:dyDescent="0.3">
      <c r="B725" s="36"/>
      <c r="F725" s="35"/>
      <c r="G725" s="35"/>
      <c r="I725" s="35"/>
      <c r="J725" s="35"/>
    </row>
    <row r="726" spans="2:10" x14ac:dyDescent="0.3">
      <c r="B726" s="36"/>
      <c r="F726" s="35"/>
      <c r="G726" s="35"/>
      <c r="I726" s="35"/>
      <c r="J726" s="35"/>
    </row>
    <row r="727" spans="2:10" x14ac:dyDescent="0.3">
      <c r="B727" s="36"/>
      <c r="F727" s="35"/>
      <c r="G727" s="35"/>
      <c r="I727" s="35"/>
      <c r="J727" s="35"/>
    </row>
    <row r="728" spans="2:10" x14ac:dyDescent="0.3">
      <c r="B728" s="36"/>
      <c r="F728" s="35"/>
      <c r="G728" s="35"/>
      <c r="I728" s="35"/>
      <c r="J728" s="35"/>
    </row>
    <row r="729" spans="2:10" x14ac:dyDescent="0.3">
      <c r="B729" s="36"/>
      <c r="F729" s="35"/>
      <c r="G729" s="35"/>
      <c r="I729" s="35"/>
      <c r="J729" s="35"/>
    </row>
    <row r="730" spans="2:10" x14ac:dyDescent="0.3">
      <c r="B730" s="36"/>
      <c r="F730" s="35"/>
      <c r="G730" s="35"/>
      <c r="I730" s="35"/>
      <c r="J730" s="35"/>
    </row>
    <row r="731" spans="2:10" x14ac:dyDescent="0.3">
      <c r="B731" s="36"/>
      <c r="F731" s="35"/>
      <c r="G731" s="35"/>
      <c r="I731" s="35"/>
      <c r="J731" s="35"/>
    </row>
    <row r="732" spans="2:10" x14ac:dyDescent="0.3">
      <c r="B732" s="36"/>
      <c r="F732" s="35"/>
      <c r="G732" s="35"/>
      <c r="I732" s="35"/>
      <c r="J732" s="35"/>
    </row>
    <row r="733" spans="2:10" x14ac:dyDescent="0.3">
      <c r="B733" s="36"/>
      <c r="F733" s="35"/>
      <c r="G733" s="35"/>
      <c r="I733" s="35"/>
      <c r="J733" s="35"/>
    </row>
    <row r="734" spans="2:10" x14ac:dyDescent="0.3">
      <c r="B734" s="36"/>
      <c r="F734" s="35"/>
      <c r="G734" s="35"/>
      <c r="I734" s="35"/>
      <c r="J734" s="35"/>
    </row>
    <row r="735" spans="2:10" x14ac:dyDescent="0.3">
      <c r="B735" s="36"/>
      <c r="F735" s="35"/>
      <c r="G735" s="35"/>
      <c r="I735" s="35"/>
      <c r="J735" s="35"/>
    </row>
    <row r="736" spans="2:10" x14ac:dyDescent="0.3">
      <c r="B736" s="36"/>
      <c r="F736" s="35"/>
      <c r="G736" s="35"/>
      <c r="I736" s="35"/>
      <c r="J736" s="35"/>
    </row>
    <row r="737" spans="2:10" x14ac:dyDescent="0.3">
      <c r="B737" s="36"/>
      <c r="F737" s="35"/>
      <c r="G737" s="35"/>
      <c r="I737" s="35"/>
      <c r="J737" s="35"/>
    </row>
    <row r="738" spans="2:10" x14ac:dyDescent="0.3">
      <c r="B738" s="36"/>
      <c r="F738" s="35"/>
      <c r="G738" s="35"/>
      <c r="I738" s="35"/>
      <c r="J738" s="35"/>
    </row>
    <row r="739" spans="2:10" x14ac:dyDescent="0.3">
      <c r="B739" s="36"/>
      <c r="F739" s="35"/>
      <c r="G739" s="35"/>
      <c r="I739" s="35"/>
      <c r="J739" s="35"/>
    </row>
    <row r="740" spans="2:10" x14ac:dyDescent="0.3">
      <c r="B740" s="36"/>
      <c r="F740" s="35"/>
      <c r="G740" s="35"/>
      <c r="I740" s="35"/>
      <c r="J740" s="35"/>
    </row>
    <row r="741" spans="2:10" x14ac:dyDescent="0.3">
      <c r="B741" s="36"/>
      <c r="F741" s="35"/>
      <c r="G741" s="35"/>
      <c r="I741" s="35"/>
      <c r="J741" s="35"/>
    </row>
    <row r="742" spans="2:10" x14ac:dyDescent="0.3">
      <c r="B742" s="36"/>
      <c r="F742" s="35"/>
      <c r="G742" s="35"/>
      <c r="I742" s="35"/>
      <c r="J742" s="35"/>
    </row>
    <row r="743" spans="2:10" x14ac:dyDescent="0.3">
      <c r="B743" s="36"/>
      <c r="F743" s="35"/>
      <c r="G743" s="35"/>
      <c r="I743" s="35"/>
      <c r="J743" s="35"/>
    </row>
    <row r="744" spans="2:10" x14ac:dyDescent="0.3">
      <c r="B744" s="36"/>
      <c r="F744" s="35"/>
      <c r="G744" s="35"/>
      <c r="I744" s="35"/>
      <c r="J744" s="35"/>
    </row>
    <row r="745" spans="2:10" x14ac:dyDescent="0.3">
      <c r="B745" s="36"/>
      <c r="F745" s="35"/>
      <c r="G745" s="35"/>
      <c r="I745" s="35"/>
      <c r="J745" s="35"/>
    </row>
    <row r="746" spans="2:10" x14ac:dyDescent="0.3">
      <c r="B746" s="36"/>
      <c r="F746" s="35"/>
      <c r="G746" s="35"/>
      <c r="I746" s="35"/>
      <c r="J746" s="35"/>
    </row>
    <row r="747" spans="2:10" x14ac:dyDescent="0.3">
      <c r="B747" s="36"/>
      <c r="F747" s="35"/>
      <c r="G747" s="35"/>
      <c r="I747" s="35"/>
      <c r="J747" s="35"/>
    </row>
    <row r="748" spans="2:10" x14ac:dyDescent="0.3">
      <c r="B748" s="36"/>
      <c r="F748" s="35"/>
      <c r="G748" s="35"/>
      <c r="I748" s="35"/>
      <c r="J748" s="35"/>
    </row>
    <row r="749" spans="2:10" x14ac:dyDescent="0.3">
      <c r="B749" s="36"/>
      <c r="F749" s="35"/>
      <c r="G749" s="35"/>
      <c r="I749" s="35"/>
      <c r="J749" s="35"/>
    </row>
    <row r="750" spans="2:10" x14ac:dyDescent="0.3">
      <c r="B750" s="36"/>
      <c r="F750" s="35"/>
      <c r="G750" s="35"/>
      <c r="I750" s="35"/>
      <c r="J750" s="35"/>
    </row>
    <row r="751" spans="2:10" x14ac:dyDescent="0.3">
      <c r="B751" s="36"/>
      <c r="F751" s="35"/>
      <c r="G751" s="35"/>
      <c r="I751" s="35"/>
      <c r="J751" s="35"/>
    </row>
    <row r="752" spans="2:10" x14ac:dyDescent="0.3">
      <c r="B752" s="36"/>
      <c r="F752" s="35"/>
      <c r="G752" s="35"/>
      <c r="I752" s="35"/>
      <c r="J752" s="35"/>
    </row>
    <row r="753" spans="2:10" x14ac:dyDescent="0.3">
      <c r="B753" s="36"/>
      <c r="F753" s="35"/>
      <c r="G753" s="35"/>
      <c r="I753" s="35"/>
      <c r="J753" s="35"/>
    </row>
    <row r="754" spans="2:10" x14ac:dyDescent="0.3">
      <c r="B754" s="36"/>
      <c r="F754" s="35"/>
      <c r="G754" s="35"/>
      <c r="I754" s="35"/>
      <c r="J754" s="35"/>
    </row>
    <row r="755" spans="2:10" x14ac:dyDescent="0.3">
      <c r="B755" s="36"/>
      <c r="F755" s="35"/>
      <c r="G755" s="35"/>
      <c r="I755" s="35"/>
      <c r="J755" s="35"/>
    </row>
    <row r="756" spans="2:10" x14ac:dyDescent="0.3">
      <c r="B756" s="36"/>
      <c r="F756" s="35"/>
      <c r="G756" s="35"/>
      <c r="I756" s="35"/>
      <c r="J756" s="35"/>
    </row>
    <row r="757" spans="2:10" x14ac:dyDescent="0.3">
      <c r="B757" s="36"/>
      <c r="F757" s="35"/>
      <c r="G757" s="35"/>
      <c r="I757" s="35"/>
      <c r="J757" s="35"/>
    </row>
    <row r="758" spans="2:10" x14ac:dyDescent="0.3">
      <c r="B758" s="36"/>
      <c r="F758" s="35"/>
      <c r="G758" s="35"/>
      <c r="I758" s="35"/>
      <c r="J758" s="35"/>
    </row>
    <row r="759" spans="2:10" x14ac:dyDescent="0.3">
      <c r="B759" s="36"/>
      <c r="F759" s="35"/>
      <c r="G759" s="35"/>
      <c r="I759" s="35"/>
      <c r="J759" s="35"/>
    </row>
    <row r="760" spans="2:10" x14ac:dyDescent="0.3">
      <c r="B760" s="36"/>
      <c r="F760" s="35"/>
      <c r="G760" s="35"/>
      <c r="I760" s="35"/>
      <c r="J760" s="35"/>
    </row>
    <row r="761" spans="2:10" x14ac:dyDescent="0.3">
      <c r="B761" s="36"/>
      <c r="F761" s="35"/>
      <c r="G761" s="35"/>
      <c r="I761" s="35"/>
      <c r="J761" s="35"/>
    </row>
    <row r="762" spans="2:10" x14ac:dyDescent="0.3">
      <c r="B762" s="36"/>
      <c r="F762" s="35"/>
      <c r="G762" s="35"/>
      <c r="I762" s="35"/>
      <c r="J762" s="35"/>
    </row>
    <row r="763" spans="2:10" x14ac:dyDescent="0.3">
      <c r="B763" s="36"/>
      <c r="F763" s="35"/>
      <c r="G763" s="35"/>
      <c r="I763" s="35"/>
      <c r="J763" s="35"/>
    </row>
    <row r="764" spans="2:10" x14ac:dyDescent="0.3">
      <c r="B764" s="36"/>
      <c r="F764" s="35"/>
      <c r="G764" s="35"/>
      <c r="I764" s="35"/>
      <c r="J764" s="35"/>
    </row>
    <row r="765" spans="2:10" x14ac:dyDescent="0.3">
      <c r="B765" s="36"/>
      <c r="F765" s="35"/>
      <c r="G765" s="35"/>
      <c r="I765" s="35"/>
      <c r="J765" s="35"/>
    </row>
    <row r="766" spans="2:10" x14ac:dyDescent="0.3">
      <c r="B766" s="36"/>
      <c r="F766" s="35"/>
      <c r="G766" s="35"/>
      <c r="I766" s="35"/>
      <c r="J766" s="35"/>
    </row>
    <row r="767" spans="2:10" x14ac:dyDescent="0.3">
      <c r="B767" s="36"/>
      <c r="F767" s="35"/>
      <c r="G767" s="35"/>
      <c r="I767" s="35"/>
      <c r="J767" s="35"/>
    </row>
    <row r="768" spans="2:10" x14ac:dyDescent="0.3">
      <c r="B768" s="36"/>
      <c r="F768" s="35"/>
      <c r="G768" s="35"/>
      <c r="I768" s="35"/>
      <c r="J768" s="35"/>
    </row>
    <row r="769" spans="2:10" x14ac:dyDescent="0.3">
      <c r="B769" s="36"/>
      <c r="F769" s="35"/>
      <c r="G769" s="35"/>
      <c r="I769" s="35"/>
      <c r="J769" s="35"/>
    </row>
    <row r="770" spans="2:10" x14ac:dyDescent="0.3">
      <c r="B770" s="36"/>
      <c r="F770" s="35"/>
      <c r="G770" s="35"/>
      <c r="I770" s="35"/>
      <c r="J770" s="35"/>
    </row>
    <row r="771" spans="2:10" x14ac:dyDescent="0.3">
      <c r="B771" s="36"/>
      <c r="F771" s="35"/>
      <c r="G771" s="35"/>
      <c r="I771" s="35"/>
      <c r="J771" s="35"/>
    </row>
    <row r="772" spans="2:10" x14ac:dyDescent="0.3">
      <c r="B772" s="36"/>
      <c r="F772" s="35"/>
      <c r="G772" s="35"/>
      <c r="I772" s="35"/>
      <c r="J772" s="35"/>
    </row>
    <row r="773" spans="2:10" x14ac:dyDescent="0.3">
      <c r="B773" s="36"/>
      <c r="F773" s="35"/>
      <c r="G773" s="35"/>
      <c r="I773" s="35"/>
      <c r="J773" s="35"/>
    </row>
    <row r="774" spans="2:10" x14ac:dyDescent="0.3">
      <c r="B774" s="36"/>
      <c r="F774" s="35"/>
      <c r="G774" s="35"/>
      <c r="I774" s="35"/>
      <c r="J774" s="35"/>
    </row>
    <row r="775" spans="2:10" x14ac:dyDescent="0.3">
      <c r="B775" s="36"/>
      <c r="F775" s="35"/>
      <c r="G775" s="35"/>
      <c r="I775" s="35"/>
      <c r="J775" s="35"/>
    </row>
    <row r="776" spans="2:10" x14ac:dyDescent="0.3">
      <c r="B776" s="36"/>
      <c r="F776" s="35"/>
      <c r="G776" s="35"/>
      <c r="I776" s="35"/>
      <c r="J776" s="35"/>
    </row>
    <row r="777" spans="2:10" x14ac:dyDescent="0.3">
      <c r="B777" s="36"/>
      <c r="F777" s="35"/>
      <c r="G777" s="35"/>
      <c r="I777" s="35"/>
      <c r="J777" s="35"/>
    </row>
    <row r="778" spans="2:10" x14ac:dyDescent="0.3">
      <c r="B778" s="36"/>
      <c r="F778" s="35"/>
      <c r="G778" s="35"/>
      <c r="I778" s="35"/>
      <c r="J778" s="35"/>
    </row>
    <row r="779" spans="2:10" x14ac:dyDescent="0.3">
      <c r="B779" s="36"/>
      <c r="F779" s="35"/>
      <c r="G779" s="35"/>
      <c r="I779" s="35"/>
      <c r="J779" s="35"/>
    </row>
    <row r="780" spans="2:10" x14ac:dyDescent="0.3">
      <c r="B780" s="36"/>
      <c r="F780" s="35"/>
      <c r="G780" s="35"/>
      <c r="I780" s="35"/>
      <c r="J780" s="35"/>
    </row>
    <row r="781" spans="2:10" x14ac:dyDescent="0.3">
      <c r="B781" s="36"/>
      <c r="F781" s="35"/>
      <c r="G781" s="35"/>
      <c r="I781" s="35"/>
      <c r="J781" s="35"/>
    </row>
    <row r="782" spans="2:10" x14ac:dyDescent="0.3">
      <c r="B782" s="36"/>
      <c r="F782" s="35"/>
      <c r="G782" s="35"/>
      <c r="I782" s="35"/>
      <c r="J782" s="35"/>
    </row>
    <row r="783" spans="2:10" x14ac:dyDescent="0.3">
      <c r="B783" s="36"/>
      <c r="F783" s="35"/>
      <c r="G783" s="35"/>
      <c r="I783" s="35"/>
      <c r="J783" s="35"/>
    </row>
    <row r="784" spans="2:10" x14ac:dyDescent="0.3">
      <c r="B784" s="36"/>
      <c r="F784" s="35"/>
      <c r="G784" s="35"/>
      <c r="I784" s="35"/>
      <c r="J784" s="35"/>
    </row>
    <row r="785" spans="2:10" x14ac:dyDescent="0.3">
      <c r="B785" s="36"/>
      <c r="F785" s="35"/>
      <c r="G785" s="35"/>
      <c r="I785" s="35"/>
      <c r="J785" s="35"/>
    </row>
    <row r="786" spans="2:10" x14ac:dyDescent="0.3">
      <c r="B786" s="36"/>
      <c r="F786" s="35"/>
      <c r="G786" s="35"/>
      <c r="I786" s="35"/>
      <c r="J786" s="35"/>
    </row>
    <row r="787" spans="2:10" x14ac:dyDescent="0.3">
      <c r="B787" s="36"/>
      <c r="F787" s="35"/>
      <c r="G787" s="35"/>
      <c r="I787" s="35"/>
      <c r="J787" s="35"/>
    </row>
    <row r="788" spans="2:10" x14ac:dyDescent="0.3">
      <c r="B788" s="36"/>
      <c r="F788" s="35"/>
      <c r="G788" s="35"/>
      <c r="I788" s="35"/>
      <c r="J788" s="35"/>
    </row>
    <row r="789" spans="2:10" x14ac:dyDescent="0.3">
      <c r="B789" s="36"/>
      <c r="F789" s="35"/>
      <c r="G789" s="35"/>
      <c r="I789" s="35"/>
      <c r="J789" s="35"/>
    </row>
    <row r="790" spans="2:10" x14ac:dyDescent="0.3">
      <c r="B790" s="36"/>
      <c r="F790" s="35"/>
      <c r="G790" s="35"/>
      <c r="I790" s="35"/>
      <c r="J790" s="35"/>
    </row>
    <row r="791" spans="2:10" x14ac:dyDescent="0.3">
      <c r="B791" s="36"/>
      <c r="F791" s="35"/>
      <c r="G791" s="35"/>
      <c r="I791" s="35"/>
      <c r="J791" s="35"/>
    </row>
    <row r="792" spans="2:10" x14ac:dyDescent="0.3">
      <c r="B792" s="36"/>
      <c r="F792" s="35"/>
      <c r="G792" s="35"/>
      <c r="I792" s="35"/>
      <c r="J792" s="35"/>
    </row>
    <row r="793" spans="2:10" x14ac:dyDescent="0.3">
      <c r="B793" s="36"/>
      <c r="F793" s="35"/>
      <c r="G793" s="35"/>
      <c r="I793" s="35"/>
      <c r="J793" s="35"/>
    </row>
    <row r="794" spans="2:10" x14ac:dyDescent="0.3">
      <c r="B794" s="36"/>
      <c r="F794" s="35"/>
      <c r="G794" s="35"/>
      <c r="I794" s="35"/>
      <c r="J794" s="35"/>
    </row>
    <row r="795" spans="2:10" x14ac:dyDescent="0.3">
      <c r="B795" s="36"/>
      <c r="F795" s="35"/>
      <c r="G795" s="35"/>
      <c r="I795" s="35"/>
      <c r="J795" s="35"/>
    </row>
    <row r="796" spans="2:10" x14ac:dyDescent="0.3">
      <c r="B796" s="36"/>
      <c r="F796" s="35"/>
      <c r="G796" s="35"/>
      <c r="I796" s="35"/>
      <c r="J796" s="35"/>
    </row>
    <row r="797" spans="2:10" x14ac:dyDescent="0.3">
      <c r="B797" s="36"/>
      <c r="F797" s="35"/>
      <c r="G797" s="35"/>
      <c r="I797" s="35"/>
      <c r="J797" s="35"/>
    </row>
    <row r="798" spans="2:10" x14ac:dyDescent="0.3">
      <c r="B798" s="36"/>
      <c r="F798" s="35"/>
      <c r="G798" s="35"/>
      <c r="I798" s="35"/>
      <c r="J798" s="35"/>
    </row>
    <row r="799" spans="2:10" x14ac:dyDescent="0.3">
      <c r="B799" s="36"/>
      <c r="F799" s="35"/>
      <c r="G799" s="35"/>
      <c r="I799" s="35"/>
      <c r="J799" s="35"/>
    </row>
    <row r="800" spans="2:10" x14ac:dyDescent="0.3">
      <c r="B800" s="36"/>
      <c r="F800" s="35"/>
      <c r="G800" s="35"/>
      <c r="I800" s="35"/>
      <c r="J800" s="35"/>
    </row>
    <row r="801" spans="2:10" x14ac:dyDescent="0.3">
      <c r="B801" s="36"/>
      <c r="F801" s="35"/>
      <c r="G801" s="35"/>
      <c r="I801" s="35"/>
      <c r="J801" s="35"/>
    </row>
    <row r="802" spans="2:10" x14ac:dyDescent="0.3">
      <c r="B802" s="36"/>
      <c r="F802" s="35"/>
      <c r="G802" s="35"/>
      <c r="I802" s="35"/>
      <c r="J802" s="35"/>
    </row>
    <row r="803" spans="2:10" x14ac:dyDescent="0.3">
      <c r="B803" s="36"/>
      <c r="F803" s="35"/>
      <c r="G803" s="35"/>
      <c r="I803" s="35"/>
      <c r="J803" s="35"/>
    </row>
    <row r="804" spans="2:10" x14ac:dyDescent="0.3">
      <c r="B804" s="36"/>
      <c r="F804" s="35"/>
      <c r="G804" s="35"/>
      <c r="I804" s="35"/>
      <c r="J804" s="35"/>
    </row>
    <row r="805" spans="2:10" x14ac:dyDescent="0.3">
      <c r="B805" s="36"/>
      <c r="F805" s="35"/>
      <c r="G805" s="35"/>
      <c r="I805" s="35"/>
      <c r="J805" s="35"/>
    </row>
    <row r="806" spans="2:10" x14ac:dyDescent="0.3">
      <c r="B806" s="36"/>
      <c r="F806" s="35"/>
      <c r="G806" s="35"/>
      <c r="I806" s="35"/>
      <c r="J806" s="35"/>
    </row>
    <row r="807" spans="2:10" x14ac:dyDescent="0.3">
      <c r="B807" s="36"/>
      <c r="F807" s="35"/>
      <c r="G807" s="35"/>
      <c r="I807" s="35"/>
      <c r="J807" s="35"/>
    </row>
    <row r="808" spans="2:10" x14ac:dyDescent="0.3">
      <c r="B808" s="36"/>
      <c r="F808" s="35"/>
      <c r="G808" s="35"/>
      <c r="I808" s="35"/>
      <c r="J808" s="35"/>
    </row>
    <row r="809" spans="2:10" x14ac:dyDescent="0.3">
      <c r="B809" s="36"/>
      <c r="F809" s="35"/>
      <c r="G809" s="35"/>
      <c r="I809" s="35"/>
      <c r="J809" s="35"/>
    </row>
    <row r="810" spans="2:10" x14ac:dyDescent="0.3">
      <c r="B810" s="36"/>
      <c r="F810" s="35"/>
      <c r="G810" s="35"/>
      <c r="I810" s="35"/>
      <c r="J810" s="35"/>
    </row>
    <row r="811" spans="2:10" x14ac:dyDescent="0.3">
      <c r="B811" s="36"/>
      <c r="F811" s="35"/>
      <c r="G811" s="35"/>
      <c r="I811" s="35"/>
      <c r="J811" s="35"/>
    </row>
    <row r="812" spans="2:10" x14ac:dyDescent="0.3">
      <c r="B812" s="36"/>
      <c r="F812" s="35"/>
      <c r="G812" s="35"/>
      <c r="I812" s="35"/>
      <c r="J812" s="35"/>
    </row>
    <row r="813" spans="2:10" x14ac:dyDescent="0.3">
      <c r="B813" s="36"/>
      <c r="F813" s="35"/>
      <c r="G813" s="35"/>
      <c r="I813" s="35"/>
      <c r="J813" s="35"/>
    </row>
    <row r="814" spans="2:10" x14ac:dyDescent="0.3">
      <c r="B814" s="36"/>
      <c r="F814" s="35"/>
      <c r="G814" s="35"/>
      <c r="I814" s="35"/>
      <c r="J814" s="35"/>
    </row>
    <row r="815" spans="2:10" x14ac:dyDescent="0.3">
      <c r="B815" s="36"/>
      <c r="F815" s="35"/>
      <c r="G815" s="35"/>
      <c r="I815" s="35"/>
      <c r="J815" s="35"/>
    </row>
    <row r="816" spans="2:10" x14ac:dyDescent="0.3">
      <c r="B816" s="36"/>
      <c r="F816" s="35"/>
      <c r="G816" s="35"/>
      <c r="I816" s="35"/>
      <c r="J816" s="35"/>
    </row>
    <row r="817" spans="2:10" x14ac:dyDescent="0.3">
      <c r="B817" s="36"/>
      <c r="F817" s="35"/>
      <c r="G817" s="35"/>
      <c r="I817" s="35"/>
      <c r="J817" s="35"/>
    </row>
    <row r="818" spans="2:10" x14ac:dyDescent="0.3">
      <c r="B818" s="36"/>
      <c r="F818" s="35"/>
      <c r="G818" s="35"/>
      <c r="I818" s="35"/>
      <c r="J818" s="35"/>
    </row>
    <row r="819" spans="2:10" x14ac:dyDescent="0.3">
      <c r="B819" s="36"/>
      <c r="F819" s="35"/>
      <c r="G819" s="35"/>
      <c r="I819" s="35"/>
      <c r="J819" s="35"/>
    </row>
    <row r="820" spans="2:10" x14ac:dyDescent="0.3">
      <c r="B820" s="36"/>
      <c r="F820" s="35"/>
      <c r="G820" s="35"/>
      <c r="I820" s="35"/>
      <c r="J820" s="35"/>
    </row>
    <row r="821" spans="2:10" x14ac:dyDescent="0.3">
      <c r="B821" s="36"/>
      <c r="F821" s="35"/>
      <c r="G821" s="35"/>
      <c r="I821" s="35"/>
      <c r="J821" s="35"/>
    </row>
    <row r="822" spans="2:10" x14ac:dyDescent="0.3">
      <c r="B822" s="36"/>
      <c r="F822" s="35"/>
      <c r="G822" s="35"/>
      <c r="I822" s="35"/>
      <c r="J822" s="35"/>
    </row>
    <row r="823" spans="2:10" x14ac:dyDescent="0.3">
      <c r="B823" s="36"/>
      <c r="F823" s="35"/>
      <c r="G823" s="35"/>
      <c r="I823" s="35"/>
      <c r="J823" s="35"/>
    </row>
    <row r="824" spans="2:10" x14ac:dyDescent="0.3">
      <c r="B824" s="36"/>
      <c r="F824" s="35"/>
      <c r="G824" s="35"/>
      <c r="I824" s="35"/>
      <c r="J824" s="35"/>
    </row>
    <row r="825" spans="2:10" x14ac:dyDescent="0.3">
      <c r="B825" s="36"/>
      <c r="F825" s="35"/>
      <c r="G825" s="35"/>
      <c r="I825" s="35"/>
      <c r="J825" s="35"/>
    </row>
    <row r="826" spans="2:10" x14ac:dyDescent="0.3">
      <c r="B826" s="36"/>
      <c r="F826" s="35"/>
      <c r="G826" s="35"/>
      <c r="I826" s="35"/>
      <c r="J826" s="35"/>
    </row>
    <row r="827" spans="2:10" x14ac:dyDescent="0.3">
      <c r="B827" s="36"/>
      <c r="F827" s="35"/>
      <c r="G827" s="35"/>
      <c r="I827" s="35"/>
      <c r="J827" s="35"/>
    </row>
    <row r="828" spans="2:10" x14ac:dyDescent="0.3">
      <c r="B828" s="36"/>
      <c r="F828" s="35"/>
      <c r="G828" s="35"/>
      <c r="I828" s="35"/>
      <c r="J828" s="35"/>
    </row>
    <row r="829" spans="2:10" x14ac:dyDescent="0.3">
      <c r="B829" s="36"/>
      <c r="F829" s="35"/>
      <c r="G829" s="35"/>
      <c r="I829" s="35"/>
      <c r="J829" s="35"/>
    </row>
    <row r="830" spans="2:10" x14ac:dyDescent="0.3">
      <c r="B830" s="36"/>
      <c r="F830" s="35"/>
      <c r="G830" s="35"/>
      <c r="I830" s="35"/>
      <c r="J830" s="35"/>
    </row>
    <row r="831" spans="2:10" x14ac:dyDescent="0.3">
      <c r="B831" s="36"/>
      <c r="F831" s="35"/>
      <c r="G831" s="35"/>
      <c r="I831" s="35"/>
      <c r="J831" s="35"/>
    </row>
    <row r="832" spans="2:10" x14ac:dyDescent="0.3">
      <c r="B832" s="36"/>
      <c r="F832" s="35"/>
      <c r="G832" s="35"/>
      <c r="I832" s="35"/>
      <c r="J832" s="35"/>
    </row>
    <row r="833" spans="2:10" x14ac:dyDescent="0.3">
      <c r="B833" s="36"/>
      <c r="F833" s="35"/>
      <c r="G833" s="35"/>
      <c r="I833" s="35"/>
      <c r="J833" s="35"/>
    </row>
    <row r="834" spans="2:10" x14ac:dyDescent="0.3">
      <c r="B834" s="36"/>
      <c r="F834" s="35"/>
      <c r="G834" s="35"/>
      <c r="I834" s="35"/>
      <c r="J834" s="35"/>
    </row>
    <row r="835" spans="2:10" x14ac:dyDescent="0.3">
      <c r="B835" s="36"/>
      <c r="F835" s="35"/>
      <c r="G835" s="35"/>
      <c r="I835" s="35"/>
      <c r="J835" s="35"/>
    </row>
    <row r="836" spans="2:10" x14ac:dyDescent="0.3">
      <c r="B836" s="36"/>
      <c r="F836" s="35"/>
      <c r="G836" s="35"/>
      <c r="I836" s="35"/>
      <c r="J836" s="35"/>
    </row>
    <row r="837" spans="2:10" x14ac:dyDescent="0.3">
      <c r="B837" s="36"/>
      <c r="F837" s="35"/>
      <c r="G837" s="35"/>
      <c r="I837" s="35"/>
      <c r="J837" s="35"/>
    </row>
    <row r="838" spans="2:10" x14ac:dyDescent="0.3">
      <c r="B838" s="36"/>
      <c r="F838" s="35"/>
      <c r="G838" s="35"/>
      <c r="I838" s="35"/>
      <c r="J838" s="35"/>
    </row>
    <row r="839" spans="2:10" x14ac:dyDescent="0.3">
      <c r="B839" s="36"/>
      <c r="F839" s="35"/>
      <c r="G839" s="35"/>
      <c r="I839" s="35"/>
      <c r="J839" s="35"/>
    </row>
    <row r="840" spans="2:10" x14ac:dyDescent="0.3">
      <c r="B840" s="36"/>
      <c r="F840" s="35"/>
      <c r="G840" s="35"/>
      <c r="I840" s="35"/>
      <c r="J840" s="35"/>
    </row>
    <row r="841" spans="2:10" x14ac:dyDescent="0.3">
      <c r="B841" s="36"/>
      <c r="F841" s="35"/>
      <c r="G841" s="35"/>
      <c r="I841" s="35"/>
      <c r="J841" s="35"/>
    </row>
    <row r="842" spans="2:10" x14ac:dyDescent="0.3">
      <c r="B842" s="36"/>
      <c r="F842" s="35"/>
      <c r="G842" s="35"/>
      <c r="I842" s="35"/>
      <c r="J842" s="35"/>
    </row>
    <row r="843" spans="2:10" x14ac:dyDescent="0.3">
      <c r="B843" s="36"/>
      <c r="F843" s="35"/>
      <c r="G843" s="35"/>
      <c r="I843" s="35"/>
      <c r="J843" s="35"/>
    </row>
    <row r="844" spans="2:10" x14ac:dyDescent="0.3">
      <c r="B844" s="36"/>
      <c r="F844" s="35"/>
      <c r="G844" s="35"/>
      <c r="I844" s="35"/>
      <c r="J844" s="35"/>
    </row>
    <row r="845" spans="2:10" x14ac:dyDescent="0.3">
      <c r="B845" s="36"/>
      <c r="F845" s="35"/>
      <c r="G845" s="35"/>
      <c r="I845" s="35"/>
      <c r="J845" s="35"/>
    </row>
    <row r="846" spans="2:10" x14ac:dyDescent="0.3">
      <c r="B846" s="36"/>
      <c r="F846" s="35"/>
      <c r="G846" s="35"/>
      <c r="I846" s="35"/>
      <c r="J846" s="35"/>
    </row>
    <row r="847" spans="2:10" x14ac:dyDescent="0.3">
      <c r="B847" s="36"/>
      <c r="F847" s="35"/>
      <c r="G847" s="35"/>
      <c r="I847" s="35"/>
      <c r="J847" s="35"/>
    </row>
    <row r="848" spans="2:10" x14ac:dyDescent="0.3">
      <c r="B848" s="36"/>
      <c r="F848" s="35"/>
      <c r="G848" s="35"/>
      <c r="I848" s="35"/>
      <c r="J848" s="35"/>
    </row>
    <row r="849" spans="2:10" x14ac:dyDescent="0.3">
      <c r="B849" s="36"/>
      <c r="F849" s="35"/>
      <c r="G849" s="35"/>
      <c r="I849" s="35"/>
      <c r="J849" s="35"/>
    </row>
    <row r="850" spans="2:10" x14ac:dyDescent="0.3">
      <c r="B850" s="36"/>
      <c r="F850" s="35"/>
      <c r="G850" s="35"/>
      <c r="I850" s="35"/>
      <c r="J850" s="35"/>
    </row>
    <row r="851" spans="2:10" x14ac:dyDescent="0.3">
      <c r="B851" s="36"/>
      <c r="F851" s="35"/>
      <c r="G851" s="35"/>
      <c r="I851" s="35"/>
      <c r="J851" s="35"/>
    </row>
    <row r="852" spans="2:10" x14ac:dyDescent="0.3">
      <c r="B852" s="36"/>
      <c r="F852" s="35"/>
      <c r="G852" s="35"/>
      <c r="I852" s="35"/>
      <c r="J852" s="35"/>
    </row>
    <row r="853" spans="2:10" x14ac:dyDescent="0.3">
      <c r="B853" s="36"/>
      <c r="F853" s="35"/>
      <c r="G853" s="35"/>
      <c r="I853" s="35"/>
      <c r="J853" s="35"/>
    </row>
    <row r="854" spans="2:10" x14ac:dyDescent="0.3">
      <c r="B854" s="36"/>
      <c r="F854" s="35"/>
      <c r="G854" s="35"/>
      <c r="I854" s="35"/>
      <c r="J854" s="35"/>
    </row>
    <row r="855" spans="2:10" x14ac:dyDescent="0.3">
      <c r="B855" s="36"/>
      <c r="F855" s="35"/>
      <c r="G855" s="35"/>
      <c r="I855" s="35"/>
      <c r="J855" s="35"/>
    </row>
    <row r="856" spans="2:10" x14ac:dyDescent="0.3">
      <c r="B856" s="36"/>
      <c r="F856" s="35"/>
      <c r="G856" s="35"/>
      <c r="I856" s="35"/>
      <c r="J856" s="35"/>
    </row>
    <row r="857" spans="2:10" x14ac:dyDescent="0.3">
      <c r="B857" s="36"/>
      <c r="F857" s="35"/>
      <c r="G857" s="35"/>
      <c r="I857" s="35"/>
      <c r="J857" s="35"/>
    </row>
    <row r="858" spans="2:10" x14ac:dyDescent="0.3">
      <c r="B858" s="36"/>
      <c r="F858" s="35"/>
      <c r="G858" s="35"/>
      <c r="I858" s="35"/>
      <c r="J858" s="35"/>
    </row>
    <row r="859" spans="2:10" x14ac:dyDescent="0.3">
      <c r="B859" s="36"/>
      <c r="F859" s="35"/>
      <c r="G859" s="35"/>
      <c r="I859" s="35"/>
      <c r="J859" s="35"/>
    </row>
    <row r="860" spans="2:10" x14ac:dyDescent="0.3">
      <c r="B860" s="36"/>
      <c r="F860" s="35"/>
      <c r="G860" s="35"/>
      <c r="I860" s="35"/>
      <c r="J860" s="35"/>
    </row>
    <row r="861" spans="2:10" x14ac:dyDescent="0.3">
      <c r="B861" s="36"/>
      <c r="F861" s="35"/>
      <c r="G861" s="35"/>
      <c r="I861" s="35"/>
      <c r="J861" s="35"/>
    </row>
    <row r="862" spans="2:10" x14ac:dyDescent="0.3">
      <c r="B862" s="36"/>
      <c r="F862" s="35"/>
      <c r="G862" s="35"/>
      <c r="I862" s="35"/>
      <c r="J862" s="35"/>
    </row>
    <row r="863" spans="2:10" x14ac:dyDescent="0.3">
      <c r="B863" s="36"/>
      <c r="F863" s="35"/>
      <c r="G863" s="35"/>
      <c r="I863" s="35"/>
      <c r="J863" s="35"/>
    </row>
    <row r="864" spans="2:10" x14ac:dyDescent="0.3">
      <c r="B864" s="36"/>
      <c r="F864" s="35"/>
      <c r="G864" s="35"/>
      <c r="I864" s="35"/>
      <c r="J864" s="35"/>
    </row>
    <row r="865" spans="2:10" x14ac:dyDescent="0.3">
      <c r="B865" s="36"/>
      <c r="F865" s="35"/>
      <c r="G865" s="35"/>
      <c r="I865" s="35"/>
      <c r="J865" s="35"/>
    </row>
    <row r="866" spans="2:10" x14ac:dyDescent="0.3">
      <c r="B866" s="36"/>
      <c r="F866" s="35"/>
      <c r="G866" s="35"/>
      <c r="I866" s="35"/>
      <c r="J866" s="35"/>
    </row>
    <row r="867" spans="2:10" x14ac:dyDescent="0.3">
      <c r="B867" s="36"/>
      <c r="F867" s="35"/>
      <c r="G867" s="35"/>
      <c r="I867" s="35"/>
      <c r="J867" s="35"/>
    </row>
    <row r="868" spans="2:10" x14ac:dyDescent="0.3">
      <c r="B868" s="36"/>
      <c r="F868" s="35"/>
      <c r="G868" s="35"/>
      <c r="I868" s="35"/>
      <c r="J868" s="35"/>
    </row>
    <row r="869" spans="2:10" x14ac:dyDescent="0.3">
      <c r="B869" s="36"/>
      <c r="F869" s="35"/>
      <c r="G869" s="35"/>
      <c r="I869" s="35"/>
      <c r="J869" s="35"/>
    </row>
    <row r="870" spans="2:10" x14ac:dyDescent="0.3">
      <c r="B870" s="36"/>
      <c r="F870" s="35"/>
      <c r="G870" s="35"/>
      <c r="I870" s="35"/>
      <c r="J870" s="35"/>
    </row>
    <row r="871" spans="2:10" x14ac:dyDescent="0.3">
      <c r="B871" s="36"/>
      <c r="F871" s="35"/>
      <c r="G871" s="35"/>
      <c r="I871" s="35"/>
      <c r="J871" s="35"/>
    </row>
    <row r="872" spans="2:10" x14ac:dyDescent="0.3">
      <c r="B872" s="36"/>
      <c r="F872" s="35"/>
      <c r="G872" s="35"/>
      <c r="I872" s="35"/>
      <c r="J872" s="35"/>
    </row>
    <row r="873" spans="2:10" x14ac:dyDescent="0.3">
      <c r="B873" s="36"/>
      <c r="F873" s="35"/>
      <c r="G873" s="35"/>
      <c r="I873" s="35"/>
      <c r="J873" s="35"/>
    </row>
    <row r="874" spans="2:10" x14ac:dyDescent="0.3">
      <c r="B874" s="36"/>
      <c r="F874" s="35"/>
      <c r="G874" s="35"/>
      <c r="I874" s="35"/>
      <c r="J874" s="35"/>
    </row>
    <row r="875" spans="2:10" x14ac:dyDescent="0.3">
      <c r="B875" s="36"/>
      <c r="F875" s="35"/>
      <c r="G875" s="35"/>
      <c r="I875" s="35"/>
      <c r="J875" s="35"/>
    </row>
    <row r="876" spans="2:10" x14ac:dyDescent="0.3">
      <c r="B876" s="36"/>
      <c r="F876" s="35"/>
      <c r="G876" s="35"/>
      <c r="I876" s="35"/>
      <c r="J876" s="35"/>
    </row>
    <row r="877" spans="2:10" x14ac:dyDescent="0.3">
      <c r="B877" s="36"/>
      <c r="F877" s="35"/>
      <c r="G877" s="35"/>
      <c r="I877" s="35"/>
      <c r="J877" s="35"/>
    </row>
    <row r="878" spans="2:10" x14ac:dyDescent="0.3">
      <c r="B878" s="36"/>
      <c r="F878" s="35"/>
      <c r="G878" s="35"/>
      <c r="I878" s="35"/>
      <c r="J878" s="35"/>
    </row>
    <row r="879" spans="2:10" x14ac:dyDescent="0.3">
      <c r="B879" s="36"/>
      <c r="F879" s="35"/>
      <c r="G879" s="35"/>
      <c r="I879" s="35"/>
      <c r="J879" s="35"/>
    </row>
    <row r="880" spans="2:10" x14ac:dyDescent="0.3">
      <c r="B880" s="36"/>
      <c r="F880" s="35"/>
      <c r="G880" s="35"/>
      <c r="I880" s="35"/>
      <c r="J880" s="35"/>
    </row>
    <row r="881" spans="2:10" x14ac:dyDescent="0.3">
      <c r="B881" s="36"/>
      <c r="F881" s="35"/>
      <c r="G881" s="35"/>
      <c r="I881" s="35"/>
      <c r="J881" s="35"/>
    </row>
    <row r="882" spans="2:10" x14ac:dyDescent="0.3">
      <c r="B882" s="36"/>
      <c r="F882" s="35"/>
      <c r="G882" s="35"/>
      <c r="I882" s="35"/>
      <c r="J882" s="35"/>
    </row>
    <row r="883" spans="2:10" x14ac:dyDescent="0.3">
      <c r="B883" s="36"/>
      <c r="F883" s="35"/>
      <c r="G883" s="35"/>
      <c r="I883" s="35"/>
      <c r="J883" s="35"/>
    </row>
    <row r="884" spans="2:10" x14ac:dyDescent="0.3">
      <c r="B884" s="36"/>
      <c r="F884" s="35"/>
      <c r="G884" s="35"/>
      <c r="I884" s="35"/>
      <c r="J884" s="35"/>
    </row>
    <row r="885" spans="2:10" x14ac:dyDescent="0.3">
      <c r="B885" s="36"/>
      <c r="F885" s="35"/>
      <c r="G885" s="35"/>
      <c r="I885" s="35"/>
      <c r="J885" s="35"/>
    </row>
    <row r="886" spans="2:10" x14ac:dyDescent="0.3">
      <c r="B886" s="36"/>
      <c r="F886" s="35"/>
      <c r="G886" s="35"/>
      <c r="I886" s="35"/>
      <c r="J886" s="35"/>
    </row>
    <row r="887" spans="2:10" x14ac:dyDescent="0.3">
      <c r="B887" s="36"/>
      <c r="F887" s="35"/>
      <c r="G887" s="35"/>
      <c r="I887" s="35"/>
      <c r="J887" s="35"/>
    </row>
    <row r="888" spans="2:10" x14ac:dyDescent="0.3">
      <c r="B888" s="36"/>
      <c r="F888" s="35"/>
      <c r="G888" s="35"/>
      <c r="I888" s="35"/>
      <c r="J888" s="35"/>
    </row>
    <row r="889" spans="2:10" x14ac:dyDescent="0.3">
      <c r="B889" s="36"/>
      <c r="F889" s="35"/>
      <c r="G889" s="35"/>
      <c r="I889" s="35"/>
      <c r="J889" s="35"/>
    </row>
    <row r="890" spans="2:10" x14ac:dyDescent="0.3">
      <c r="B890" s="36"/>
      <c r="F890" s="35"/>
      <c r="G890" s="35"/>
      <c r="I890" s="35"/>
      <c r="J890" s="35"/>
    </row>
    <row r="891" spans="2:10" x14ac:dyDescent="0.3">
      <c r="B891" s="36"/>
      <c r="F891" s="35"/>
      <c r="G891" s="35"/>
      <c r="I891" s="35"/>
      <c r="J891" s="35"/>
    </row>
    <row r="892" spans="2:10" x14ac:dyDescent="0.3">
      <c r="B892" s="36"/>
      <c r="F892" s="35"/>
      <c r="G892" s="35"/>
      <c r="I892" s="35"/>
      <c r="J892" s="35"/>
    </row>
    <row r="893" spans="2:10" x14ac:dyDescent="0.3">
      <c r="B893" s="36"/>
      <c r="F893" s="35"/>
      <c r="G893" s="35"/>
      <c r="I893" s="35"/>
      <c r="J893" s="35"/>
    </row>
    <row r="894" spans="2:10" x14ac:dyDescent="0.3">
      <c r="B894" s="36"/>
      <c r="F894" s="35"/>
      <c r="G894" s="35"/>
      <c r="I894" s="35"/>
      <c r="J894" s="35"/>
    </row>
    <row r="895" spans="2:10" x14ac:dyDescent="0.3">
      <c r="B895" s="36"/>
      <c r="F895" s="35"/>
      <c r="G895" s="35"/>
      <c r="I895" s="35"/>
      <c r="J895" s="35"/>
    </row>
    <row r="896" spans="2:10" x14ac:dyDescent="0.3">
      <c r="B896" s="36"/>
      <c r="F896" s="35"/>
      <c r="G896" s="35"/>
      <c r="I896" s="35"/>
      <c r="J896" s="35"/>
    </row>
    <row r="897" spans="2:10" x14ac:dyDescent="0.3">
      <c r="B897" s="36"/>
      <c r="F897" s="35"/>
      <c r="G897" s="35"/>
      <c r="I897" s="35"/>
      <c r="J897" s="35"/>
    </row>
    <row r="898" spans="2:10" x14ac:dyDescent="0.3">
      <c r="B898" s="36"/>
      <c r="F898" s="35"/>
      <c r="G898" s="35"/>
      <c r="I898" s="35"/>
      <c r="J898" s="35"/>
    </row>
    <row r="899" spans="2:10" x14ac:dyDescent="0.3">
      <c r="B899" s="36"/>
      <c r="F899" s="35"/>
      <c r="G899" s="35"/>
      <c r="I899" s="35"/>
      <c r="J899" s="35"/>
    </row>
    <row r="900" spans="2:10" x14ac:dyDescent="0.3">
      <c r="B900" s="36"/>
      <c r="F900" s="35"/>
      <c r="G900" s="35"/>
      <c r="I900" s="35"/>
      <c r="J900" s="35"/>
    </row>
    <row r="901" spans="2:10" x14ac:dyDescent="0.3">
      <c r="B901" s="36"/>
      <c r="F901" s="35"/>
      <c r="G901" s="35"/>
      <c r="I901" s="35"/>
      <c r="J901" s="35"/>
    </row>
    <row r="902" spans="2:10" x14ac:dyDescent="0.3">
      <c r="B902" s="36"/>
      <c r="F902" s="35"/>
      <c r="G902" s="35"/>
      <c r="I902" s="35"/>
      <c r="J902" s="35"/>
    </row>
    <row r="903" spans="2:10" x14ac:dyDescent="0.3">
      <c r="B903" s="36"/>
      <c r="F903" s="35"/>
      <c r="G903" s="35"/>
      <c r="I903" s="35"/>
      <c r="J903" s="35"/>
    </row>
    <row r="904" spans="2:10" x14ac:dyDescent="0.3">
      <c r="B904" s="36"/>
      <c r="F904" s="35"/>
      <c r="G904" s="35"/>
      <c r="I904" s="35"/>
      <c r="J904" s="35"/>
    </row>
    <row r="905" spans="2:10" x14ac:dyDescent="0.3">
      <c r="B905" s="36"/>
      <c r="F905" s="35"/>
      <c r="G905" s="35"/>
      <c r="I905" s="35"/>
      <c r="J905" s="35"/>
    </row>
    <row r="906" spans="2:10" x14ac:dyDescent="0.3">
      <c r="B906" s="36"/>
      <c r="F906" s="35"/>
      <c r="G906" s="35"/>
      <c r="I906" s="35"/>
      <c r="J906" s="35"/>
    </row>
    <row r="907" spans="2:10" x14ac:dyDescent="0.3">
      <c r="B907" s="36"/>
      <c r="F907" s="35"/>
      <c r="G907" s="35"/>
      <c r="I907" s="35"/>
      <c r="J907" s="35"/>
    </row>
    <row r="908" spans="2:10" x14ac:dyDescent="0.3">
      <c r="B908" s="36"/>
      <c r="F908" s="35"/>
      <c r="G908" s="35"/>
      <c r="I908" s="35"/>
      <c r="J908" s="35"/>
    </row>
    <row r="909" spans="2:10" x14ac:dyDescent="0.3">
      <c r="B909" s="36"/>
      <c r="F909" s="35"/>
      <c r="G909" s="35"/>
      <c r="I909" s="35"/>
      <c r="J909" s="35"/>
    </row>
    <row r="910" spans="2:10" x14ac:dyDescent="0.3">
      <c r="B910" s="36"/>
      <c r="F910" s="35"/>
      <c r="G910" s="35"/>
      <c r="I910" s="35"/>
      <c r="J910" s="35"/>
    </row>
    <row r="911" spans="2:10" x14ac:dyDescent="0.3">
      <c r="B911" s="36"/>
      <c r="F911" s="35"/>
      <c r="G911" s="35"/>
      <c r="I911" s="35"/>
      <c r="J911" s="35"/>
    </row>
    <row r="912" spans="2:10" x14ac:dyDescent="0.3">
      <c r="B912" s="36"/>
      <c r="F912" s="35"/>
      <c r="G912" s="35"/>
      <c r="I912" s="35"/>
      <c r="J912" s="35"/>
    </row>
    <row r="913" spans="2:10" x14ac:dyDescent="0.3">
      <c r="B913" s="36"/>
      <c r="F913" s="35"/>
      <c r="G913" s="35"/>
      <c r="I913" s="35"/>
      <c r="J913" s="35"/>
    </row>
    <row r="914" spans="2:10" x14ac:dyDescent="0.3">
      <c r="B914" s="36"/>
      <c r="F914" s="35"/>
      <c r="G914" s="35"/>
      <c r="I914" s="35"/>
      <c r="J914" s="35"/>
    </row>
    <row r="915" spans="2:10" x14ac:dyDescent="0.3">
      <c r="B915" s="36"/>
      <c r="F915" s="35"/>
      <c r="G915" s="35"/>
      <c r="I915" s="35"/>
      <c r="J915" s="35"/>
    </row>
    <row r="916" spans="2:10" x14ac:dyDescent="0.3">
      <c r="B916" s="36"/>
      <c r="F916" s="35"/>
      <c r="G916" s="35"/>
      <c r="I916" s="35"/>
      <c r="J916" s="35"/>
    </row>
    <row r="917" spans="2:10" x14ac:dyDescent="0.3">
      <c r="B917" s="36"/>
      <c r="F917" s="35"/>
      <c r="G917" s="35"/>
      <c r="I917" s="35"/>
      <c r="J917" s="35"/>
    </row>
    <row r="918" spans="2:10" x14ac:dyDescent="0.3">
      <c r="B918" s="36"/>
      <c r="F918" s="35"/>
      <c r="G918" s="35"/>
      <c r="I918" s="35"/>
      <c r="J918" s="35"/>
    </row>
    <row r="919" spans="2:10" x14ac:dyDescent="0.3">
      <c r="B919" s="36"/>
      <c r="F919" s="35"/>
      <c r="G919" s="35"/>
      <c r="I919" s="35"/>
      <c r="J919" s="35"/>
    </row>
    <row r="920" spans="2:10" x14ac:dyDescent="0.3">
      <c r="B920" s="36"/>
      <c r="F920" s="35"/>
      <c r="G920" s="35"/>
      <c r="I920" s="35"/>
      <c r="J920" s="35"/>
    </row>
    <row r="921" spans="2:10" x14ac:dyDescent="0.3">
      <c r="B921" s="36"/>
      <c r="F921" s="35"/>
      <c r="G921" s="35"/>
      <c r="I921" s="35"/>
      <c r="J921" s="35"/>
    </row>
    <row r="922" spans="2:10" x14ac:dyDescent="0.3">
      <c r="B922" s="36"/>
      <c r="F922" s="35"/>
      <c r="G922" s="35"/>
      <c r="I922" s="35"/>
      <c r="J922" s="35"/>
    </row>
    <row r="923" spans="2:10" x14ac:dyDescent="0.3">
      <c r="B923" s="36"/>
      <c r="F923" s="35"/>
      <c r="G923" s="35"/>
      <c r="I923" s="35"/>
      <c r="J923" s="35"/>
    </row>
    <row r="924" spans="2:10" x14ac:dyDescent="0.3">
      <c r="B924" s="36"/>
      <c r="F924" s="35"/>
      <c r="G924" s="35"/>
      <c r="I924" s="35"/>
      <c r="J924" s="35"/>
    </row>
    <row r="925" spans="2:10" x14ac:dyDescent="0.3">
      <c r="B925" s="36"/>
      <c r="F925" s="35"/>
      <c r="G925" s="35"/>
      <c r="I925" s="35"/>
      <c r="J925" s="35"/>
    </row>
    <row r="926" spans="2:10" x14ac:dyDescent="0.3">
      <c r="B926" s="36"/>
      <c r="F926" s="35"/>
      <c r="G926" s="35"/>
      <c r="I926" s="35"/>
      <c r="J926" s="35"/>
    </row>
    <row r="927" spans="2:10" x14ac:dyDescent="0.3">
      <c r="B927" s="36"/>
      <c r="F927" s="35"/>
      <c r="G927" s="35"/>
      <c r="I927" s="35"/>
      <c r="J927" s="35"/>
    </row>
    <row r="928" spans="2:10" x14ac:dyDescent="0.3">
      <c r="B928" s="36"/>
      <c r="F928" s="35"/>
      <c r="G928" s="35"/>
      <c r="I928" s="35"/>
      <c r="J928" s="35"/>
    </row>
    <row r="929" spans="2:10" x14ac:dyDescent="0.3">
      <c r="B929" s="36"/>
      <c r="F929" s="35"/>
      <c r="G929" s="35"/>
      <c r="I929" s="35"/>
      <c r="J929" s="35"/>
    </row>
    <row r="930" spans="2:10" x14ac:dyDescent="0.3">
      <c r="B930" s="36"/>
      <c r="F930" s="35"/>
      <c r="G930" s="35"/>
      <c r="I930" s="35"/>
      <c r="J930" s="35"/>
    </row>
    <row r="931" spans="2:10" x14ac:dyDescent="0.3">
      <c r="B931" s="36"/>
      <c r="F931" s="35"/>
      <c r="G931" s="35"/>
      <c r="I931" s="35"/>
      <c r="J931" s="35"/>
    </row>
    <row r="932" spans="2:10" x14ac:dyDescent="0.3">
      <c r="B932" s="36"/>
      <c r="F932" s="35"/>
      <c r="G932" s="35"/>
      <c r="I932" s="35"/>
      <c r="J932" s="35"/>
    </row>
    <row r="933" spans="2:10" x14ac:dyDescent="0.3">
      <c r="B933" s="36"/>
      <c r="F933" s="35"/>
      <c r="G933" s="35"/>
      <c r="I933" s="35"/>
      <c r="J933" s="35"/>
    </row>
    <row r="934" spans="2:10" x14ac:dyDescent="0.3">
      <c r="B934" s="36"/>
      <c r="F934" s="35"/>
      <c r="G934" s="35"/>
      <c r="I934" s="35"/>
      <c r="J934" s="35"/>
    </row>
    <row r="935" spans="2:10" x14ac:dyDescent="0.3">
      <c r="B935" s="36"/>
      <c r="F935" s="35"/>
      <c r="G935" s="35"/>
      <c r="I935" s="35"/>
      <c r="J935" s="35"/>
    </row>
    <row r="936" spans="2:10" x14ac:dyDescent="0.3">
      <c r="B936" s="36"/>
      <c r="F936" s="35"/>
      <c r="G936" s="35"/>
      <c r="I936" s="35"/>
      <c r="J936" s="35"/>
    </row>
    <row r="937" spans="2:10" x14ac:dyDescent="0.3">
      <c r="B937" s="36"/>
      <c r="F937" s="35"/>
      <c r="G937" s="35"/>
      <c r="I937" s="35"/>
      <c r="J937" s="35"/>
    </row>
    <row r="938" spans="2:10" x14ac:dyDescent="0.3">
      <c r="B938" s="36"/>
      <c r="F938" s="35"/>
      <c r="G938" s="35"/>
      <c r="I938" s="35"/>
      <c r="J938" s="35"/>
    </row>
    <row r="939" spans="2:10" x14ac:dyDescent="0.3">
      <c r="B939" s="36"/>
      <c r="F939" s="35"/>
      <c r="G939" s="35"/>
      <c r="I939" s="35"/>
      <c r="J939" s="35"/>
    </row>
    <row r="940" spans="2:10" x14ac:dyDescent="0.3">
      <c r="B940" s="36"/>
      <c r="F940" s="35"/>
      <c r="G940" s="35"/>
      <c r="I940" s="35"/>
      <c r="J940" s="35"/>
    </row>
    <row r="941" spans="2:10" x14ac:dyDescent="0.3">
      <c r="B941" s="36"/>
      <c r="F941" s="35"/>
      <c r="G941" s="35"/>
      <c r="I941" s="35"/>
      <c r="J941" s="35"/>
    </row>
    <row r="942" spans="2:10" x14ac:dyDescent="0.3">
      <c r="B942" s="36"/>
      <c r="F942" s="35"/>
      <c r="G942" s="35"/>
      <c r="I942" s="35"/>
      <c r="J942" s="35"/>
    </row>
    <row r="943" spans="2:10" x14ac:dyDescent="0.3">
      <c r="B943" s="36"/>
      <c r="F943" s="35"/>
      <c r="G943" s="35"/>
      <c r="I943" s="35"/>
      <c r="J943" s="35"/>
    </row>
    <row r="944" spans="2:10" x14ac:dyDescent="0.3">
      <c r="B944" s="36"/>
      <c r="F944" s="35"/>
      <c r="G944" s="35"/>
      <c r="I944" s="35"/>
      <c r="J944" s="35"/>
    </row>
    <row r="945" spans="2:10" x14ac:dyDescent="0.3">
      <c r="B945" s="36"/>
      <c r="F945" s="35"/>
      <c r="G945" s="35"/>
      <c r="I945" s="35"/>
      <c r="J945" s="35"/>
    </row>
    <row r="946" spans="2:10" x14ac:dyDescent="0.3">
      <c r="B946" s="36"/>
      <c r="F946" s="35"/>
      <c r="G946" s="35"/>
      <c r="I946" s="35"/>
      <c r="J946" s="35"/>
    </row>
    <row r="947" spans="2:10" x14ac:dyDescent="0.3">
      <c r="B947" s="36"/>
      <c r="F947" s="35"/>
      <c r="G947" s="35"/>
      <c r="I947" s="35"/>
      <c r="J947" s="35"/>
    </row>
    <row r="948" spans="2:10" x14ac:dyDescent="0.3">
      <c r="B948" s="36"/>
      <c r="F948" s="35"/>
      <c r="G948" s="35"/>
      <c r="I948" s="35"/>
      <c r="J948" s="35"/>
    </row>
    <row r="949" spans="2:10" x14ac:dyDescent="0.3">
      <c r="B949" s="36"/>
      <c r="F949" s="35"/>
      <c r="G949" s="35"/>
      <c r="I949" s="35"/>
      <c r="J949" s="35"/>
    </row>
    <row r="950" spans="2:10" x14ac:dyDescent="0.3">
      <c r="B950" s="36"/>
      <c r="F950" s="35"/>
      <c r="G950" s="35"/>
      <c r="I950" s="35"/>
      <c r="J950" s="35"/>
    </row>
    <row r="951" spans="2:10" x14ac:dyDescent="0.3">
      <c r="B951" s="36"/>
      <c r="F951" s="35"/>
      <c r="G951" s="35"/>
      <c r="I951" s="35"/>
      <c r="J951" s="35"/>
    </row>
    <row r="952" spans="2:10" x14ac:dyDescent="0.3">
      <c r="B952" s="36"/>
      <c r="F952" s="35"/>
      <c r="G952" s="35"/>
      <c r="I952" s="35"/>
      <c r="J952" s="35"/>
    </row>
    <row r="953" spans="2:10" x14ac:dyDescent="0.3">
      <c r="B953" s="36"/>
      <c r="F953" s="35"/>
      <c r="G953" s="35"/>
      <c r="I953" s="35"/>
      <c r="J953" s="35"/>
    </row>
    <row r="954" spans="2:10" x14ac:dyDescent="0.3">
      <c r="B954" s="36"/>
      <c r="F954" s="35"/>
      <c r="G954" s="35"/>
      <c r="I954" s="35"/>
      <c r="J954" s="35"/>
    </row>
    <row r="955" spans="2:10" x14ac:dyDescent="0.3">
      <c r="B955" s="36"/>
      <c r="F955" s="35"/>
      <c r="G955" s="35"/>
      <c r="I955" s="35"/>
      <c r="J955" s="35"/>
    </row>
    <row r="956" spans="2:10" x14ac:dyDescent="0.3">
      <c r="B956" s="36"/>
      <c r="F956" s="35"/>
      <c r="G956" s="35"/>
      <c r="I956" s="35"/>
      <c r="J956" s="35"/>
    </row>
    <row r="957" spans="2:10" x14ac:dyDescent="0.3">
      <c r="B957" s="36"/>
      <c r="F957" s="35"/>
      <c r="G957" s="35"/>
      <c r="I957" s="35"/>
      <c r="J957" s="35"/>
    </row>
    <row r="958" spans="2:10" x14ac:dyDescent="0.3">
      <c r="B958" s="36"/>
      <c r="F958" s="35"/>
      <c r="G958" s="35"/>
      <c r="I958" s="35"/>
      <c r="J958" s="35"/>
    </row>
    <row r="959" spans="2:10" x14ac:dyDescent="0.3">
      <c r="B959" s="36"/>
      <c r="F959" s="35"/>
      <c r="G959" s="35"/>
      <c r="I959" s="35"/>
      <c r="J959" s="35"/>
    </row>
    <row r="960" spans="2:10" x14ac:dyDescent="0.3">
      <c r="B960" s="36"/>
      <c r="F960" s="35"/>
      <c r="G960" s="35"/>
      <c r="I960" s="35"/>
      <c r="J960" s="35"/>
    </row>
    <row r="961" spans="2:10" x14ac:dyDescent="0.3">
      <c r="B961" s="36"/>
      <c r="F961" s="35"/>
      <c r="G961" s="35"/>
      <c r="I961" s="35"/>
      <c r="J961" s="35"/>
    </row>
    <row r="962" spans="2:10" x14ac:dyDescent="0.3">
      <c r="B962" s="36"/>
      <c r="F962" s="35"/>
      <c r="G962" s="35"/>
      <c r="I962" s="35"/>
      <c r="J962" s="35"/>
    </row>
    <row r="963" spans="2:10" x14ac:dyDescent="0.3">
      <c r="B963" s="36"/>
      <c r="F963" s="35"/>
      <c r="G963" s="35"/>
      <c r="I963" s="35"/>
      <c r="J963" s="35"/>
    </row>
    <row r="964" spans="2:10" x14ac:dyDescent="0.3">
      <c r="B964" s="36"/>
      <c r="F964" s="35"/>
      <c r="G964" s="35"/>
      <c r="I964" s="35"/>
      <c r="J964" s="35"/>
    </row>
    <row r="965" spans="2:10" x14ac:dyDescent="0.3">
      <c r="B965" s="36"/>
      <c r="F965" s="35"/>
      <c r="G965" s="35"/>
      <c r="I965" s="35"/>
      <c r="J965" s="35"/>
    </row>
    <row r="966" spans="2:10" x14ac:dyDescent="0.3">
      <c r="B966" s="36"/>
      <c r="F966" s="35"/>
      <c r="G966" s="35"/>
      <c r="I966" s="35"/>
      <c r="J966" s="35"/>
    </row>
    <row r="967" spans="2:10" x14ac:dyDescent="0.3">
      <c r="B967" s="36"/>
      <c r="F967" s="35"/>
      <c r="G967" s="35"/>
      <c r="I967" s="35"/>
      <c r="J967" s="35"/>
    </row>
    <row r="968" spans="2:10" x14ac:dyDescent="0.3">
      <c r="B968" s="36"/>
      <c r="F968" s="35"/>
      <c r="G968" s="35"/>
      <c r="I968" s="35"/>
      <c r="J968" s="35"/>
    </row>
    <row r="969" spans="2:10" x14ac:dyDescent="0.3">
      <c r="B969" s="36"/>
      <c r="F969" s="35"/>
      <c r="G969" s="35"/>
      <c r="I969" s="35"/>
      <c r="J969" s="35"/>
    </row>
    <row r="970" spans="2:10" x14ac:dyDescent="0.3">
      <c r="B970" s="36"/>
      <c r="F970" s="35"/>
      <c r="G970" s="35"/>
      <c r="I970" s="35"/>
      <c r="J970" s="35"/>
    </row>
    <row r="971" spans="2:10" x14ac:dyDescent="0.3">
      <c r="B971" s="36"/>
      <c r="F971" s="35"/>
      <c r="G971" s="35"/>
      <c r="I971" s="35"/>
      <c r="J971" s="35"/>
    </row>
    <row r="972" spans="2:10" x14ac:dyDescent="0.3">
      <c r="B972" s="36"/>
      <c r="F972" s="35"/>
      <c r="G972" s="35"/>
      <c r="I972" s="35"/>
      <c r="J972" s="35"/>
    </row>
    <row r="973" spans="2:10" x14ac:dyDescent="0.3">
      <c r="B973" s="36"/>
      <c r="F973" s="35"/>
      <c r="G973" s="35"/>
      <c r="I973" s="35"/>
      <c r="J973" s="35"/>
    </row>
    <row r="974" spans="2:10" x14ac:dyDescent="0.3">
      <c r="B974" s="36"/>
      <c r="F974" s="35"/>
      <c r="G974" s="35"/>
      <c r="I974" s="35"/>
      <c r="J974" s="35"/>
    </row>
    <row r="975" spans="2:10" x14ac:dyDescent="0.3">
      <c r="B975" s="36"/>
      <c r="F975" s="35"/>
      <c r="G975" s="35"/>
      <c r="I975" s="35"/>
      <c r="J975" s="35"/>
    </row>
    <row r="976" spans="2:10" x14ac:dyDescent="0.3">
      <c r="B976" s="36"/>
      <c r="F976" s="35"/>
      <c r="G976" s="35"/>
      <c r="I976" s="35"/>
      <c r="J976" s="35"/>
    </row>
    <row r="977" spans="2:10" x14ac:dyDescent="0.3">
      <c r="B977" s="36"/>
      <c r="F977" s="35"/>
      <c r="G977" s="35"/>
      <c r="I977" s="35"/>
      <c r="J977" s="35"/>
    </row>
    <row r="978" spans="2:10" x14ac:dyDescent="0.3">
      <c r="B978" s="36"/>
      <c r="F978" s="35"/>
      <c r="G978" s="35"/>
      <c r="I978" s="35"/>
      <c r="J978" s="35"/>
    </row>
    <row r="979" spans="2:10" x14ac:dyDescent="0.3">
      <c r="B979" s="36"/>
      <c r="F979" s="35"/>
      <c r="G979" s="35"/>
      <c r="I979" s="35"/>
      <c r="J979" s="35"/>
    </row>
    <row r="980" spans="2:10" x14ac:dyDescent="0.3">
      <c r="B980" s="36"/>
      <c r="F980" s="35"/>
      <c r="G980" s="35"/>
      <c r="I980" s="35"/>
      <c r="J980" s="35"/>
    </row>
    <row r="981" spans="2:10" x14ac:dyDescent="0.3">
      <c r="B981" s="36"/>
      <c r="F981" s="35"/>
      <c r="G981" s="35"/>
      <c r="I981" s="35"/>
      <c r="J981" s="35"/>
    </row>
    <row r="982" spans="2:10" x14ac:dyDescent="0.3">
      <c r="B982" s="36"/>
      <c r="F982" s="35"/>
      <c r="G982" s="35"/>
      <c r="I982" s="35"/>
      <c r="J982" s="35"/>
    </row>
    <row r="983" spans="2:10" x14ac:dyDescent="0.3">
      <c r="B983" s="36"/>
      <c r="F983" s="35"/>
      <c r="G983" s="35"/>
      <c r="I983" s="35"/>
      <c r="J983" s="35"/>
    </row>
    <row r="984" spans="2:10" x14ac:dyDescent="0.3">
      <c r="B984" s="36"/>
      <c r="F984" s="35"/>
      <c r="G984" s="35"/>
      <c r="I984" s="35"/>
      <c r="J984" s="35"/>
    </row>
    <row r="985" spans="2:10" x14ac:dyDescent="0.3">
      <c r="B985" s="36"/>
      <c r="F985" s="35"/>
      <c r="G985" s="35"/>
      <c r="I985" s="35"/>
      <c r="J985" s="35"/>
    </row>
    <row r="986" spans="2:10" x14ac:dyDescent="0.3">
      <c r="B986" s="36"/>
      <c r="F986" s="35"/>
      <c r="G986" s="35"/>
      <c r="I986" s="35"/>
      <c r="J986" s="35"/>
    </row>
    <row r="987" spans="2:10" x14ac:dyDescent="0.3">
      <c r="B987" s="36"/>
      <c r="F987" s="35"/>
      <c r="G987" s="35"/>
      <c r="I987" s="35"/>
      <c r="J987" s="35"/>
    </row>
    <row r="988" spans="2:10" x14ac:dyDescent="0.3">
      <c r="B988" s="36"/>
      <c r="F988" s="35"/>
      <c r="G988" s="35"/>
      <c r="I988" s="35"/>
      <c r="J988" s="35"/>
    </row>
    <row r="989" spans="2:10" x14ac:dyDescent="0.3">
      <c r="B989" s="36"/>
      <c r="F989" s="35"/>
      <c r="G989" s="35"/>
      <c r="I989" s="35"/>
      <c r="J989" s="35"/>
    </row>
    <row r="990" spans="2:10" x14ac:dyDescent="0.3">
      <c r="B990" s="36"/>
      <c r="F990" s="35"/>
      <c r="G990" s="35"/>
      <c r="I990" s="35"/>
      <c r="J990" s="35"/>
    </row>
    <row r="991" spans="2:10" x14ac:dyDescent="0.3">
      <c r="B991" s="36"/>
      <c r="F991" s="35"/>
      <c r="G991" s="35"/>
      <c r="I991" s="35"/>
      <c r="J991" s="35"/>
    </row>
    <row r="992" spans="2:10" x14ac:dyDescent="0.3">
      <c r="B992" s="36"/>
      <c r="F992" s="35"/>
      <c r="G992" s="35"/>
      <c r="I992" s="35"/>
      <c r="J992" s="35"/>
    </row>
    <row r="993" spans="2:10" x14ac:dyDescent="0.3">
      <c r="B993" s="36"/>
      <c r="F993" s="35"/>
      <c r="G993" s="35"/>
      <c r="I993" s="35"/>
      <c r="J993" s="35"/>
    </row>
    <row r="994" spans="2:10" x14ac:dyDescent="0.3">
      <c r="B994" s="36"/>
      <c r="F994" s="35"/>
      <c r="G994" s="35"/>
      <c r="I994" s="35"/>
      <c r="J994" s="35"/>
    </row>
    <row r="995" spans="2:10" x14ac:dyDescent="0.3">
      <c r="B995" s="36"/>
      <c r="F995" s="35"/>
      <c r="G995" s="35"/>
      <c r="I995" s="35"/>
      <c r="J995" s="35"/>
    </row>
    <row r="996" spans="2:10" x14ac:dyDescent="0.3">
      <c r="B996" s="36"/>
      <c r="F996" s="35"/>
      <c r="G996" s="35"/>
      <c r="I996" s="35"/>
      <c r="J996" s="35"/>
    </row>
    <row r="997" spans="2:10" x14ac:dyDescent="0.3">
      <c r="B997" s="36"/>
      <c r="F997" s="35"/>
      <c r="G997" s="35"/>
      <c r="I997" s="35"/>
      <c r="J997" s="35"/>
    </row>
    <row r="998" spans="2:10" x14ac:dyDescent="0.3">
      <c r="B998" s="36"/>
      <c r="F998" s="35"/>
      <c r="G998" s="35"/>
      <c r="I998" s="35"/>
      <c r="J998" s="35"/>
    </row>
    <row r="999" spans="2:10" x14ac:dyDescent="0.3">
      <c r="B999" s="36"/>
      <c r="F999" s="35"/>
      <c r="G999" s="35"/>
      <c r="I999" s="35"/>
      <c r="J999" s="35"/>
    </row>
    <row r="1000" spans="2:10" x14ac:dyDescent="0.3">
      <c r="B1000" s="36"/>
      <c r="F1000" s="35"/>
      <c r="G1000" s="35"/>
      <c r="I1000" s="35"/>
      <c r="J1000" s="35"/>
    </row>
  </sheetData>
  <conditionalFormatting sqref="A2:J500">
    <cfRule type="cellIs" dxfId="9" priority="1" stopIfTrue="1" operator="equal">
      <formula>$H2="ANULADO"</formula>
    </cfRule>
    <cfRule type="cellIs" dxfId="8" priority="2" stopIfTrue="1" operator="equal">
      <formula>$H2="AGOTADO"</formula>
    </cfRule>
  </conditionalFormatting>
  <conditionalFormatting sqref="K2:K500">
    <cfRule type="expression" dxfId="7" priority="3" stopIfTrue="1">
      <formula>$H2="ACTIVO"</formula>
    </cfRule>
    <cfRule type="expression" dxfId="6" priority="4" stopIfTrue="1">
      <formula>$H2="AGOTADO"</formula>
    </cfRule>
    <cfRule type="expression" dxfId="5" priority="5" stopIfTrue="1">
      <formula>$H2="ANULADO"</formula>
    </cfRule>
  </conditionalFormatting>
  <dataValidations count="1">
    <dataValidation type="list" allowBlank="1" showInputMessage="1" showErrorMessage="1" sqref="H2:H1000" xr:uid="{64282951-572A-435A-9B2B-524B3E402E33}">
      <formula1>"ACTIVO,AGOTADO,ANULADO"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FCF2F-C27A-4947-8BD5-2390545FD56E}">
  <sheetPr codeName="Hoja7"/>
  <dimension ref="A1:M1000"/>
  <sheetViews>
    <sheetView workbookViewId="0">
      <selection activeCell="A2" sqref="A2"/>
    </sheetView>
  </sheetViews>
  <sheetFormatPr baseColWidth="10" defaultRowHeight="14.4" x14ac:dyDescent="0.3"/>
  <cols>
    <col min="1" max="1" width="10.77734375" customWidth="1"/>
    <col min="2" max="2" width="14.77734375" customWidth="1"/>
    <col min="3" max="3" width="6.77734375" customWidth="1"/>
    <col min="4" max="4" width="10.77734375" customWidth="1"/>
    <col min="5" max="5" width="25.77734375" customWidth="1"/>
    <col min="6" max="6" width="40.77734375" customWidth="1"/>
    <col min="7" max="7" width="15.77734375" customWidth="1"/>
    <col min="8" max="8" width="40.77734375" customWidth="1"/>
    <col min="9" max="9" width="18.77734375" customWidth="1"/>
    <col min="10" max="10" width="50.77734375" customWidth="1"/>
    <col min="11" max="11" width="14.77734375" customWidth="1"/>
    <col min="12" max="13" width="18.77734375" customWidth="1"/>
  </cols>
  <sheetData>
    <row r="1" spans="1:13" x14ac:dyDescent="0.3">
      <c r="A1" s="37" t="s">
        <v>395</v>
      </c>
      <c r="B1" s="37" t="s">
        <v>386</v>
      </c>
      <c r="C1" s="37" t="s">
        <v>396</v>
      </c>
      <c r="D1" s="37" t="s">
        <v>385</v>
      </c>
      <c r="E1" s="37" t="s">
        <v>387</v>
      </c>
      <c r="F1" s="37" t="s">
        <v>388</v>
      </c>
      <c r="G1" s="37" t="s">
        <v>397</v>
      </c>
      <c r="H1" s="37" t="s">
        <v>398</v>
      </c>
      <c r="I1" s="37" t="s">
        <v>390</v>
      </c>
      <c r="J1" s="37" t="s">
        <v>399</v>
      </c>
      <c r="K1" s="37" t="s">
        <v>392</v>
      </c>
      <c r="L1" s="37" t="s">
        <v>400</v>
      </c>
      <c r="M1" s="37" t="s">
        <v>401</v>
      </c>
    </row>
    <row r="2" spans="1:13" x14ac:dyDescent="0.3">
      <c r="A2">
        <v>1</v>
      </c>
      <c r="B2" s="36">
        <v>46067</v>
      </c>
      <c r="C2">
        <f t="shared" ref="C2:C65" si="0">IF(B2="","",MONTH(B2))</f>
        <v>2</v>
      </c>
      <c r="D2">
        <v>1</v>
      </c>
      <c r="E2" t="str">
        <f>IF(D2="","",IFERROR(VLOOKUP(D2,CDP!A:C,3,0),""))</f>
        <v>2.1.2.02.02.006.04</v>
      </c>
      <c r="F2" t="str">
        <f>IF(D2="","",IFERROR(VLOOKUP(D2,CDP!A:D,4,0),""))</f>
        <v xml:space="preserve">Servicio de energia electrica </v>
      </c>
      <c r="G2">
        <v>27472769</v>
      </c>
      <c r="H2" t="str">
        <f>IF(G2="","",IFERROR(VLOOKUP(G2,TERCEROS!A:C,3,0),""))</f>
        <v>MARTHA CECILIA RIOBAMBA ARCINIEGAS</v>
      </c>
      <c r="I2" s="35">
        <v>400000</v>
      </c>
      <c r="J2" t="s">
        <v>452</v>
      </c>
      <c r="K2" t="s">
        <v>453</v>
      </c>
      <c r="L2" s="35">
        <f>IF(A2="","",SUMIF(OBLIGACION!C:C,A2,OBLIGACION!H:H))</f>
        <v>400000</v>
      </c>
      <c r="M2" s="35">
        <f t="shared" ref="M2:M65" si="1">IF(A2="","",I2-L2)</f>
        <v>0</v>
      </c>
    </row>
    <row r="3" spans="1:13" x14ac:dyDescent="0.3">
      <c r="B3" s="36"/>
      <c r="C3" t="str">
        <f t="shared" si="0"/>
        <v/>
      </c>
      <c r="E3" t="str">
        <f>IF(D3="","",IFERROR(VLOOKUP(D3,CDP!A:C,3,0),""))</f>
        <v/>
      </c>
      <c r="F3" t="str">
        <f>IF(D3="","",IFERROR(VLOOKUP(D3,CDP!A:D,4,0),""))</f>
        <v/>
      </c>
      <c r="H3" t="str">
        <f>IF(G3="","",IFERROR(VLOOKUP(G3,TERCEROS!A:C,3,0),""))</f>
        <v/>
      </c>
      <c r="I3" s="35"/>
      <c r="L3" s="35" t="str">
        <f>IF(A3="","",SUMIF(OBLIGACION!C:C,A3,OBLIGACION!H:H))</f>
        <v/>
      </c>
      <c r="M3" s="35" t="str">
        <f t="shared" si="1"/>
        <v/>
      </c>
    </row>
    <row r="4" spans="1:13" x14ac:dyDescent="0.3">
      <c r="B4" s="36"/>
      <c r="C4" t="str">
        <f t="shared" si="0"/>
        <v/>
      </c>
      <c r="E4" t="str">
        <f>IF(D4="","",IFERROR(VLOOKUP(D4,CDP!A:C,3,0),""))</f>
        <v/>
      </c>
      <c r="F4" t="str">
        <f>IF(D4="","",IFERROR(VLOOKUP(D4,CDP!A:D,4,0),""))</f>
        <v/>
      </c>
      <c r="H4" t="str">
        <f>IF(G4="","",IFERROR(VLOOKUP(G4,TERCEROS!A:C,3,0),""))</f>
        <v/>
      </c>
      <c r="I4" s="35"/>
      <c r="L4" s="35" t="str">
        <f>IF(A4="","",SUMIF(OBLIGACION!C:C,A4,OBLIGACION!H:H))</f>
        <v/>
      </c>
      <c r="M4" s="35" t="str">
        <f t="shared" si="1"/>
        <v/>
      </c>
    </row>
    <row r="5" spans="1:13" x14ac:dyDescent="0.3">
      <c r="B5" s="36"/>
      <c r="C5" t="str">
        <f t="shared" si="0"/>
        <v/>
      </c>
      <c r="E5" t="str">
        <f>IF(D5="","",IFERROR(VLOOKUP(D5,CDP!A:C,3,0),""))</f>
        <v/>
      </c>
      <c r="F5" t="str">
        <f>IF(D5="","",IFERROR(VLOOKUP(D5,CDP!A:D,4,0),""))</f>
        <v/>
      </c>
      <c r="H5" t="str">
        <f>IF(G5="","",IFERROR(VLOOKUP(G5,TERCEROS!A:C,3,0),""))</f>
        <v/>
      </c>
      <c r="I5" s="35"/>
      <c r="L5" s="35" t="str">
        <f>IF(A5="","",SUMIF(OBLIGACION!C:C,A5,OBLIGACION!H:H))</f>
        <v/>
      </c>
      <c r="M5" s="35" t="str">
        <f t="shared" si="1"/>
        <v/>
      </c>
    </row>
    <row r="6" spans="1:13" x14ac:dyDescent="0.3">
      <c r="B6" s="36"/>
      <c r="C6" t="str">
        <f t="shared" si="0"/>
        <v/>
      </c>
      <c r="E6" t="str">
        <f>IF(D6="","",IFERROR(VLOOKUP(D6,CDP!A:C,3,0),""))</f>
        <v/>
      </c>
      <c r="F6" t="str">
        <f>IF(D6="","",IFERROR(VLOOKUP(D6,CDP!A:D,4,0),""))</f>
        <v/>
      </c>
      <c r="H6" t="str">
        <f>IF(G6="","",IFERROR(VLOOKUP(G6,TERCEROS!A:C,3,0),""))</f>
        <v/>
      </c>
      <c r="I6" s="35"/>
      <c r="L6" s="35" t="str">
        <f>IF(A6="","",SUMIF(OBLIGACION!C:C,A6,OBLIGACION!H:H))</f>
        <v/>
      </c>
      <c r="M6" s="35" t="str">
        <f t="shared" si="1"/>
        <v/>
      </c>
    </row>
    <row r="7" spans="1:13" x14ac:dyDescent="0.3">
      <c r="B7" s="36"/>
      <c r="C7" t="str">
        <f t="shared" si="0"/>
        <v/>
      </c>
      <c r="E7" t="str">
        <f>IF(D7="","",IFERROR(VLOOKUP(D7,CDP!A:C,3,0),""))</f>
        <v/>
      </c>
      <c r="F7" t="str">
        <f>IF(D7="","",IFERROR(VLOOKUP(D7,CDP!A:D,4,0),""))</f>
        <v/>
      </c>
      <c r="H7" t="str">
        <f>IF(G7="","",IFERROR(VLOOKUP(G7,TERCEROS!A:C,3,0),""))</f>
        <v/>
      </c>
      <c r="I7" s="35"/>
      <c r="L7" s="35" t="str">
        <f>IF(A7="","",SUMIF(OBLIGACION!C:C,A7,OBLIGACION!H:H))</f>
        <v/>
      </c>
      <c r="M7" s="35" t="str">
        <f t="shared" si="1"/>
        <v/>
      </c>
    </row>
    <row r="8" spans="1:13" x14ac:dyDescent="0.3">
      <c r="B8" s="36"/>
      <c r="C8" t="str">
        <f t="shared" si="0"/>
        <v/>
      </c>
      <c r="E8" t="str">
        <f>IF(D8="","",IFERROR(VLOOKUP(D8,CDP!A:C,3,0),""))</f>
        <v/>
      </c>
      <c r="F8" t="str">
        <f>IF(D8="","",IFERROR(VLOOKUP(D8,CDP!A:D,4,0),""))</f>
        <v/>
      </c>
      <c r="H8" t="str">
        <f>IF(G8="","",IFERROR(VLOOKUP(G8,TERCEROS!A:C,3,0),""))</f>
        <v/>
      </c>
      <c r="I8" s="35"/>
      <c r="L8" s="35" t="str">
        <f>IF(A8="","",SUMIF(OBLIGACION!C:C,A8,OBLIGACION!H:H))</f>
        <v/>
      </c>
      <c r="M8" s="35" t="str">
        <f t="shared" si="1"/>
        <v/>
      </c>
    </row>
    <row r="9" spans="1:13" x14ac:dyDescent="0.3">
      <c r="B9" s="36"/>
      <c r="C9" t="str">
        <f t="shared" si="0"/>
        <v/>
      </c>
      <c r="E9" t="str">
        <f>IF(D9="","",IFERROR(VLOOKUP(D9,CDP!A:C,3,0),""))</f>
        <v/>
      </c>
      <c r="F9" t="str">
        <f>IF(D9="","",IFERROR(VLOOKUP(D9,CDP!A:D,4,0),""))</f>
        <v/>
      </c>
      <c r="H9" t="str">
        <f>IF(G9="","",IFERROR(VLOOKUP(G9,TERCEROS!A:C,3,0),""))</f>
        <v/>
      </c>
      <c r="I9" s="35"/>
      <c r="L9" s="35" t="str">
        <f>IF(A9="","",SUMIF(OBLIGACION!C:C,A9,OBLIGACION!H:H))</f>
        <v/>
      </c>
      <c r="M9" s="35" t="str">
        <f t="shared" si="1"/>
        <v/>
      </c>
    </row>
    <row r="10" spans="1:13" x14ac:dyDescent="0.3">
      <c r="B10" s="36"/>
      <c r="C10" t="str">
        <f t="shared" si="0"/>
        <v/>
      </c>
      <c r="E10" t="str">
        <f>IF(D10="","",IFERROR(VLOOKUP(D10,CDP!A:C,3,0),""))</f>
        <v/>
      </c>
      <c r="F10" t="str">
        <f>IF(D10="","",IFERROR(VLOOKUP(D10,CDP!A:D,4,0),""))</f>
        <v/>
      </c>
      <c r="H10" t="str">
        <f>IF(G10="","",IFERROR(VLOOKUP(G10,TERCEROS!A:C,3,0),""))</f>
        <v/>
      </c>
      <c r="I10" s="35"/>
      <c r="L10" s="35" t="str">
        <f>IF(A10="","",SUMIF(OBLIGACION!C:C,A10,OBLIGACION!H:H))</f>
        <v/>
      </c>
      <c r="M10" s="35" t="str">
        <f t="shared" si="1"/>
        <v/>
      </c>
    </row>
    <row r="11" spans="1:13" x14ac:dyDescent="0.3">
      <c r="B11" s="36"/>
      <c r="C11" t="str">
        <f t="shared" si="0"/>
        <v/>
      </c>
      <c r="E11" t="str">
        <f>IF(D11="","",IFERROR(VLOOKUP(D11,CDP!A:C,3,0),""))</f>
        <v/>
      </c>
      <c r="F11" t="str">
        <f>IF(D11="","",IFERROR(VLOOKUP(D11,CDP!A:D,4,0),""))</f>
        <v/>
      </c>
      <c r="H11" t="str">
        <f>IF(G11="","",IFERROR(VLOOKUP(G11,TERCEROS!A:C,3,0),""))</f>
        <v/>
      </c>
      <c r="I11" s="35"/>
      <c r="L11" s="35" t="str">
        <f>IF(A11="","",SUMIF(OBLIGACION!C:C,A11,OBLIGACION!H:H))</f>
        <v/>
      </c>
      <c r="M11" s="35" t="str">
        <f t="shared" si="1"/>
        <v/>
      </c>
    </row>
    <row r="12" spans="1:13" x14ac:dyDescent="0.3">
      <c r="B12" s="36"/>
      <c r="C12" t="str">
        <f t="shared" si="0"/>
        <v/>
      </c>
      <c r="E12" t="str">
        <f>IF(D12="","",IFERROR(VLOOKUP(D12,CDP!A:C,3,0),""))</f>
        <v/>
      </c>
      <c r="F12" t="str">
        <f>IF(D12="","",IFERROR(VLOOKUP(D12,CDP!A:D,4,0),""))</f>
        <v/>
      </c>
      <c r="H12" t="str">
        <f>IF(G12="","",IFERROR(VLOOKUP(G12,TERCEROS!A:C,3,0),""))</f>
        <v/>
      </c>
      <c r="I12" s="35"/>
      <c r="L12" s="35" t="str">
        <f>IF(A12="","",SUMIF(OBLIGACION!C:C,A12,OBLIGACION!H:H))</f>
        <v/>
      </c>
      <c r="M12" s="35" t="str">
        <f t="shared" si="1"/>
        <v/>
      </c>
    </row>
    <row r="13" spans="1:13" x14ac:dyDescent="0.3">
      <c r="B13" s="36"/>
      <c r="C13" t="str">
        <f t="shared" si="0"/>
        <v/>
      </c>
      <c r="E13" t="str">
        <f>IF(D13="","",IFERROR(VLOOKUP(D13,CDP!A:C,3,0),""))</f>
        <v/>
      </c>
      <c r="F13" t="str">
        <f>IF(D13="","",IFERROR(VLOOKUP(D13,CDP!A:D,4,0),""))</f>
        <v/>
      </c>
      <c r="H13" t="str">
        <f>IF(G13="","",IFERROR(VLOOKUP(G13,TERCEROS!A:C,3,0),""))</f>
        <v/>
      </c>
      <c r="I13" s="35"/>
      <c r="L13" s="35" t="str">
        <f>IF(A13="","",SUMIF(OBLIGACION!C:C,A13,OBLIGACION!H:H))</f>
        <v/>
      </c>
      <c r="M13" s="35" t="str">
        <f t="shared" si="1"/>
        <v/>
      </c>
    </row>
    <row r="14" spans="1:13" x14ac:dyDescent="0.3">
      <c r="B14" s="36"/>
      <c r="C14" t="str">
        <f t="shared" si="0"/>
        <v/>
      </c>
      <c r="E14" t="str">
        <f>IF(D14="","",IFERROR(VLOOKUP(D14,CDP!A:C,3,0),""))</f>
        <v/>
      </c>
      <c r="F14" t="str">
        <f>IF(D14="","",IFERROR(VLOOKUP(D14,CDP!A:D,4,0),""))</f>
        <v/>
      </c>
      <c r="H14" t="str">
        <f>IF(G14="","",IFERROR(VLOOKUP(G14,TERCEROS!A:C,3,0),""))</f>
        <v/>
      </c>
      <c r="I14" s="35"/>
      <c r="L14" s="35" t="str">
        <f>IF(A14="","",SUMIF(OBLIGACION!C:C,A14,OBLIGACION!H:H))</f>
        <v/>
      </c>
      <c r="M14" s="35" t="str">
        <f t="shared" si="1"/>
        <v/>
      </c>
    </row>
    <row r="15" spans="1:13" x14ac:dyDescent="0.3">
      <c r="B15" s="36"/>
      <c r="C15" t="str">
        <f t="shared" si="0"/>
        <v/>
      </c>
      <c r="E15" t="str">
        <f>IF(D15="","",IFERROR(VLOOKUP(D15,CDP!A:C,3,0),""))</f>
        <v/>
      </c>
      <c r="F15" t="str">
        <f>IF(D15="","",IFERROR(VLOOKUP(D15,CDP!A:D,4,0),""))</f>
        <v/>
      </c>
      <c r="H15" t="str">
        <f>IF(G15="","",IFERROR(VLOOKUP(G15,TERCEROS!A:C,3,0),""))</f>
        <v/>
      </c>
      <c r="I15" s="35"/>
      <c r="L15" s="35" t="str">
        <f>IF(A15="","",SUMIF(OBLIGACION!C:C,A15,OBLIGACION!H:H))</f>
        <v/>
      </c>
      <c r="M15" s="35" t="str">
        <f t="shared" si="1"/>
        <v/>
      </c>
    </row>
    <row r="16" spans="1:13" x14ac:dyDescent="0.3">
      <c r="B16" s="36"/>
      <c r="C16" t="str">
        <f t="shared" si="0"/>
        <v/>
      </c>
      <c r="E16" t="str">
        <f>IF(D16="","",IFERROR(VLOOKUP(D16,CDP!A:C,3,0),""))</f>
        <v/>
      </c>
      <c r="F16" t="str">
        <f>IF(D16="","",IFERROR(VLOOKUP(D16,CDP!A:D,4,0),""))</f>
        <v/>
      </c>
      <c r="H16" t="str">
        <f>IF(G16="","",IFERROR(VLOOKUP(G16,TERCEROS!A:C,3,0),""))</f>
        <v/>
      </c>
      <c r="I16" s="35"/>
      <c r="L16" s="35" t="str">
        <f>IF(A16="","",SUMIF(OBLIGACION!C:C,A16,OBLIGACION!H:H))</f>
        <v/>
      </c>
      <c r="M16" s="35" t="str">
        <f t="shared" si="1"/>
        <v/>
      </c>
    </row>
    <row r="17" spans="2:13" x14ac:dyDescent="0.3">
      <c r="B17" s="36"/>
      <c r="C17" t="str">
        <f t="shared" si="0"/>
        <v/>
      </c>
      <c r="E17" t="str">
        <f>IF(D17="","",IFERROR(VLOOKUP(D17,CDP!A:C,3,0),""))</f>
        <v/>
      </c>
      <c r="F17" t="str">
        <f>IF(D17="","",IFERROR(VLOOKUP(D17,CDP!A:D,4,0),""))</f>
        <v/>
      </c>
      <c r="H17" t="str">
        <f>IF(G17="","",IFERROR(VLOOKUP(G17,TERCEROS!A:C,3,0),""))</f>
        <v/>
      </c>
      <c r="I17" s="35"/>
      <c r="L17" s="35" t="str">
        <f>IF(A17="","",SUMIF(OBLIGACION!C:C,A17,OBLIGACION!H:H))</f>
        <v/>
      </c>
      <c r="M17" s="35" t="str">
        <f t="shared" si="1"/>
        <v/>
      </c>
    </row>
    <row r="18" spans="2:13" x14ac:dyDescent="0.3">
      <c r="B18" s="36"/>
      <c r="C18" t="str">
        <f t="shared" si="0"/>
        <v/>
      </c>
      <c r="E18" t="str">
        <f>IF(D18="","",IFERROR(VLOOKUP(D18,CDP!A:C,3,0),""))</f>
        <v/>
      </c>
      <c r="F18" t="str">
        <f>IF(D18="","",IFERROR(VLOOKUP(D18,CDP!A:D,4,0),""))</f>
        <v/>
      </c>
      <c r="H18" t="str">
        <f>IF(G18="","",IFERROR(VLOOKUP(G18,TERCEROS!A:C,3,0),""))</f>
        <v/>
      </c>
      <c r="I18" s="35"/>
      <c r="L18" s="35" t="str">
        <f>IF(A18="","",SUMIF(OBLIGACION!C:C,A18,OBLIGACION!H:H))</f>
        <v/>
      </c>
      <c r="M18" s="35" t="str">
        <f t="shared" si="1"/>
        <v/>
      </c>
    </row>
    <row r="19" spans="2:13" x14ac:dyDescent="0.3">
      <c r="B19" s="36"/>
      <c r="C19" t="str">
        <f t="shared" si="0"/>
        <v/>
      </c>
      <c r="E19" t="str">
        <f>IF(D19="","",IFERROR(VLOOKUP(D19,CDP!A:C,3,0),""))</f>
        <v/>
      </c>
      <c r="F19" t="str">
        <f>IF(D19="","",IFERROR(VLOOKUP(D19,CDP!A:D,4,0),""))</f>
        <v/>
      </c>
      <c r="H19" t="str">
        <f>IF(G19="","",IFERROR(VLOOKUP(G19,TERCEROS!A:C,3,0),""))</f>
        <v/>
      </c>
      <c r="I19" s="35"/>
      <c r="L19" s="35" t="str">
        <f>IF(A19="","",SUMIF(OBLIGACION!C:C,A19,OBLIGACION!H:H))</f>
        <v/>
      </c>
      <c r="M19" s="35" t="str">
        <f t="shared" si="1"/>
        <v/>
      </c>
    </row>
    <row r="20" spans="2:13" x14ac:dyDescent="0.3">
      <c r="B20" s="36"/>
      <c r="C20" t="str">
        <f t="shared" si="0"/>
        <v/>
      </c>
      <c r="E20" t="str">
        <f>IF(D20="","",IFERROR(VLOOKUP(D20,CDP!A:C,3,0),""))</f>
        <v/>
      </c>
      <c r="F20" t="str">
        <f>IF(D20="","",IFERROR(VLOOKUP(D20,CDP!A:D,4,0),""))</f>
        <v/>
      </c>
      <c r="H20" t="str">
        <f>IF(G20="","",IFERROR(VLOOKUP(G20,TERCEROS!A:C,3,0),""))</f>
        <v/>
      </c>
      <c r="I20" s="35"/>
      <c r="L20" s="35" t="str">
        <f>IF(A20="","",SUMIF(OBLIGACION!C:C,A20,OBLIGACION!H:H))</f>
        <v/>
      </c>
      <c r="M20" s="35" t="str">
        <f t="shared" si="1"/>
        <v/>
      </c>
    </row>
    <row r="21" spans="2:13" x14ac:dyDescent="0.3">
      <c r="B21" s="36"/>
      <c r="C21" t="str">
        <f t="shared" si="0"/>
        <v/>
      </c>
      <c r="E21" t="str">
        <f>IF(D21="","",IFERROR(VLOOKUP(D21,CDP!A:C,3,0),""))</f>
        <v/>
      </c>
      <c r="F21" t="str">
        <f>IF(D21="","",IFERROR(VLOOKUP(D21,CDP!A:D,4,0),""))</f>
        <v/>
      </c>
      <c r="H21" t="str">
        <f>IF(G21="","",IFERROR(VLOOKUP(G21,TERCEROS!A:C,3,0),""))</f>
        <v/>
      </c>
      <c r="I21" s="35"/>
      <c r="L21" s="35" t="str">
        <f>IF(A21="","",SUMIF(OBLIGACION!C:C,A21,OBLIGACION!H:H))</f>
        <v/>
      </c>
      <c r="M21" s="35" t="str">
        <f t="shared" si="1"/>
        <v/>
      </c>
    </row>
    <row r="22" spans="2:13" x14ac:dyDescent="0.3">
      <c r="B22" s="36"/>
      <c r="C22" t="str">
        <f t="shared" si="0"/>
        <v/>
      </c>
      <c r="E22" t="str">
        <f>IF(D22="","",IFERROR(VLOOKUP(D22,CDP!A:C,3,0),""))</f>
        <v/>
      </c>
      <c r="F22" t="str">
        <f>IF(D22="","",IFERROR(VLOOKUP(D22,CDP!A:D,4,0),""))</f>
        <v/>
      </c>
      <c r="H22" t="str">
        <f>IF(G22="","",IFERROR(VLOOKUP(G22,TERCEROS!A:C,3,0),""))</f>
        <v/>
      </c>
      <c r="I22" s="35"/>
      <c r="L22" s="35" t="str">
        <f>IF(A22="","",SUMIF(OBLIGACION!C:C,A22,OBLIGACION!H:H))</f>
        <v/>
      </c>
      <c r="M22" s="35" t="str">
        <f t="shared" si="1"/>
        <v/>
      </c>
    </row>
    <row r="23" spans="2:13" x14ac:dyDescent="0.3">
      <c r="B23" s="36"/>
      <c r="C23" t="str">
        <f t="shared" si="0"/>
        <v/>
      </c>
      <c r="E23" t="str">
        <f>IF(D23="","",IFERROR(VLOOKUP(D23,CDP!A:C,3,0),""))</f>
        <v/>
      </c>
      <c r="F23" t="str">
        <f>IF(D23="","",IFERROR(VLOOKUP(D23,CDP!A:D,4,0),""))</f>
        <v/>
      </c>
      <c r="H23" t="str">
        <f>IF(G23="","",IFERROR(VLOOKUP(G23,TERCEROS!A:C,3,0),""))</f>
        <v/>
      </c>
      <c r="I23" s="35"/>
      <c r="L23" s="35" t="str">
        <f>IF(A23="","",SUMIF(OBLIGACION!C:C,A23,OBLIGACION!H:H))</f>
        <v/>
      </c>
      <c r="M23" s="35" t="str">
        <f t="shared" si="1"/>
        <v/>
      </c>
    </row>
    <row r="24" spans="2:13" x14ac:dyDescent="0.3">
      <c r="B24" s="36"/>
      <c r="C24" t="str">
        <f t="shared" si="0"/>
        <v/>
      </c>
      <c r="E24" t="str">
        <f>IF(D24="","",IFERROR(VLOOKUP(D24,CDP!A:C,3,0),""))</f>
        <v/>
      </c>
      <c r="F24" t="str">
        <f>IF(D24="","",IFERROR(VLOOKUP(D24,CDP!A:D,4,0),""))</f>
        <v/>
      </c>
      <c r="H24" t="str">
        <f>IF(G24="","",IFERROR(VLOOKUP(G24,TERCEROS!A:C,3,0),""))</f>
        <v/>
      </c>
      <c r="I24" s="35"/>
      <c r="L24" s="35" t="str">
        <f>IF(A24="","",SUMIF(OBLIGACION!C:C,A24,OBLIGACION!H:H))</f>
        <v/>
      </c>
      <c r="M24" s="35" t="str">
        <f t="shared" si="1"/>
        <v/>
      </c>
    </row>
    <row r="25" spans="2:13" x14ac:dyDescent="0.3">
      <c r="B25" s="36"/>
      <c r="C25" t="str">
        <f t="shared" si="0"/>
        <v/>
      </c>
      <c r="E25" t="str">
        <f>IF(D25="","",IFERROR(VLOOKUP(D25,CDP!A:C,3,0),""))</f>
        <v/>
      </c>
      <c r="F25" t="str">
        <f>IF(D25="","",IFERROR(VLOOKUP(D25,CDP!A:D,4,0),""))</f>
        <v/>
      </c>
      <c r="H25" t="str">
        <f>IF(G25="","",IFERROR(VLOOKUP(G25,TERCEROS!A:C,3,0),""))</f>
        <v/>
      </c>
      <c r="I25" s="35"/>
      <c r="L25" s="35" t="str">
        <f>IF(A25="","",SUMIF(OBLIGACION!C:C,A25,OBLIGACION!H:H))</f>
        <v/>
      </c>
      <c r="M25" s="35" t="str">
        <f t="shared" si="1"/>
        <v/>
      </c>
    </row>
    <row r="26" spans="2:13" x14ac:dyDescent="0.3">
      <c r="B26" s="36"/>
      <c r="C26" t="str">
        <f t="shared" si="0"/>
        <v/>
      </c>
      <c r="E26" t="str">
        <f>IF(D26="","",IFERROR(VLOOKUP(D26,CDP!A:C,3,0),""))</f>
        <v/>
      </c>
      <c r="F26" t="str">
        <f>IF(D26="","",IFERROR(VLOOKUP(D26,CDP!A:D,4,0),""))</f>
        <v/>
      </c>
      <c r="H26" t="str">
        <f>IF(G26="","",IFERROR(VLOOKUP(G26,TERCEROS!A:C,3,0),""))</f>
        <v/>
      </c>
      <c r="I26" s="35"/>
      <c r="L26" s="35" t="str">
        <f>IF(A26="","",SUMIF(OBLIGACION!C:C,A26,OBLIGACION!H:H))</f>
        <v/>
      </c>
      <c r="M26" s="35" t="str">
        <f t="shared" si="1"/>
        <v/>
      </c>
    </row>
    <row r="27" spans="2:13" x14ac:dyDescent="0.3">
      <c r="B27" s="36"/>
      <c r="C27" t="str">
        <f t="shared" si="0"/>
        <v/>
      </c>
      <c r="E27" t="str">
        <f>IF(D27="","",IFERROR(VLOOKUP(D27,CDP!A:C,3,0),""))</f>
        <v/>
      </c>
      <c r="F27" t="str">
        <f>IF(D27="","",IFERROR(VLOOKUP(D27,CDP!A:D,4,0),""))</f>
        <v/>
      </c>
      <c r="H27" t="str">
        <f>IF(G27="","",IFERROR(VLOOKUP(G27,TERCEROS!A:C,3,0),""))</f>
        <v/>
      </c>
      <c r="I27" s="35"/>
      <c r="L27" s="35" t="str">
        <f>IF(A27="","",SUMIF(OBLIGACION!C:C,A27,OBLIGACION!H:H))</f>
        <v/>
      </c>
      <c r="M27" s="35" t="str">
        <f t="shared" si="1"/>
        <v/>
      </c>
    </row>
    <row r="28" spans="2:13" x14ac:dyDescent="0.3">
      <c r="B28" s="36"/>
      <c r="C28" t="str">
        <f t="shared" si="0"/>
        <v/>
      </c>
      <c r="E28" t="str">
        <f>IF(D28="","",IFERROR(VLOOKUP(D28,CDP!A:C,3,0),""))</f>
        <v/>
      </c>
      <c r="F28" t="str">
        <f>IF(D28="","",IFERROR(VLOOKUP(D28,CDP!A:D,4,0),""))</f>
        <v/>
      </c>
      <c r="H28" t="str">
        <f>IF(G28="","",IFERROR(VLOOKUP(G28,TERCEROS!A:C,3,0),""))</f>
        <v/>
      </c>
      <c r="I28" s="35"/>
      <c r="L28" s="35" t="str">
        <f>IF(A28="","",SUMIF(OBLIGACION!C:C,A28,OBLIGACION!H:H))</f>
        <v/>
      </c>
      <c r="M28" s="35" t="str">
        <f t="shared" si="1"/>
        <v/>
      </c>
    </row>
    <row r="29" spans="2:13" x14ac:dyDescent="0.3">
      <c r="B29" s="36"/>
      <c r="C29" t="str">
        <f t="shared" si="0"/>
        <v/>
      </c>
      <c r="E29" t="str">
        <f>IF(D29="","",IFERROR(VLOOKUP(D29,CDP!A:C,3,0),""))</f>
        <v/>
      </c>
      <c r="F29" t="str">
        <f>IF(D29="","",IFERROR(VLOOKUP(D29,CDP!A:D,4,0),""))</f>
        <v/>
      </c>
      <c r="H29" t="str">
        <f>IF(G29="","",IFERROR(VLOOKUP(G29,TERCEROS!A:C,3,0),""))</f>
        <v/>
      </c>
      <c r="I29" s="35"/>
      <c r="L29" s="35" t="str">
        <f>IF(A29="","",SUMIF(OBLIGACION!C:C,A29,OBLIGACION!H:H))</f>
        <v/>
      </c>
      <c r="M29" s="35" t="str">
        <f t="shared" si="1"/>
        <v/>
      </c>
    </row>
    <row r="30" spans="2:13" x14ac:dyDescent="0.3">
      <c r="B30" s="36"/>
      <c r="C30" t="str">
        <f t="shared" si="0"/>
        <v/>
      </c>
      <c r="E30" t="str">
        <f>IF(D30="","",IFERROR(VLOOKUP(D30,CDP!A:C,3,0),""))</f>
        <v/>
      </c>
      <c r="F30" t="str">
        <f>IF(D30="","",IFERROR(VLOOKUP(D30,CDP!A:D,4,0),""))</f>
        <v/>
      </c>
      <c r="H30" t="str">
        <f>IF(G30="","",IFERROR(VLOOKUP(G30,TERCEROS!A:C,3,0),""))</f>
        <v/>
      </c>
      <c r="I30" s="35"/>
      <c r="L30" s="35" t="str">
        <f>IF(A30="","",SUMIF(OBLIGACION!C:C,A30,OBLIGACION!H:H))</f>
        <v/>
      </c>
      <c r="M30" s="35" t="str">
        <f t="shared" si="1"/>
        <v/>
      </c>
    </row>
    <row r="31" spans="2:13" x14ac:dyDescent="0.3">
      <c r="B31" s="36"/>
      <c r="C31" t="str">
        <f t="shared" si="0"/>
        <v/>
      </c>
      <c r="E31" t="str">
        <f>IF(D31="","",IFERROR(VLOOKUP(D31,CDP!A:C,3,0),""))</f>
        <v/>
      </c>
      <c r="F31" t="str">
        <f>IF(D31="","",IFERROR(VLOOKUP(D31,CDP!A:D,4,0),""))</f>
        <v/>
      </c>
      <c r="H31" t="str">
        <f>IF(G31="","",IFERROR(VLOOKUP(G31,TERCEROS!A:C,3,0),""))</f>
        <v/>
      </c>
      <c r="I31" s="35"/>
      <c r="L31" s="35" t="str">
        <f>IF(A31="","",SUMIF(OBLIGACION!C:C,A31,OBLIGACION!H:H))</f>
        <v/>
      </c>
      <c r="M31" s="35" t="str">
        <f t="shared" si="1"/>
        <v/>
      </c>
    </row>
    <row r="32" spans="2:13" x14ac:dyDescent="0.3">
      <c r="B32" s="36"/>
      <c r="C32" t="str">
        <f t="shared" si="0"/>
        <v/>
      </c>
      <c r="E32" t="str">
        <f>IF(D32="","",IFERROR(VLOOKUP(D32,CDP!A:C,3,0),""))</f>
        <v/>
      </c>
      <c r="F32" t="str">
        <f>IF(D32="","",IFERROR(VLOOKUP(D32,CDP!A:D,4,0),""))</f>
        <v/>
      </c>
      <c r="H32" t="str">
        <f>IF(G32="","",IFERROR(VLOOKUP(G32,TERCEROS!A:C,3,0),""))</f>
        <v/>
      </c>
      <c r="I32" s="35"/>
      <c r="L32" s="35" t="str">
        <f>IF(A32="","",SUMIF(OBLIGACION!C:C,A32,OBLIGACION!H:H))</f>
        <v/>
      </c>
      <c r="M32" s="35" t="str">
        <f t="shared" si="1"/>
        <v/>
      </c>
    </row>
    <row r="33" spans="2:13" x14ac:dyDescent="0.3">
      <c r="B33" s="36"/>
      <c r="C33" t="str">
        <f t="shared" si="0"/>
        <v/>
      </c>
      <c r="E33" t="str">
        <f>IF(D33="","",IFERROR(VLOOKUP(D33,CDP!A:C,3,0),""))</f>
        <v/>
      </c>
      <c r="F33" t="str">
        <f>IF(D33="","",IFERROR(VLOOKUP(D33,CDP!A:D,4,0),""))</f>
        <v/>
      </c>
      <c r="H33" t="str">
        <f>IF(G33="","",IFERROR(VLOOKUP(G33,TERCEROS!A:C,3,0),""))</f>
        <v/>
      </c>
      <c r="I33" s="35"/>
      <c r="L33" s="35" t="str">
        <f>IF(A33="","",SUMIF(OBLIGACION!C:C,A33,OBLIGACION!H:H))</f>
        <v/>
      </c>
      <c r="M33" s="35" t="str">
        <f t="shared" si="1"/>
        <v/>
      </c>
    </row>
    <row r="34" spans="2:13" x14ac:dyDescent="0.3">
      <c r="B34" s="36"/>
      <c r="C34" t="str">
        <f t="shared" si="0"/>
        <v/>
      </c>
      <c r="E34" t="str">
        <f>IF(D34="","",IFERROR(VLOOKUP(D34,CDP!A:C,3,0),""))</f>
        <v/>
      </c>
      <c r="F34" t="str">
        <f>IF(D34="","",IFERROR(VLOOKUP(D34,CDP!A:D,4,0),""))</f>
        <v/>
      </c>
      <c r="H34" t="str">
        <f>IF(G34="","",IFERROR(VLOOKUP(G34,TERCEROS!A:C,3,0),""))</f>
        <v/>
      </c>
      <c r="I34" s="35"/>
      <c r="L34" s="35" t="str">
        <f>IF(A34="","",SUMIF(OBLIGACION!C:C,A34,OBLIGACION!H:H))</f>
        <v/>
      </c>
      <c r="M34" s="35" t="str">
        <f t="shared" si="1"/>
        <v/>
      </c>
    </row>
    <row r="35" spans="2:13" x14ac:dyDescent="0.3">
      <c r="B35" s="36"/>
      <c r="C35" t="str">
        <f t="shared" si="0"/>
        <v/>
      </c>
      <c r="E35" t="str">
        <f>IF(D35="","",IFERROR(VLOOKUP(D35,CDP!A:C,3,0),""))</f>
        <v/>
      </c>
      <c r="F35" t="str">
        <f>IF(D35="","",IFERROR(VLOOKUP(D35,CDP!A:D,4,0),""))</f>
        <v/>
      </c>
      <c r="H35" t="str">
        <f>IF(G35="","",IFERROR(VLOOKUP(G35,TERCEROS!A:C,3,0),""))</f>
        <v/>
      </c>
      <c r="I35" s="35"/>
      <c r="L35" s="35" t="str">
        <f>IF(A35="","",SUMIF(OBLIGACION!C:C,A35,OBLIGACION!H:H))</f>
        <v/>
      </c>
      <c r="M35" s="35" t="str">
        <f t="shared" si="1"/>
        <v/>
      </c>
    </row>
    <row r="36" spans="2:13" x14ac:dyDescent="0.3">
      <c r="B36" s="36"/>
      <c r="C36" t="str">
        <f t="shared" si="0"/>
        <v/>
      </c>
      <c r="E36" t="str">
        <f>IF(D36="","",IFERROR(VLOOKUP(D36,CDP!A:C,3,0),""))</f>
        <v/>
      </c>
      <c r="F36" t="str">
        <f>IF(D36="","",IFERROR(VLOOKUP(D36,CDP!A:D,4,0),""))</f>
        <v/>
      </c>
      <c r="H36" t="str">
        <f>IF(G36="","",IFERROR(VLOOKUP(G36,TERCEROS!A:C,3,0),""))</f>
        <v/>
      </c>
      <c r="I36" s="35"/>
      <c r="L36" s="35" t="str">
        <f>IF(A36="","",SUMIF(OBLIGACION!C:C,A36,OBLIGACION!H:H))</f>
        <v/>
      </c>
      <c r="M36" s="35" t="str">
        <f t="shared" si="1"/>
        <v/>
      </c>
    </row>
    <row r="37" spans="2:13" x14ac:dyDescent="0.3">
      <c r="B37" s="36"/>
      <c r="C37" t="str">
        <f t="shared" si="0"/>
        <v/>
      </c>
      <c r="E37" t="str">
        <f>IF(D37="","",IFERROR(VLOOKUP(D37,CDP!A:C,3,0),""))</f>
        <v/>
      </c>
      <c r="F37" t="str">
        <f>IF(D37="","",IFERROR(VLOOKUP(D37,CDP!A:D,4,0),""))</f>
        <v/>
      </c>
      <c r="H37" t="str">
        <f>IF(G37="","",IFERROR(VLOOKUP(G37,TERCEROS!A:C,3,0),""))</f>
        <v/>
      </c>
      <c r="I37" s="35"/>
      <c r="L37" s="35" t="str">
        <f>IF(A37="","",SUMIF(OBLIGACION!C:C,A37,OBLIGACION!H:H))</f>
        <v/>
      </c>
      <c r="M37" s="35" t="str">
        <f t="shared" si="1"/>
        <v/>
      </c>
    </row>
    <row r="38" spans="2:13" x14ac:dyDescent="0.3">
      <c r="B38" s="36"/>
      <c r="C38" t="str">
        <f t="shared" si="0"/>
        <v/>
      </c>
      <c r="E38" t="str">
        <f>IF(D38="","",IFERROR(VLOOKUP(D38,CDP!A:C,3,0),""))</f>
        <v/>
      </c>
      <c r="F38" t="str">
        <f>IF(D38="","",IFERROR(VLOOKUP(D38,CDP!A:D,4,0),""))</f>
        <v/>
      </c>
      <c r="H38" t="str">
        <f>IF(G38="","",IFERROR(VLOOKUP(G38,TERCEROS!A:C,3,0),""))</f>
        <v/>
      </c>
      <c r="I38" s="35"/>
      <c r="L38" s="35" t="str">
        <f>IF(A38="","",SUMIF(OBLIGACION!C:C,A38,OBLIGACION!H:H))</f>
        <v/>
      </c>
      <c r="M38" s="35" t="str">
        <f t="shared" si="1"/>
        <v/>
      </c>
    </row>
    <row r="39" spans="2:13" x14ac:dyDescent="0.3">
      <c r="B39" s="36"/>
      <c r="C39" t="str">
        <f t="shared" si="0"/>
        <v/>
      </c>
      <c r="E39" t="str">
        <f>IF(D39="","",IFERROR(VLOOKUP(D39,CDP!A:C,3,0),""))</f>
        <v/>
      </c>
      <c r="F39" t="str">
        <f>IF(D39="","",IFERROR(VLOOKUP(D39,CDP!A:D,4,0),""))</f>
        <v/>
      </c>
      <c r="H39" t="str">
        <f>IF(G39="","",IFERROR(VLOOKUP(G39,TERCEROS!A:C,3,0),""))</f>
        <v/>
      </c>
      <c r="I39" s="35"/>
      <c r="L39" s="35" t="str">
        <f>IF(A39="","",SUMIF(OBLIGACION!C:C,A39,OBLIGACION!H:H))</f>
        <v/>
      </c>
      <c r="M39" s="35" t="str">
        <f t="shared" si="1"/>
        <v/>
      </c>
    </row>
    <row r="40" spans="2:13" x14ac:dyDescent="0.3">
      <c r="B40" s="36"/>
      <c r="C40" t="str">
        <f t="shared" si="0"/>
        <v/>
      </c>
      <c r="E40" t="str">
        <f>IF(D40="","",IFERROR(VLOOKUP(D40,CDP!A:C,3,0),""))</f>
        <v/>
      </c>
      <c r="F40" t="str">
        <f>IF(D40="","",IFERROR(VLOOKUP(D40,CDP!A:D,4,0),""))</f>
        <v/>
      </c>
      <c r="H40" t="str">
        <f>IF(G40="","",IFERROR(VLOOKUP(G40,TERCEROS!A:C,3,0),""))</f>
        <v/>
      </c>
      <c r="I40" s="35"/>
      <c r="L40" s="35" t="str">
        <f>IF(A40="","",SUMIF(OBLIGACION!C:C,A40,OBLIGACION!H:H))</f>
        <v/>
      </c>
      <c r="M40" s="35" t="str">
        <f t="shared" si="1"/>
        <v/>
      </c>
    </row>
    <row r="41" spans="2:13" x14ac:dyDescent="0.3">
      <c r="B41" s="36"/>
      <c r="C41" t="str">
        <f t="shared" si="0"/>
        <v/>
      </c>
      <c r="E41" t="str">
        <f>IF(D41="","",IFERROR(VLOOKUP(D41,CDP!A:C,3,0),""))</f>
        <v/>
      </c>
      <c r="F41" t="str">
        <f>IF(D41="","",IFERROR(VLOOKUP(D41,CDP!A:D,4,0),""))</f>
        <v/>
      </c>
      <c r="H41" t="str">
        <f>IF(G41="","",IFERROR(VLOOKUP(G41,TERCEROS!A:C,3,0),""))</f>
        <v/>
      </c>
      <c r="I41" s="35"/>
      <c r="L41" s="35" t="str">
        <f>IF(A41="","",SUMIF(OBLIGACION!C:C,A41,OBLIGACION!H:H))</f>
        <v/>
      </c>
      <c r="M41" s="35" t="str">
        <f t="shared" si="1"/>
        <v/>
      </c>
    </row>
    <row r="42" spans="2:13" x14ac:dyDescent="0.3">
      <c r="B42" s="36"/>
      <c r="C42" t="str">
        <f t="shared" si="0"/>
        <v/>
      </c>
      <c r="E42" t="str">
        <f>IF(D42="","",IFERROR(VLOOKUP(D42,CDP!A:C,3,0),""))</f>
        <v/>
      </c>
      <c r="F42" t="str">
        <f>IF(D42="","",IFERROR(VLOOKUP(D42,CDP!A:D,4,0),""))</f>
        <v/>
      </c>
      <c r="H42" t="str">
        <f>IF(G42="","",IFERROR(VLOOKUP(G42,TERCEROS!A:C,3,0),""))</f>
        <v/>
      </c>
      <c r="I42" s="35"/>
      <c r="L42" s="35" t="str">
        <f>IF(A42="","",SUMIF(OBLIGACION!C:C,A42,OBLIGACION!H:H))</f>
        <v/>
      </c>
      <c r="M42" s="35" t="str">
        <f t="shared" si="1"/>
        <v/>
      </c>
    </row>
    <row r="43" spans="2:13" x14ac:dyDescent="0.3">
      <c r="B43" s="36"/>
      <c r="C43" t="str">
        <f t="shared" si="0"/>
        <v/>
      </c>
      <c r="E43" t="str">
        <f>IF(D43="","",IFERROR(VLOOKUP(D43,CDP!A:C,3,0),""))</f>
        <v/>
      </c>
      <c r="F43" t="str">
        <f>IF(D43="","",IFERROR(VLOOKUP(D43,CDP!A:D,4,0),""))</f>
        <v/>
      </c>
      <c r="H43" t="str">
        <f>IF(G43="","",IFERROR(VLOOKUP(G43,TERCEROS!A:C,3,0),""))</f>
        <v/>
      </c>
      <c r="I43" s="35"/>
      <c r="L43" s="35" t="str">
        <f>IF(A43="","",SUMIF(OBLIGACION!C:C,A43,OBLIGACION!H:H))</f>
        <v/>
      </c>
      <c r="M43" s="35" t="str">
        <f t="shared" si="1"/>
        <v/>
      </c>
    </row>
    <row r="44" spans="2:13" x14ac:dyDescent="0.3">
      <c r="B44" s="36"/>
      <c r="C44" t="str">
        <f t="shared" si="0"/>
        <v/>
      </c>
      <c r="E44" t="str">
        <f>IF(D44="","",IFERROR(VLOOKUP(D44,CDP!A:C,3,0),""))</f>
        <v/>
      </c>
      <c r="F44" t="str">
        <f>IF(D44="","",IFERROR(VLOOKUP(D44,CDP!A:D,4,0),""))</f>
        <v/>
      </c>
      <c r="H44" t="str">
        <f>IF(G44="","",IFERROR(VLOOKUP(G44,TERCEROS!A:C,3,0),""))</f>
        <v/>
      </c>
      <c r="I44" s="35"/>
      <c r="L44" s="35" t="str">
        <f>IF(A44="","",SUMIF(OBLIGACION!C:C,A44,OBLIGACION!H:H))</f>
        <v/>
      </c>
      <c r="M44" s="35" t="str">
        <f t="shared" si="1"/>
        <v/>
      </c>
    </row>
    <row r="45" spans="2:13" x14ac:dyDescent="0.3">
      <c r="B45" s="36"/>
      <c r="C45" t="str">
        <f t="shared" si="0"/>
        <v/>
      </c>
      <c r="E45" t="str">
        <f>IF(D45="","",IFERROR(VLOOKUP(D45,CDP!A:C,3,0),""))</f>
        <v/>
      </c>
      <c r="F45" t="str">
        <f>IF(D45="","",IFERROR(VLOOKUP(D45,CDP!A:D,4,0),""))</f>
        <v/>
      </c>
      <c r="H45" t="str">
        <f>IF(G45="","",IFERROR(VLOOKUP(G45,TERCEROS!A:C,3,0),""))</f>
        <v/>
      </c>
      <c r="I45" s="35"/>
      <c r="L45" s="35" t="str">
        <f>IF(A45="","",SUMIF(OBLIGACION!C:C,A45,OBLIGACION!H:H))</f>
        <v/>
      </c>
      <c r="M45" s="35" t="str">
        <f t="shared" si="1"/>
        <v/>
      </c>
    </row>
    <row r="46" spans="2:13" x14ac:dyDescent="0.3">
      <c r="B46" s="36"/>
      <c r="C46" t="str">
        <f t="shared" si="0"/>
        <v/>
      </c>
      <c r="E46" t="str">
        <f>IF(D46="","",IFERROR(VLOOKUP(D46,CDP!A:C,3,0),""))</f>
        <v/>
      </c>
      <c r="F46" t="str">
        <f>IF(D46="","",IFERROR(VLOOKUP(D46,CDP!A:D,4,0),""))</f>
        <v/>
      </c>
      <c r="H46" t="str">
        <f>IF(G46="","",IFERROR(VLOOKUP(G46,TERCEROS!A:C,3,0),""))</f>
        <v/>
      </c>
      <c r="I46" s="35"/>
      <c r="L46" s="35" t="str">
        <f>IF(A46="","",SUMIF(OBLIGACION!C:C,A46,OBLIGACION!H:H))</f>
        <v/>
      </c>
      <c r="M46" s="35" t="str">
        <f t="shared" si="1"/>
        <v/>
      </c>
    </row>
    <row r="47" spans="2:13" x14ac:dyDescent="0.3">
      <c r="B47" s="36"/>
      <c r="C47" t="str">
        <f t="shared" si="0"/>
        <v/>
      </c>
      <c r="E47" t="str">
        <f>IF(D47="","",IFERROR(VLOOKUP(D47,CDP!A:C,3,0),""))</f>
        <v/>
      </c>
      <c r="F47" t="str">
        <f>IF(D47="","",IFERROR(VLOOKUP(D47,CDP!A:D,4,0),""))</f>
        <v/>
      </c>
      <c r="H47" t="str">
        <f>IF(G47="","",IFERROR(VLOOKUP(G47,TERCEROS!A:C,3,0),""))</f>
        <v/>
      </c>
      <c r="I47" s="35"/>
      <c r="L47" s="35" t="str">
        <f>IF(A47="","",SUMIF(OBLIGACION!C:C,A47,OBLIGACION!H:H))</f>
        <v/>
      </c>
      <c r="M47" s="35" t="str">
        <f t="shared" si="1"/>
        <v/>
      </c>
    </row>
    <row r="48" spans="2:13" x14ac:dyDescent="0.3">
      <c r="B48" s="36"/>
      <c r="C48" t="str">
        <f t="shared" si="0"/>
        <v/>
      </c>
      <c r="E48" t="str">
        <f>IF(D48="","",IFERROR(VLOOKUP(D48,CDP!A:C,3,0),""))</f>
        <v/>
      </c>
      <c r="F48" t="str">
        <f>IF(D48="","",IFERROR(VLOOKUP(D48,CDP!A:D,4,0),""))</f>
        <v/>
      </c>
      <c r="H48" t="str">
        <f>IF(G48="","",IFERROR(VLOOKUP(G48,TERCEROS!A:C,3,0),""))</f>
        <v/>
      </c>
      <c r="I48" s="35"/>
      <c r="L48" s="35" t="str">
        <f>IF(A48="","",SUMIF(OBLIGACION!C:C,A48,OBLIGACION!H:H))</f>
        <v/>
      </c>
      <c r="M48" s="35" t="str">
        <f t="shared" si="1"/>
        <v/>
      </c>
    </row>
    <row r="49" spans="2:13" x14ac:dyDescent="0.3">
      <c r="B49" s="36"/>
      <c r="C49" t="str">
        <f t="shared" si="0"/>
        <v/>
      </c>
      <c r="E49" t="str">
        <f>IF(D49="","",IFERROR(VLOOKUP(D49,CDP!A:C,3,0),""))</f>
        <v/>
      </c>
      <c r="F49" t="str">
        <f>IF(D49="","",IFERROR(VLOOKUP(D49,CDP!A:D,4,0),""))</f>
        <v/>
      </c>
      <c r="H49" t="str">
        <f>IF(G49="","",IFERROR(VLOOKUP(G49,TERCEROS!A:C,3,0),""))</f>
        <v/>
      </c>
      <c r="I49" s="35"/>
      <c r="L49" s="35" t="str">
        <f>IF(A49="","",SUMIF(OBLIGACION!C:C,A49,OBLIGACION!H:H))</f>
        <v/>
      </c>
      <c r="M49" s="35" t="str">
        <f t="shared" si="1"/>
        <v/>
      </c>
    </row>
    <row r="50" spans="2:13" x14ac:dyDescent="0.3">
      <c r="B50" s="36"/>
      <c r="C50" t="str">
        <f t="shared" si="0"/>
        <v/>
      </c>
      <c r="E50" t="str">
        <f>IF(D50="","",IFERROR(VLOOKUP(D50,CDP!A:C,3,0),""))</f>
        <v/>
      </c>
      <c r="F50" t="str">
        <f>IF(D50="","",IFERROR(VLOOKUP(D50,CDP!A:D,4,0),""))</f>
        <v/>
      </c>
      <c r="H50" t="str">
        <f>IF(G50="","",IFERROR(VLOOKUP(G50,TERCEROS!A:C,3,0),""))</f>
        <v/>
      </c>
      <c r="I50" s="35"/>
      <c r="L50" s="35" t="str">
        <f>IF(A50="","",SUMIF(OBLIGACION!C:C,A50,OBLIGACION!H:H))</f>
        <v/>
      </c>
      <c r="M50" s="35" t="str">
        <f t="shared" si="1"/>
        <v/>
      </c>
    </row>
    <row r="51" spans="2:13" x14ac:dyDescent="0.3">
      <c r="B51" s="36"/>
      <c r="C51" t="str">
        <f t="shared" si="0"/>
        <v/>
      </c>
      <c r="E51" t="str">
        <f>IF(D51="","",IFERROR(VLOOKUP(D51,CDP!A:C,3,0),""))</f>
        <v/>
      </c>
      <c r="F51" t="str">
        <f>IF(D51="","",IFERROR(VLOOKUP(D51,CDP!A:D,4,0),""))</f>
        <v/>
      </c>
      <c r="H51" t="str">
        <f>IF(G51="","",IFERROR(VLOOKUP(G51,TERCEROS!A:C,3,0),""))</f>
        <v/>
      </c>
      <c r="I51" s="35"/>
      <c r="L51" s="35" t="str">
        <f>IF(A51="","",SUMIF(OBLIGACION!C:C,A51,OBLIGACION!H:H))</f>
        <v/>
      </c>
      <c r="M51" s="35" t="str">
        <f t="shared" si="1"/>
        <v/>
      </c>
    </row>
    <row r="52" spans="2:13" x14ac:dyDescent="0.3">
      <c r="B52" s="36"/>
      <c r="C52" t="str">
        <f t="shared" si="0"/>
        <v/>
      </c>
      <c r="E52" t="str">
        <f>IF(D52="","",IFERROR(VLOOKUP(D52,CDP!A:C,3,0),""))</f>
        <v/>
      </c>
      <c r="F52" t="str">
        <f>IF(D52="","",IFERROR(VLOOKUP(D52,CDP!A:D,4,0),""))</f>
        <v/>
      </c>
      <c r="H52" t="str">
        <f>IF(G52="","",IFERROR(VLOOKUP(G52,TERCEROS!A:C,3,0),""))</f>
        <v/>
      </c>
      <c r="I52" s="35"/>
      <c r="L52" s="35" t="str">
        <f>IF(A52="","",SUMIF(OBLIGACION!C:C,A52,OBLIGACION!H:H))</f>
        <v/>
      </c>
      <c r="M52" s="35" t="str">
        <f t="shared" si="1"/>
        <v/>
      </c>
    </row>
    <row r="53" spans="2:13" x14ac:dyDescent="0.3">
      <c r="B53" s="36"/>
      <c r="C53" t="str">
        <f t="shared" si="0"/>
        <v/>
      </c>
      <c r="E53" t="str">
        <f>IF(D53="","",IFERROR(VLOOKUP(D53,CDP!A:C,3,0),""))</f>
        <v/>
      </c>
      <c r="F53" t="str">
        <f>IF(D53="","",IFERROR(VLOOKUP(D53,CDP!A:D,4,0),""))</f>
        <v/>
      </c>
      <c r="H53" t="str">
        <f>IF(G53="","",IFERROR(VLOOKUP(G53,TERCEROS!A:C,3,0),""))</f>
        <v/>
      </c>
      <c r="I53" s="35"/>
      <c r="L53" s="35" t="str">
        <f>IF(A53="","",SUMIF(OBLIGACION!C:C,A53,OBLIGACION!H:H))</f>
        <v/>
      </c>
      <c r="M53" s="35" t="str">
        <f t="shared" si="1"/>
        <v/>
      </c>
    </row>
    <row r="54" spans="2:13" x14ac:dyDescent="0.3">
      <c r="B54" s="36"/>
      <c r="C54" t="str">
        <f t="shared" si="0"/>
        <v/>
      </c>
      <c r="E54" t="str">
        <f>IF(D54="","",IFERROR(VLOOKUP(D54,CDP!A:C,3,0),""))</f>
        <v/>
      </c>
      <c r="F54" t="str">
        <f>IF(D54="","",IFERROR(VLOOKUP(D54,CDP!A:D,4,0),""))</f>
        <v/>
      </c>
      <c r="H54" t="str">
        <f>IF(G54="","",IFERROR(VLOOKUP(G54,TERCEROS!A:C,3,0),""))</f>
        <v/>
      </c>
      <c r="I54" s="35"/>
      <c r="L54" s="35" t="str">
        <f>IF(A54="","",SUMIF(OBLIGACION!C:C,A54,OBLIGACION!H:H))</f>
        <v/>
      </c>
      <c r="M54" s="35" t="str">
        <f t="shared" si="1"/>
        <v/>
      </c>
    </row>
    <row r="55" spans="2:13" x14ac:dyDescent="0.3">
      <c r="B55" s="36"/>
      <c r="C55" t="str">
        <f t="shared" si="0"/>
        <v/>
      </c>
      <c r="E55" t="str">
        <f>IF(D55="","",IFERROR(VLOOKUP(D55,CDP!A:C,3,0),""))</f>
        <v/>
      </c>
      <c r="F55" t="str">
        <f>IF(D55="","",IFERROR(VLOOKUP(D55,CDP!A:D,4,0),""))</f>
        <v/>
      </c>
      <c r="H55" t="str">
        <f>IF(G55="","",IFERROR(VLOOKUP(G55,TERCEROS!A:C,3,0),""))</f>
        <v/>
      </c>
      <c r="I55" s="35"/>
      <c r="L55" s="35" t="str">
        <f>IF(A55="","",SUMIF(OBLIGACION!C:C,A55,OBLIGACION!H:H))</f>
        <v/>
      </c>
      <c r="M55" s="35" t="str">
        <f t="shared" si="1"/>
        <v/>
      </c>
    </row>
    <row r="56" spans="2:13" x14ac:dyDescent="0.3">
      <c r="B56" s="36"/>
      <c r="C56" t="str">
        <f t="shared" si="0"/>
        <v/>
      </c>
      <c r="E56" t="str">
        <f>IF(D56="","",IFERROR(VLOOKUP(D56,CDP!A:C,3,0),""))</f>
        <v/>
      </c>
      <c r="F56" t="str">
        <f>IF(D56="","",IFERROR(VLOOKUP(D56,CDP!A:D,4,0),""))</f>
        <v/>
      </c>
      <c r="H56" t="str">
        <f>IF(G56="","",IFERROR(VLOOKUP(G56,TERCEROS!A:C,3,0),""))</f>
        <v/>
      </c>
      <c r="I56" s="35"/>
      <c r="L56" s="35" t="str">
        <f>IF(A56="","",SUMIF(OBLIGACION!C:C,A56,OBLIGACION!H:H))</f>
        <v/>
      </c>
      <c r="M56" s="35" t="str">
        <f t="shared" si="1"/>
        <v/>
      </c>
    </row>
    <row r="57" spans="2:13" x14ac:dyDescent="0.3">
      <c r="B57" s="36"/>
      <c r="C57" t="str">
        <f t="shared" si="0"/>
        <v/>
      </c>
      <c r="E57" t="str">
        <f>IF(D57="","",IFERROR(VLOOKUP(D57,CDP!A:C,3,0),""))</f>
        <v/>
      </c>
      <c r="F57" t="str">
        <f>IF(D57="","",IFERROR(VLOOKUP(D57,CDP!A:D,4,0),""))</f>
        <v/>
      </c>
      <c r="H57" t="str">
        <f>IF(G57="","",IFERROR(VLOOKUP(G57,TERCEROS!A:C,3,0),""))</f>
        <v/>
      </c>
      <c r="I57" s="35"/>
      <c r="L57" s="35" t="str">
        <f>IF(A57="","",SUMIF(OBLIGACION!C:C,A57,OBLIGACION!H:H))</f>
        <v/>
      </c>
      <c r="M57" s="35" t="str">
        <f t="shared" si="1"/>
        <v/>
      </c>
    </row>
    <row r="58" spans="2:13" x14ac:dyDescent="0.3">
      <c r="B58" s="36"/>
      <c r="C58" t="str">
        <f t="shared" si="0"/>
        <v/>
      </c>
      <c r="E58" t="str">
        <f>IF(D58="","",IFERROR(VLOOKUP(D58,CDP!A:C,3,0),""))</f>
        <v/>
      </c>
      <c r="F58" t="str">
        <f>IF(D58="","",IFERROR(VLOOKUP(D58,CDP!A:D,4,0),""))</f>
        <v/>
      </c>
      <c r="H58" t="str">
        <f>IF(G58="","",IFERROR(VLOOKUP(G58,TERCEROS!A:C,3,0),""))</f>
        <v/>
      </c>
      <c r="I58" s="35"/>
      <c r="L58" s="35" t="str">
        <f>IF(A58="","",SUMIF(OBLIGACION!C:C,A58,OBLIGACION!H:H))</f>
        <v/>
      </c>
      <c r="M58" s="35" t="str">
        <f t="shared" si="1"/>
        <v/>
      </c>
    </row>
    <row r="59" spans="2:13" x14ac:dyDescent="0.3">
      <c r="B59" s="36"/>
      <c r="C59" t="str">
        <f t="shared" si="0"/>
        <v/>
      </c>
      <c r="E59" t="str">
        <f>IF(D59="","",IFERROR(VLOOKUP(D59,CDP!A:C,3,0),""))</f>
        <v/>
      </c>
      <c r="F59" t="str">
        <f>IF(D59="","",IFERROR(VLOOKUP(D59,CDP!A:D,4,0),""))</f>
        <v/>
      </c>
      <c r="H59" t="str">
        <f>IF(G59="","",IFERROR(VLOOKUP(G59,TERCEROS!A:C,3,0),""))</f>
        <v/>
      </c>
      <c r="I59" s="35"/>
      <c r="L59" s="35" t="str">
        <f>IF(A59="","",SUMIF(OBLIGACION!C:C,A59,OBLIGACION!H:H))</f>
        <v/>
      </c>
      <c r="M59" s="35" t="str">
        <f t="shared" si="1"/>
        <v/>
      </c>
    </row>
    <row r="60" spans="2:13" x14ac:dyDescent="0.3">
      <c r="B60" s="36"/>
      <c r="C60" t="str">
        <f t="shared" si="0"/>
        <v/>
      </c>
      <c r="E60" t="str">
        <f>IF(D60="","",IFERROR(VLOOKUP(D60,CDP!A:C,3,0),""))</f>
        <v/>
      </c>
      <c r="F60" t="str">
        <f>IF(D60="","",IFERROR(VLOOKUP(D60,CDP!A:D,4,0),""))</f>
        <v/>
      </c>
      <c r="H60" t="str">
        <f>IF(G60="","",IFERROR(VLOOKUP(G60,TERCEROS!A:C,3,0),""))</f>
        <v/>
      </c>
      <c r="I60" s="35"/>
      <c r="L60" s="35" t="str">
        <f>IF(A60="","",SUMIF(OBLIGACION!C:C,A60,OBLIGACION!H:H))</f>
        <v/>
      </c>
      <c r="M60" s="35" t="str">
        <f t="shared" si="1"/>
        <v/>
      </c>
    </row>
    <row r="61" spans="2:13" x14ac:dyDescent="0.3">
      <c r="B61" s="36"/>
      <c r="C61" t="str">
        <f t="shared" si="0"/>
        <v/>
      </c>
      <c r="E61" t="str">
        <f>IF(D61="","",IFERROR(VLOOKUP(D61,CDP!A:C,3,0),""))</f>
        <v/>
      </c>
      <c r="F61" t="str">
        <f>IF(D61="","",IFERROR(VLOOKUP(D61,CDP!A:D,4,0),""))</f>
        <v/>
      </c>
      <c r="H61" t="str">
        <f>IF(G61="","",IFERROR(VLOOKUP(G61,TERCEROS!A:C,3,0),""))</f>
        <v/>
      </c>
      <c r="I61" s="35"/>
      <c r="L61" s="35" t="str">
        <f>IF(A61="","",SUMIF(OBLIGACION!C:C,A61,OBLIGACION!H:H))</f>
        <v/>
      </c>
      <c r="M61" s="35" t="str">
        <f t="shared" si="1"/>
        <v/>
      </c>
    </row>
    <row r="62" spans="2:13" x14ac:dyDescent="0.3">
      <c r="B62" s="36"/>
      <c r="C62" t="str">
        <f t="shared" si="0"/>
        <v/>
      </c>
      <c r="E62" t="str">
        <f>IF(D62="","",IFERROR(VLOOKUP(D62,CDP!A:C,3,0),""))</f>
        <v/>
      </c>
      <c r="F62" t="str">
        <f>IF(D62="","",IFERROR(VLOOKUP(D62,CDP!A:D,4,0),""))</f>
        <v/>
      </c>
      <c r="H62" t="str">
        <f>IF(G62="","",IFERROR(VLOOKUP(G62,TERCEROS!A:C,3,0),""))</f>
        <v/>
      </c>
      <c r="I62" s="35"/>
      <c r="L62" s="35" t="str">
        <f>IF(A62="","",SUMIF(OBLIGACION!C:C,A62,OBLIGACION!H:H))</f>
        <v/>
      </c>
      <c r="M62" s="35" t="str">
        <f t="shared" si="1"/>
        <v/>
      </c>
    </row>
    <row r="63" spans="2:13" x14ac:dyDescent="0.3">
      <c r="B63" s="36"/>
      <c r="C63" t="str">
        <f t="shared" si="0"/>
        <v/>
      </c>
      <c r="E63" t="str">
        <f>IF(D63="","",IFERROR(VLOOKUP(D63,CDP!A:C,3,0),""))</f>
        <v/>
      </c>
      <c r="F63" t="str">
        <f>IF(D63="","",IFERROR(VLOOKUP(D63,CDP!A:D,4,0),""))</f>
        <v/>
      </c>
      <c r="H63" t="str">
        <f>IF(G63="","",IFERROR(VLOOKUP(G63,TERCEROS!A:C,3,0),""))</f>
        <v/>
      </c>
      <c r="I63" s="35"/>
      <c r="L63" s="35" t="str">
        <f>IF(A63="","",SUMIF(OBLIGACION!C:C,A63,OBLIGACION!H:H))</f>
        <v/>
      </c>
      <c r="M63" s="35" t="str">
        <f t="shared" si="1"/>
        <v/>
      </c>
    </row>
    <row r="64" spans="2:13" x14ac:dyDescent="0.3">
      <c r="B64" s="36"/>
      <c r="C64" t="str">
        <f t="shared" si="0"/>
        <v/>
      </c>
      <c r="E64" t="str">
        <f>IF(D64="","",IFERROR(VLOOKUP(D64,CDP!A:C,3,0),""))</f>
        <v/>
      </c>
      <c r="F64" t="str">
        <f>IF(D64="","",IFERROR(VLOOKUP(D64,CDP!A:D,4,0),""))</f>
        <v/>
      </c>
      <c r="H64" t="str">
        <f>IF(G64="","",IFERROR(VLOOKUP(G64,TERCEROS!A:C,3,0),""))</f>
        <v/>
      </c>
      <c r="I64" s="35"/>
      <c r="L64" s="35" t="str">
        <f>IF(A64="","",SUMIF(OBLIGACION!C:C,A64,OBLIGACION!H:H))</f>
        <v/>
      </c>
      <c r="M64" s="35" t="str">
        <f t="shared" si="1"/>
        <v/>
      </c>
    </row>
    <row r="65" spans="2:13" x14ac:dyDescent="0.3">
      <c r="B65" s="36"/>
      <c r="C65" t="str">
        <f t="shared" si="0"/>
        <v/>
      </c>
      <c r="E65" t="str">
        <f>IF(D65="","",IFERROR(VLOOKUP(D65,CDP!A:C,3,0),""))</f>
        <v/>
      </c>
      <c r="F65" t="str">
        <f>IF(D65="","",IFERROR(VLOOKUP(D65,CDP!A:D,4,0),""))</f>
        <v/>
      </c>
      <c r="H65" t="str">
        <f>IF(G65="","",IFERROR(VLOOKUP(G65,TERCEROS!A:C,3,0),""))</f>
        <v/>
      </c>
      <c r="I65" s="35"/>
      <c r="L65" s="35" t="str">
        <f>IF(A65="","",SUMIF(OBLIGACION!C:C,A65,OBLIGACION!H:H))</f>
        <v/>
      </c>
      <c r="M65" s="35" t="str">
        <f t="shared" si="1"/>
        <v/>
      </c>
    </row>
    <row r="66" spans="2:13" x14ac:dyDescent="0.3">
      <c r="B66" s="36"/>
      <c r="C66" t="str">
        <f t="shared" ref="C66:C129" si="2">IF(B66="","",MONTH(B66))</f>
        <v/>
      </c>
      <c r="E66" t="str">
        <f>IF(D66="","",IFERROR(VLOOKUP(D66,CDP!A:C,3,0),""))</f>
        <v/>
      </c>
      <c r="F66" t="str">
        <f>IF(D66="","",IFERROR(VLOOKUP(D66,CDP!A:D,4,0),""))</f>
        <v/>
      </c>
      <c r="H66" t="str">
        <f>IF(G66="","",IFERROR(VLOOKUP(G66,TERCEROS!A:C,3,0),""))</f>
        <v/>
      </c>
      <c r="I66" s="35"/>
      <c r="L66" s="35" t="str">
        <f>IF(A66="","",SUMIF(OBLIGACION!C:C,A66,OBLIGACION!H:H))</f>
        <v/>
      </c>
      <c r="M66" s="35" t="str">
        <f t="shared" ref="M66:M129" si="3">IF(A66="","",I66-L66)</f>
        <v/>
      </c>
    </row>
    <row r="67" spans="2:13" x14ac:dyDescent="0.3">
      <c r="B67" s="36"/>
      <c r="C67" t="str">
        <f t="shared" si="2"/>
        <v/>
      </c>
      <c r="E67" t="str">
        <f>IF(D67="","",IFERROR(VLOOKUP(D67,CDP!A:C,3,0),""))</f>
        <v/>
      </c>
      <c r="F67" t="str">
        <f>IF(D67="","",IFERROR(VLOOKUP(D67,CDP!A:D,4,0),""))</f>
        <v/>
      </c>
      <c r="H67" t="str">
        <f>IF(G67="","",IFERROR(VLOOKUP(G67,TERCEROS!A:C,3,0),""))</f>
        <v/>
      </c>
      <c r="I67" s="35"/>
      <c r="L67" s="35" t="str">
        <f>IF(A67="","",SUMIF(OBLIGACION!C:C,A67,OBLIGACION!H:H))</f>
        <v/>
      </c>
      <c r="M67" s="35" t="str">
        <f t="shared" si="3"/>
        <v/>
      </c>
    </row>
    <row r="68" spans="2:13" x14ac:dyDescent="0.3">
      <c r="B68" s="36"/>
      <c r="C68" t="str">
        <f t="shared" si="2"/>
        <v/>
      </c>
      <c r="E68" t="str">
        <f>IF(D68="","",IFERROR(VLOOKUP(D68,CDP!A:C,3,0),""))</f>
        <v/>
      </c>
      <c r="F68" t="str">
        <f>IF(D68="","",IFERROR(VLOOKUP(D68,CDP!A:D,4,0),""))</f>
        <v/>
      </c>
      <c r="H68" t="str">
        <f>IF(G68="","",IFERROR(VLOOKUP(G68,TERCEROS!A:C,3,0),""))</f>
        <v/>
      </c>
      <c r="I68" s="35"/>
      <c r="L68" s="35" t="str">
        <f>IF(A68="","",SUMIF(OBLIGACION!C:C,A68,OBLIGACION!H:H))</f>
        <v/>
      </c>
      <c r="M68" s="35" t="str">
        <f t="shared" si="3"/>
        <v/>
      </c>
    </row>
    <row r="69" spans="2:13" x14ac:dyDescent="0.3">
      <c r="B69" s="36"/>
      <c r="C69" t="str">
        <f t="shared" si="2"/>
        <v/>
      </c>
      <c r="E69" t="str">
        <f>IF(D69="","",IFERROR(VLOOKUP(D69,CDP!A:C,3,0),""))</f>
        <v/>
      </c>
      <c r="F69" t="str">
        <f>IF(D69="","",IFERROR(VLOOKUP(D69,CDP!A:D,4,0),""))</f>
        <v/>
      </c>
      <c r="H69" t="str">
        <f>IF(G69="","",IFERROR(VLOOKUP(G69,TERCEROS!A:C,3,0),""))</f>
        <v/>
      </c>
      <c r="I69" s="35"/>
      <c r="L69" s="35" t="str">
        <f>IF(A69="","",SUMIF(OBLIGACION!C:C,A69,OBLIGACION!H:H))</f>
        <v/>
      </c>
      <c r="M69" s="35" t="str">
        <f t="shared" si="3"/>
        <v/>
      </c>
    </row>
    <row r="70" spans="2:13" x14ac:dyDescent="0.3">
      <c r="B70" s="36"/>
      <c r="C70" t="str">
        <f t="shared" si="2"/>
        <v/>
      </c>
      <c r="E70" t="str">
        <f>IF(D70="","",IFERROR(VLOOKUP(D70,CDP!A:C,3,0),""))</f>
        <v/>
      </c>
      <c r="F70" t="str">
        <f>IF(D70="","",IFERROR(VLOOKUP(D70,CDP!A:D,4,0),""))</f>
        <v/>
      </c>
      <c r="H70" t="str">
        <f>IF(G70="","",IFERROR(VLOOKUP(G70,TERCEROS!A:C,3,0),""))</f>
        <v/>
      </c>
      <c r="I70" s="35"/>
      <c r="L70" s="35" t="str">
        <f>IF(A70="","",SUMIF(OBLIGACION!C:C,A70,OBLIGACION!H:H))</f>
        <v/>
      </c>
      <c r="M70" s="35" t="str">
        <f t="shared" si="3"/>
        <v/>
      </c>
    </row>
    <row r="71" spans="2:13" x14ac:dyDescent="0.3">
      <c r="B71" s="36"/>
      <c r="C71" t="str">
        <f t="shared" si="2"/>
        <v/>
      </c>
      <c r="E71" t="str">
        <f>IF(D71="","",IFERROR(VLOOKUP(D71,CDP!A:C,3,0),""))</f>
        <v/>
      </c>
      <c r="F71" t="str">
        <f>IF(D71="","",IFERROR(VLOOKUP(D71,CDP!A:D,4,0),""))</f>
        <v/>
      </c>
      <c r="H71" t="str">
        <f>IF(G71="","",IFERROR(VLOOKUP(G71,TERCEROS!A:C,3,0),""))</f>
        <v/>
      </c>
      <c r="I71" s="35"/>
      <c r="L71" s="35" t="str">
        <f>IF(A71="","",SUMIF(OBLIGACION!C:C,A71,OBLIGACION!H:H))</f>
        <v/>
      </c>
      <c r="M71" s="35" t="str">
        <f t="shared" si="3"/>
        <v/>
      </c>
    </row>
    <row r="72" spans="2:13" x14ac:dyDescent="0.3">
      <c r="B72" s="36"/>
      <c r="C72" t="str">
        <f t="shared" si="2"/>
        <v/>
      </c>
      <c r="E72" t="str">
        <f>IF(D72="","",IFERROR(VLOOKUP(D72,CDP!A:C,3,0),""))</f>
        <v/>
      </c>
      <c r="F72" t="str">
        <f>IF(D72="","",IFERROR(VLOOKUP(D72,CDP!A:D,4,0),""))</f>
        <v/>
      </c>
      <c r="H72" t="str">
        <f>IF(G72="","",IFERROR(VLOOKUP(G72,TERCEROS!A:C,3,0),""))</f>
        <v/>
      </c>
      <c r="I72" s="35"/>
      <c r="L72" s="35" t="str">
        <f>IF(A72="","",SUMIF(OBLIGACION!C:C,A72,OBLIGACION!H:H))</f>
        <v/>
      </c>
      <c r="M72" s="35" t="str">
        <f t="shared" si="3"/>
        <v/>
      </c>
    </row>
    <row r="73" spans="2:13" x14ac:dyDescent="0.3">
      <c r="B73" s="36"/>
      <c r="C73" t="str">
        <f t="shared" si="2"/>
        <v/>
      </c>
      <c r="E73" t="str">
        <f>IF(D73="","",IFERROR(VLOOKUP(D73,CDP!A:C,3,0),""))</f>
        <v/>
      </c>
      <c r="F73" t="str">
        <f>IF(D73="","",IFERROR(VLOOKUP(D73,CDP!A:D,4,0),""))</f>
        <v/>
      </c>
      <c r="H73" t="str">
        <f>IF(G73="","",IFERROR(VLOOKUP(G73,TERCEROS!A:C,3,0),""))</f>
        <v/>
      </c>
      <c r="I73" s="35"/>
      <c r="L73" s="35" t="str">
        <f>IF(A73="","",SUMIF(OBLIGACION!C:C,A73,OBLIGACION!H:H))</f>
        <v/>
      </c>
      <c r="M73" s="35" t="str">
        <f t="shared" si="3"/>
        <v/>
      </c>
    </row>
    <row r="74" spans="2:13" x14ac:dyDescent="0.3">
      <c r="B74" s="36"/>
      <c r="C74" t="str">
        <f t="shared" si="2"/>
        <v/>
      </c>
      <c r="E74" t="str">
        <f>IF(D74="","",IFERROR(VLOOKUP(D74,CDP!A:C,3,0),""))</f>
        <v/>
      </c>
      <c r="F74" t="str">
        <f>IF(D74="","",IFERROR(VLOOKUP(D74,CDP!A:D,4,0),""))</f>
        <v/>
      </c>
      <c r="H74" t="str">
        <f>IF(G74="","",IFERROR(VLOOKUP(G74,TERCEROS!A:C,3,0),""))</f>
        <v/>
      </c>
      <c r="I74" s="35"/>
      <c r="L74" s="35" t="str">
        <f>IF(A74="","",SUMIF(OBLIGACION!C:C,A74,OBLIGACION!H:H))</f>
        <v/>
      </c>
      <c r="M74" s="35" t="str">
        <f t="shared" si="3"/>
        <v/>
      </c>
    </row>
    <row r="75" spans="2:13" x14ac:dyDescent="0.3">
      <c r="B75" s="36"/>
      <c r="C75" t="str">
        <f t="shared" si="2"/>
        <v/>
      </c>
      <c r="E75" t="str">
        <f>IF(D75="","",IFERROR(VLOOKUP(D75,CDP!A:C,3,0),""))</f>
        <v/>
      </c>
      <c r="F75" t="str">
        <f>IF(D75="","",IFERROR(VLOOKUP(D75,CDP!A:D,4,0),""))</f>
        <v/>
      </c>
      <c r="H75" t="str">
        <f>IF(G75="","",IFERROR(VLOOKUP(G75,TERCEROS!A:C,3,0),""))</f>
        <v/>
      </c>
      <c r="I75" s="35"/>
      <c r="L75" s="35" t="str">
        <f>IF(A75="","",SUMIF(OBLIGACION!C:C,A75,OBLIGACION!H:H))</f>
        <v/>
      </c>
      <c r="M75" s="35" t="str">
        <f t="shared" si="3"/>
        <v/>
      </c>
    </row>
    <row r="76" spans="2:13" x14ac:dyDescent="0.3">
      <c r="B76" s="36"/>
      <c r="C76" t="str">
        <f t="shared" si="2"/>
        <v/>
      </c>
      <c r="E76" t="str">
        <f>IF(D76="","",IFERROR(VLOOKUP(D76,CDP!A:C,3,0),""))</f>
        <v/>
      </c>
      <c r="F76" t="str">
        <f>IF(D76="","",IFERROR(VLOOKUP(D76,CDP!A:D,4,0),""))</f>
        <v/>
      </c>
      <c r="H76" t="str">
        <f>IF(G76="","",IFERROR(VLOOKUP(G76,TERCEROS!A:C,3,0),""))</f>
        <v/>
      </c>
      <c r="I76" s="35"/>
      <c r="L76" s="35" t="str">
        <f>IF(A76="","",SUMIF(OBLIGACION!C:C,A76,OBLIGACION!H:H))</f>
        <v/>
      </c>
      <c r="M76" s="35" t="str">
        <f t="shared" si="3"/>
        <v/>
      </c>
    </row>
    <row r="77" spans="2:13" x14ac:dyDescent="0.3">
      <c r="B77" s="36"/>
      <c r="C77" t="str">
        <f t="shared" si="2"/>
        <v/>
      </c>
      <c r="E77" t="str">
        <f>IF(D77="","",IFERROR(VLOOKUP(D77,CDP!A:C,3,0),""))</f>
        <v/>
      </c>
      <c r="F77" t="str">
        <f>IF(D77="","",IFERROR(VLOOKUP(D77,CDP!A:D,4,0),""))</f>
        <v/>
      </c>
      <c r="H77" t="str">
        <f>IF(G77="","",IFERROR(VLOOKUP(G77,TERCEROS!A:C,3,0),""))</f>
        <v/>
      </c>
      <c r="I77" s="35"/>
      <c r="L77" s="35" t="str">
        <f>IF(A77="","",SUMIF(OBLIGACION!C:C,A77,OBLIGACION!H:H))</f>
        <v/>
      </c>
      <c r="M77" s="35" t="str">
        <f t="shared" si="3"/>
        <v/>
      </c>
    </row>
    <row r="78" spans="2:13" x14ac:dyDescent="0.3">
      <c r="B78" s="36"/>
      <c r="C78" t="str">
        <f t="shared" si="2"/>
        <v/>
      </c>
      <c r="E78" t="str">
        <f>IF(D78="","",IFERROR(VLOOKUP(D78,CDP!A:C,3,0),""))</f>
        <v/>
      </c>
      <c r="F78" t="str">
        <f>IF(D78="","",IFERROR(VLOOKUP(D78,CDP!A:D,4,0),""))</f>
        <v/>
      </c>
      <c r="H78" t="str">
        <f>IF(G78="","",IFERROR(VLOOKUP(G78,TERCEROS!A:C,3,0),""))</f>
        <v/>
      </c>
      <c r="I78" s="35"/>
      <c r="L78" s="35" t="str">
        <f>IF(A78="","",SUMIF(OBLIGACION!C:C,A78,OBLIGACION!H:H))</f>
        <v/>
      </c>
      <c r="M78" s="35" t="str">
        <f t="shared" si="3"/>
        <v/>
      </c>
    </row>
    <row r="79" spans="2:13" x14ac:dyDescent="0.3">
      <c r="B79" s="36"/>
      <c r="C79" t="str">
        <f t="shared" si="2"/>
        <v/>
      </c>
      <c r="E79" t="str">
        <f>IF(D79="","",IFERROR(VLOOKUP(D79,CDP!A:C,3,0),""))</f>
        <v/>
      </c>
      <c r="F79" t="str">
        <f>IF(D79="","",IFERROR(VLOOKUP(D79,CDP!A:D,4,0),""))</f>
        <v/>
      </c>
      <c r="H79" t="str">
        <f>IF(G79="","",IFERROR(VLOOKUP(G79,TERCEROS!A:C,3,0),""))</f>
        <v/>
      </c>
      <c r="I79" s="35"/>
      <c r="L79" s="35" t="str">
        <f>IF(A79="","",SUMIF(OBLIGACION!C:C,A79,OBLIGACION!H:H))</f>
        <v/>
      </c>
      <c r="M79" s="35" t="str">
        <f t="shared" si="3"/>
        <v/>
      </c>
    </row>
    <row r="80" spans="2:13" x14ac:dyDescent="0.3">
      <c r="B80" s="36"/>
      <c r="C80" t="str">
        <f t="shared" si="2"/>
        <v/>
      </c>
      <c r="E80" t="str">
        <f>IF(D80="","",IFERROR(VLOOKUP(D80,CDP!A:C,3,0),""))</f>
        <v/>
      </c>
      <c r="F80" t="str">
        <f>IF(D80="","",IFERROR(VLOOKUP(D80,CDP!A:D,4,0),""))</f>
        <v/>
      </c>
      <c r="H80" t="str">
        <f>IF(G80="","",IFERROR(VLOOKUP(G80,TERCEROS!A:C,3,0),""))</f>
        <v/>
      </c>
      <c r="I80" s="35"/>
      <c r="L80" s="35" t="str">
        <f>IF(A80="","",SUMIF(OBLIGACION!C:C,A80,OBLIGACION!H:H))</f>
        <v/>
      </c>
      <c r="M80" s="35" t="str">
        <f t="shared" si="3"/>
        <v/>
      </c>
    </row>
    <row r="81" spans="2:13" x14ac:dyDescent="0.3">
      <c r="B81" s="36"/>
      <c r="C81" t="str">
        <f t="shared" si="2"/>
        <v/>
      </c>
      <c r="E81" t="str">
        <f>IF(D81="","",IFERROR(VLOOKUP(D81,CDP!A:C,3,0),""))</f>
        <v/>
      </c>
      <c r="F81" t="str">
        <f>IF(D81="","",IFERROR(VLOOKUP(D81,CDP!A:D,4,0),""))</f>
        <v/>
      </c>
      <c r="H81" t="str">
        <f>IF(G81="","",IFERROR(VLOOKUP(G81,TERCEROS!A:C,3,0),""))</f>
        <v/>
      </c>
      <c r="I81" s="35"/>
      <c r="L81" s="35" t="str">
        <f>IF(A81="","",SUMIF(OBLIGACION!C:C,A81,OBLIGACION!H:H))</f>
        <v/>
      </c>
      <c r="M81" s="35" t="str">
        <f t="shared" si="3"/>
        <v/>
      </c>
    </row>
    <row r="82" spans="2:13" x14ac:dyDescent="0.3">
      <c r="B82" s="36"/>
      <c r="C82" t="str">
        <f t="shared" si="2"/>
        <v/>
      </c>
      <c r="E82" t="str">
        <f>IF(D82="","",IFERROR(VLOOKUP(D82,CDP!A:C,3,0),""))</f>
        <v/>
      </c>
      <c r="F82" t="str">
        <f>IF(D82="","",IFERROR(VLOOKUP(D82,CDP!A:D,4,0),""))</f>
        <v/>
      </c>
      <c r="H82" t="str">
        <f>IF(G82="","",IFERROR(VLOOKUP(G82,TERCEROS!A:C,3,0),""))</f>
        <v/>
      </c>
      <c r="I82" s="35"/>
      <c r="L82" s="35" t="str">
        <f>IF(A82="","",SUMIF(OBLIGACION!C:C,A82,OBLIGACION!H:H))</f>
        <v/>
      </c>
      <c r="M82" s="35" t="str">
        <f t="shared" si="3"/>
        <v/>
      </c>
    </row>
    <row r="83" spans="2:13" x14ac:dyDescent="0.3">
      <c r="B83" s="36"/>
      <c r="C83" t="str">
        <f t="shared" si="2"/>
        <v/>
      </c>
      <c r="E83" t="str">
        <f>IF(D83="","",IFERROR(VLOOKUP(D83,CDP!A:C,3,0),""))</f>
        <v/>
      </c>
      <c r="F83" t="str">
        <f>IF(D83="","",IFERROR(VLOOKUP(D83,CDP!A:D,4,0),""))</f>
        <v/>
      </c>
      <c r="H83" t="str">
        <f>IF(G83="","",IFERROR(VLOOKUP(G83,TERCEROS!A:C,3,0),""))</f>
        <v/>
      </c>
      <c r="I83" s="35"/>
      <c r="L83" s="35" t="str">
        <f>IF(A83="","",SUMIF(OBLIGACION!C:C,A83,OBLIGACION!H:H))</f>
        <v/>
      </c>
      <c r="M83" s="35" t="str">
        <f t="shared" si="3"/>
        <v/>
      </c>
    </row>
    <row r="84" spans="2:13" x14ac:dyDescent="0.3">
      <c r="B84" s="36"/>
      <c r="C84" t="str">
        <f t="shared" si="2"/>
        <v/>
      </c>
      <c r="E84" t="str">
        <f>IF(D84="","",IFERROR(VLOOKUP(D84,CDP!A:C,3,0),""))</f>
        <v/>
      </c>
      <c r="F84" t="str">
        <f>IF(D84="","",IFERROR(VLOOKUP(D84,CDP!A:D,4,0),""))</f>
        <v/>
      </c>
      <c r="H84" t="str">
        <f>IF(G84="","",IFERROR(VLOOKUP(G84,TERCEROS!A:C,3,0),""))</f>
        <v/>
      </c>
      <c r="I84" s="35"/>
      <c r="L84" s="35" t="str">
        <f>IF(A84="","",SUMIF(OBLIGACION!C:C,A84,OBLIGACION!H:H))</f>
        <v/>
      </c>
      <c r="M84" s="35" t="str">
        <f t="shared" si="3"/>
        <v/>
      </c>
    </row>
    <row r="85" spans="2:13" x14ac:dyDescent="0.3">
      <c r="B85" s="36"/>
      <c r="C85" t="str">
        <f t="shared" si="2"/>
        <v/>
      </c>
      <c r="E85" t="str">
        <f>IF(D85="","",IFERROR(VLOOKUP(D85,CDP!A:C,3,0),""))</f>
        <v/>
      </c>
      <c r="F85" t="str">
        <f>IF(D85="","",IFERROR(VLOOKUP(D85,CDP!A:D,4,0),""))</f>
        <v/>
      </c>
      <c r="H85" t="str">
        <f>IF(G85="","",IFERROR(VLOOKUP(G85,TERCEROS!A:C,3,0),""))</f>
        <v/>
      </c>
      <c r="I85" s="35"/>
      <c r="L85" s="35" t="str">
        <f>IF(A85="","",SUMIF(OBLIGACION!C:C,A85,OBLIGACION!H:H))</f>
        <v/>
      </c>
      <c r="M85" s="35" t="str">
        <f t="shared" si="3"/>
        <v/>
      </c>
    </row>
    <row r="86" spans="2:13" x14ac:dyDescent="0.3">
      <c r="B86" s="36"/>
      <c r="C86" t="str">
        <f t="shared" si="2"/>
        <v/>
      </c>
      <c r="E86" t="str">
        <f>IF(D86="","",IFERROR(VLOOKUP(D86,CDP!A:C,3,0),""))</f>
        <v/>
      </c>
      <c r="F86" t="str">
        <f>IF(D86="","",IFERROR(VLOOKUP(D86,CDP!A:D,4,0),""))</f>
        <v/>
      </c>
      <c r="H86" t="str">
        <f>IF(G86="","",IFERROR(VLOOKUP(G86,TERCEROS!A:C,3,0),""))</f>
        <v/>
      </c>
      <c r="I86" s="35"/>
      <c r="L86" s="35" t="str">
        <f>IF(A86="","",SUMIF(OBLIGACION!C:C,A86,OBLIGACION!H:H))</f>
        <v/>
      </c>
      <c r="M86" s="35" t="str">
        <f t="shared" si="3"/>
        <v/>
      </c>
    </row>
    <row r="87" spans="2:13" x14ac:dyDescent="0.3">
      <c r="B87" s="36"/>
      <c r="C87" t="str">
        <f t="shared" si="2"/>
        <v/>
      </c>
      <c r="E87" t="str">
        <f>IF(D87="","",IFERROR(VLOOKUP(D87,CDP!A:C,3,0),""))</f>
        <v/>
      </c>
      <c r="F87" t="str">
        <f>IF(D87="","",IFERROR(VLOOKUP(D87,CDP!A:D,4,0),""))</f>
        <v/>
      </c>
      <c r="H87" t="str">
        <f>IF(G87="","",IFERROR(VLOOKUP(G87,TERCEROS!A:C,3,0),""))</f>
        <v/>
      </c>
      <c r="I87" s="35"/>
      <c r="L87" s="35" t="str">
        <f>IF(A87="","",SUMIF(OBLIGACION!C:C,A87,OBLIGACION!H:H))</f>
        <v/>
      </c>
      <c r="M87" s="35" t="str">
        <f t="shared" si="3"/>
        <v/>
      </c>
    </row>
    <row r="88" spans="2:13" x14ac:dyDescent="0.3">
      <c r="B88" s="36"/>
      <c r="C88" t="str">
        <f t="shared" si="2"/>
        <v/>
      </c>
      <c r="E88" t="str">
        <f>IF(D88="","",IFERROR(VLOOKUP(D88,CDP!A:C,3,0),""))</f>
        <v/>
      </c>
      <c r="F88" t="str">
        <f>IF(D88="","",IFERROR(VLOOKUP(D88,CDP!A:D,4,0),""))</f>
        <v/>
      </c>
      <c r="H88" t="str">
        <f>IF(G88="","",IFERROR(VLOOKUP(G88,TERCEROS!A:C,3,0),""))</f>
        <v/>
      </c>
      <c r="I88" s="35"/>
      <c r="L88" s="35" t="str">
        <f>IF(A88="","",SUMIF(OBLIGACION!C:C,A88,OBLIGACION!H:H))</f>
        <v/>
      </c>
      <c r="M88" s="35" t="str">
        <f t="shared" si="3"/>
        <v/>
      </c>
    </row>
    <row r="89" spans="2:13" x14ac:dyDescent="0.3">
      <c r="B89" s="36"/>
      <c r="C89" t="str">
        <f t="shared" si="2"/>
        <v/>
      </c>
      <c r="E89" t="str">
        <f>IF(D89="","",IFERROR(VLOOKUP(D89,CDP!A:C,3,0),""))</f>
        <v/>
      </c>
      <c r="F89" t="str">
        <f>IF(D89="","",IFERROR(VLOOKUP(D89,CDP!A:D,4,0),""))</f>
        <v/>
      </c>
      <c r="H89" t="str">
        <f>IF(G89="","",IFERROR(VLOOKUP(G89,TERCEROS!A:C,3,0),""))</f>
        <v/>
      </c>
      <c r="I89" s="35"/>
      <c r="L89" s="35" t="str">
        <f>IF(A89="","",SUMIF(OBLIGACION!C:C,A89,OBLIGACION!H:H))</f>
        <v/>
      </c>
      <c r="M89" s="35" t="str">
        <f t="shared" si="3"/>
        <v/>
      </c>
    </row>
    <row r="90" spans="2:13" x14ac:dyDescent="0.3">
      <c r="B90" s="36"/>
      <c r="C90" t="str">
        <f t="shared" si="2"/>
        <v/>
      </c>
      <c r="E90" t="str">
        <f>IF(D90="","",IFERROR(VLOOKUP(D90,CDP!A:C,3,0),""))</f>
        <v/>
      </c>
      <c r="F90" t="str">
        <f>IF(D90="","",IFERROR(VLOOKUP(D90,CDP!A:D,4,0),""))</f>
        <v/>
      </c>
      <c r="H90" t="str">
        <f>IF(G90="","",IFERROR(VLOOKUP(G90,TERCEROS!A:C,3,0),""))</f>
        <v/>
      </c>
      <c r="I90" s="35"/>
      <c r="L90" s="35" t="str">
        <f>IF(A90="","",SUMIF(OBLIGACION!C:C,A90,OBLIGACION!H:H))</f>
        <v/>
      </c>
      <c r="M90" s="35" t="str">
        <f t="shared" si="3"/>
        <v/>
      </c>
    </row>
    <row r="91" spans="2:13" x14ac:dyDescent="0.3">
      <c r="B91" s="36"/>
      <c r="C91" t="str">
        <f t="shared" si="2"/>
        <v/>
      </c>
      <c r="E91" t="str">
        <f>IF(D91="","",IFERROR(VLOOKUP(D91,CDP!A:C,3,0),""))</f>
        <v/>
      </c>
      <c r="F91" t="str">
        <f>IF(D91="","",IFERROR(VLOOKUP(D91,CDP!A:D,4,0),""))</f>
        <v/>
      </c>
      <c r="H91" t="str">
        <f>IF(G91="","",IFERROR(VLOOKUP(G91,TERCEROS!A:C,3,0),""))</f>
        <v/>
      </c>
      <c r="I91" s="35"/>
      <c r="L91" s="35" t="str">
        <f>IF(A91="","",SUMIF(OBLIGACION!C:C,A91,OBLIGACION!H:H))</f>
        <v/>
      </c>
      <c r="M91" s="35" t="str">
        <f t="shared" si="3"/>
        <v/>
      </c>
    </row>
    <row r="92" spans="2:13" x14ac:dyDescent="0.3">
      <c r="B92" s="36"/>
      <c r="C92" t="str">
        <f t="shared" si="2"/>
        <v/>
      </c>
      <c r="E92" t="str">
        <f>IF(D92="","",IFERROR(VLOOKUP(D92,CDP!A:C,3,0),""))</f>
        <v/>
      </c>
      <c r="F92" t="str">
        <f>IF(D92="","",IFERROR(VLOOKUP(D92,CDP!A:D,4,0),""))</f>
        <v/>
      </c>
      <c r="H92" t="str">
        <f>IF(G92="","",IFERROR(VLOOKUP(G92,TERCEROS!A:C,3,0),""))</f>
        <v/>
      </c>
      <c r="I92" s="35"/>
      <c r="L92" s="35" t="str">
        <f>IF(A92="","",SUMIF(OBLIGACION!C:C,A92,OBLIGACION!H:H))</f>
        <v/>
      </c>
      <c r="M92" s="35" t="str">
        <f t="shared" si="3"/>
        <v/>
      </c>
    </row>
    <row r="93" spans="2:13" x14ac:dyDescent="0.3">
      <c r="B93" s="36"/>
      <c r="C93" t="str">
        <f t="shared" si="2"/>
        <v/>
      </c>
      <c r="E93" t="str">
        <f>IF(D93="","",IFERROR(VLOOKUP(D93,CDP!A:C,3,0),""))</f>
        <v/>
      </c>
      <c r="F93" t="str">
        <f>IF(D93="","",IFERROR(VLOOKUP(D93,CDP!A:D,4,0),""))</f>
        <v/>
      </c>
      <c r="H93" t="str">
        <f>IF(G93="","",IFERROR(VLOOKUP(G93,TERCEROS!A:C,3,0),""))</f>
        <v/>
      </c>
      <c r="I93" s="35"/>
      <c r="L93" s="35" t="str">
        <f>IF(A93="","",SUMIF(OBLIGACION!C:C,A93,OBLIGACION!H:H))</f>
        <v/>
      </c>
      <c r="M93" s="35" t="str">
        <f t="shared" si="3"/>
        <v/>
      </c>
    </row>
    <row r="94" spans="2:13" x14ac:dyDescent="0.3">
      <c r="B94" s="36"/>
      <c r="C94" t="str">
        <f t="shared" si="2"/>
        <v/>
      </c>
      <c r="E94" t="str">
        <f>IF(D94="","",IFERROR(VLOOKUP(D94,CDP!A:C,3,0),""))</f>
        <v/>
      </c>
      <c r="F94" t="str">
        <f>IF(D94="","",IFERROR(VLOOKUP(D94,CDP!A:D,4,0),""))</f>
        <v/>
      </c>
      <c r="H94" t="str">
        <f>IF(G94="","",IFERROR(VLOOKUP(G94,TERCEROS!A:C,3,0),""))</f>
        <v/>
      </c>
      <c r="I94" s="35"/>
      <c r="L94" s="35" t="str">
        <f>IF(A94="","",SUMIF(OBLIGACION!C:C,A94,OBLIGACION!H:H))</f>
        <v/>
      </c>
      <c r="M94" s="35" t="str">
        <f t="shared" si="3"/>
        <v/>
      </c>
    </row>
    <row r="95" spans="2:13" x14ac:dyDescent="0.3">
      <c r="B95" s="36"/>
      <c r="C95" t="str">
        <f t="shared" si="2"/>
        <v/>
      </c>
      <c r="E95" t="str">
        <f>IF(D95="","",IFERROR(VLOOKUP(D95,CDP!A:C,3,0),""))</f>
        <v/>
      </c>
      <c r="F95" t="str">
        <f>IF(D95="","",IFERROR(VLOOKUP(D95,CDP!A:D,4,0),""))</f>
        <v/>
      </c>
      <c r="H95" t="str">
        <f>IF(G95="","",IFERROR(VLOOKUP(G95,TERCEROS!A:C,3,0),""))</f>
        <v/>
      </c>
      <c r="I95" s="35"/>
      <c r="L95" s="35" t="str">
        <f>IF(A95="","",SUMIF(OBLIGACION!C:C,A95,OBLIGACION!H:H))</f>
        <v/>
      </c>
      <c r="M95" s="35" t="str">
        <f t="shared" si="3"/>
        <v/>
      </c>
    </row>
    <row r="96" spans="2:13" x14ac:dyDescent="0.3">
      <c r="B96" s="36"/>
      <c r="C96" t="str">
        <f t="shared" si="2"/>
        <v/>
      </c>
      <c r="E96" t="str">
        <f>IF(D96="","",IFERROR(VLOOKUP(D96,CDP!A:C,3,0),""))</f>
        <v/>
      </c>
      <c r="F96" t="str">
        <f>IF(D96="","",IFERROR(VLOOKUP(D96,CDP!A:D,4,0),""))</f>
        <v/>
      </c>
      <c r="H96" t="str">
        <f>IF(G96="","",IFERROR(VLOOKUP(G96,TERCEROS!A:C,3,0),""))</f>
        <v/>
      </c>
      <c r="I96" s="35"/>
      <c r="L96" s="35" t="str">
        <f>IF(A96="","",SUMIF(OBLIGACION!C:C,A96,OBLIGACION!H:H))</f>
        <v/>
      </c>
      <c r="M96" s="35" t="str">
        <f t="shared" si="3"/>
        <v/>
      </c>
    </row>
    <row r="97" spans="2:13" x14ac:dyDescent="0.3">
      <c r="B97" s="36"/>
      <c r="C97" t="str">
        <f t="shared" si="2"/>
        <v/>
      </c>
      <c r="E97" t="str">
        <f>IF(D97="","",IFERROR(VLOOKUP(D97,CDP!A:C,3,0),""))</f>
        <v/>
      </c>
      <c r="F97" t="str">
        <f>IF(D97="","",IFERROR(VLOOKUP(D97,CDP!A:D,4,0),""))</f>
        <v/>
      </c>
      <c r="H97" t="str">
        <f>IF(G97="","",IFERROR(VLOOKUP(G97,TERCEROS!A:C,3,0),""))</f>
        <v/>
      </c>
      <c r="I97" s="35"/>
      <c r="L97" s="35" t="str">
        <f>IF(A97="","",SUMIF(OBLIGACION!C:C,A97,OBLIGACION!H:H))</f>
        <v/>
      </c>
      <c r="M97" s="35" t="str">
        <f t="shared" si="3"/>
        <v/>
      </c>
    </row>
    <row r="98" spans="2:13" x14ac:dyDescent="0.3">
      <c r="B98" s="36"/>
      <c r="C98" t="str">
        <f t="shared" si="2"/>
        <v/>
      </c>
      <c r="E98" t="str">
        <f>IF(D98="","",IFERROR(VLOOKUP(D98,CDP!A:C,3,0),""))</f>
        <v/>
      </c>
      <c r="F98" t="str">
        <f>IF(D98="","",IFERROR(VLOOKUP(D98,CDP!A:D,4,0),""))</f>
        <v/>
      </c>
      <c r="H98" t="str">
        <f>IF(G98="","",IFERROR(VLOOKUP(G98,TERCEROS!A:C,3,0),""))</f>
        <v/>
      </c>
      <c r="I98" s="35"/>
      <c r="L98" s="35" t="str">
        <f>IF(A98="","",SUMIF(OBLIGACION!C:C,A98,OBLIGACION!H:H))</f>
        <v/>
      </c>
      <c r="M98" s="35" t="str">
        <f t="shared" si="3"/>
        <v/>
      </c>
    </row>
    <row r="99" spans="2:13" x14ac:dyDescent="0.3">
      <c r="B99" s="36"/>
      <c r="C99" t="str">
        <f t="shared" si="2"/>
        <v/>
      </c>
      <c r="E99" t="str">
        <f>IF(D99="","",IFERROR(VLOOKUP(D99,CDP!A:C,3,0),""))</f>
        <v/>
      </c>
      <c r="F99" t="str">
        <f>IF(D99="","",IFERROR(VLOOKUP(D99,CDP!A:D,4,0),""))</f>
        <v/>
      </c>
      <c r="H99" t="str">
        <f>IF(G99="","",IFERROR(VLOOKUP(G99,TERCEROS!A:C,3,0),""))</f>
        <v/>
      </c>
      <c r="I99" s="35"/>
      <c r="L99" s="35" t="str">
        <f>IF(A99="","",SUMIF(OBLIGACION!C:C,A99,OBLIGACION!H:H))</f>
        <v/>
      </c>
      <c r="M99" s="35" t="str">
        <f t="shared" si="3"/>
        <v/>
      </c>
    </row>
    <row r="100" spans="2:13" x14ac:dyDescent="0.3">
      <c r="B100" s="36"/>
      <c r="C100" t="str">
        <f t="shared" si="2"/>
        <v/>
      </c>
      <c r="E100" t="str">
        <f>IF(D100="","",IFERROR(VLOOKUP(D100,CDP!A:C,3,0),""))</f>
        <v/>
      </c>
      <c r="F100" t="str">
        <f>IF(D100="","",IFERROR(VLOOKUP(D100,CDP!A:D,4,0),""))</f>
        <v/>
      </c>
      <c r="H100" t="str">
        <f>IF(G100="","",IFERROR(VLOOKUP(G100,TERCEROS!A:C,3,0),""))</f>
        <v/>
      </c>
      <c r="I100" s="35"/>
      <c r="L100" s="35" t="str">
        <f>IF(A100="","",SUMIF(OBLIGACION!C:C,A100,OBLIGACION!H:H))</f>
        <v/>
      </c>
      <c r="M100" s="35" t="str">
        <f t="shared" si="3"/>
        <v/>
      </c>
    </row>
    <row r="101" spans="2:13" x14ac:dyDescent="0.3">
      <c r="B101" s="36"/>
      <c r="C101" t="str">
        <f t="shared" si="2"/>
        <v/>
      </c>
      <c r="E101" t="str">
        <f>IF(D101="","",IFERROR(VLOOKUP(D101,CDP!A:C,3,0),""))</f>
        <v/>
      </c>
      <c r="F101" t="str">
        <f>IF(D101="","",IFERROR(VLOOKUP(D101,CDP!A:D,4,0),""))</f>
        <v/>
      </c>
      <c r="H101" t="str">
        <f>IF(G101="","",IFERROR(VLOOKUP(G101,TERCEROS!A:C,3,0),""))</f>
        <v/>
      </c>
      <c r="I101" s="35"/>
      <c r="L101" s="35" t="str">
        <f>IF(A101="","",SUMIF(OBLIGACION!C:C,A101,OBLIGACION!H:H))</f>
        <v/>
      </c>
      <c r="M101" s="35" t="str">
        <f t="shared" si="3"/>
        <v/>
      </c>
    </row>
    <row r="102" spans="2:13" x14ac:dyDescent="0.3">
      <c r="B102" s="36"/>
      <c r="C102" t="str">
        <f t="shared" si="2"/>
        <v/>
      </c>
      <c r="E102" t="str">
        <f>IF(D102="","",IFERROR(VLOOKUP(D102,CDP!A:C,3,0),""))</f>
        <v/>
      </c>
      <c r="F102" t="str">
        <f>IF(D102="","",IFERROR(VLOOKUP(D102,CDP!A:D,4,0),""))</f>
        <v/>
      </c>
      <c r="H102" t="str">
        <f>IF(G102="","",IFERROR(VLOOKUP(G102,TERCEROS!A:C,3,0),""))</f>
        <v/>
      </c>
      <c r="I102" s="35"/>
      <c r="L102" s="35" t="str">
        <f>IF(A102="","",SUMIF(OBLIGACION!C:C,A102,OBLIGACION!H:H))</f>
        <v/>
      </c>
      <c r="M102" s="35" t="str">
        <f t="shared" si="3"/>
        <v/>
      </c>
    </row>
    <row r="103" spans="2:13" x14ac:dyDescent="0.3">
      <c r="B103" s="36"/>
      <c r="C103" t="str">
        <f t="shared" si="2"/>
        <v/>
      </c>
      <c r="E103" t="str">
        <f>IF(D103="","",IFERROR(VLOOKUP(D103,CDP!A:C,3,0),""))</f>
        <v/>
      </c>
      <c r="F103" t="str">
        <f>IF(D103="","",IFERROR(VLOOKUP(D103,CDP!A:D,4,0),""))</f>
        <v/>
      </c>
      <c r="H103" t="str">
        <f>IF(G103="","",IFERROR(VLOOKUP(G103,TERCEROS!A:C,3,0),""))</f>
        <v/>
      </c>
      <c r="I103" s="35"/>
      <c r="L103" s="35" t="str">
        <f>IF(A103="","",SUMIF(OBLIGACION!C:C,A103,OBLIGACION!H:H))</f>
        <v/>
      </c>
      <c r="M103" s="35" t="str">
        <f t="shared" si="3"/>
        <v/>
      </c>
    </row>
    <row r="104" spans="2:13" x14ac:dyDescent="0.3">
      <c r="B104" s="36"/>
      <c r="C104" t="str">
        <f t="shared" si="2"/>
        <v/>
      </c>
      <c r="E104" t="str">
        <f>IF(D104="","",IFERROR(VLOOKUP(D104,CDP!A:C,3,0),""))</f>
        <v/>
      </c>
      <c r="F104" t="str">
        <f>IF(D104="","",IFERROR(VLOOKUP(D104,CDP!A:D,4,0),""))</f>
        <v/>
      </c>
      <c r="H104" t="str">
        <f>IF(G104="","",IFERROR(VLOOKUP(G104,TERCEROS!A:C,3,0),""))</f>
        <v/>
      </c>
      <c r="I104" s="35"/>
      <c r="L104" s="35" t="str">
        <f>IF(A104="","",SUMIF(OBLIGACION!C:C,A104,OBLIGACION!H:H))</f>
        <v/>
      </c>
      <c r="M104" s="35" t="str">
        <f t="shared" si="3"/>
        <v/>
      </c>
    </row>
    <row r="105" spans="2:13" x14ac:dyDescent="0.3">
      <c r="B105" s="36"/>
      <c r="C105" t="str">
        <f t="shared" si="2"/>
        <v/>
      </c>
      <c r="E105" t="str">
        <f>IF(D105="","",IFERROR(VLOOKUP(D105,CDP!A:C,3,0),""))</f>
        <v/>
      </c>
      <c r="F105" t="str">
        <f>IF(D105="","",IFERROR(VLOOKUP(D105,CDP!A:D,4,0),""))</f>
        <v/>
      </c>
      <c r="H105" t="str">
        <f>IF(G105="","",IFERROR(VLOOKUP(G105,TERCEROS!A:C,3,0),""))</f>
        <v/>
      </c>
      <c r="I105" s="35"/>
      <c r="L105" s="35" t="str">
        <f>IF(A105="","",SUMIF(OBLIGACION!C:C,A105,OBLIGACION!H:H))</f>
        <v/>
      </c>
      <c r="M105" s="35" t="str">
        <f t="shared" si="3"/>
        <v/>
      </c>
    </row>
    <row r="106" spans="2:13" x14ac:dyDescent="0.3">
      <c r="B106" s="36"/>
      <c r="C106" t="str">
        <f t="shared" si="2"/>
        <v/>
      </c>
      <c r="E106" t="str">
        <f>IF(D106="","",IFERROR(VLOOKUP(D106,CDP!A:C,3,0),""))</f>
        <v/>
      </c>
      <c r="F106" t="str">
        <f>IF(D106="","",IFERROR(VLOOKUP(D106,CDP!A:D,4,0),""))</f>
        <v/>
      </c>
      <c r="H106" t="str">
        <f>IF(G106="","",IFERROR(VLOOKUP(G106,TERCEROS!A:C,3,0),""))</f>
        <v/>
      </c>
      <c r="I106" s="35"/>
      <c r="L106" s="35" t="str">
        <f>IF(A106="","",SUMIF(OBLIGACION!C:C,A106,OBLIGACION!H:H))</f>
        <v/>
      </c>
      <c r="M106" s="35" t="str">
        <f t="shared" si="3"/>
        <v/>
      </c>
    </row>
    <row r="107" spans="2:13" x14ac:dyDescent="0.3">
      <c r="B107" s="36"/>
      <c r="C107" t="str">
        <f t="shared" si="2"/>
        <v/>
      </c>
      <c r="E107" t="str">
        <f>IF(D107="","",IFERROR(VLOOKUP(D107,CDP!A:C,3,0),""))</f>
        <v/>
      </c>
      <c r="F107" t="str">
        <f>IF(D107="","",IFERROR(VLOOKUP(D107,CDP!A:D,4,0),""))</f>
        <v/>
      </c>
      <c r="H107" t="str">
        <f>IF(G107="","",IFERROR(VLOOKUP(G107,TERCEROS!A:C,3,0),""))</f>
        <v/>
      </c>
      <c r="I107" s="35"/>
      <c r="L107" s="35" t="str">
        <f>IF(A107="","",SUMIF(OBLIGACION!C:C,A107,OBLIGACION!H:H))</f>
        <v/>
      </c>
      <c r="M107" s="35" t="str">
        <f t="shared" si="3"/>
        <v/>
      </c>
    </row>
    <row r="108" spans="2:13" x14ac:dyDescent="0.3">
      <c r="B108" s="36"/>
      <c r="C108" t="str">
        <f t="shared" si="2"/>
        <v/>
      </c>
      <c r="E108" t="str">
        <f>IF(D108="","",IFERROR(VLOOKUP(D108,CDP!A:C,3,0),""))</f>
        <v/>
      </c>
      <c r="F108" t="str">
        <f>IF(D108="","",IFERROR(VLOOKUP(D108,CDP!A:D,4,0),""))</f>
        <v/>
      </c>
      <c r="H108" t="str">
        <f>IF(G108="","",IFERROR(VLOOKUP(G108,TERCEROS!A:C,3,0),""))</f>
        <v/>
      </c>
      <c r="I108" s="35"/>
      <c r="L108" s="35" t="str">
        <f>IF(A108="","",SUMIF(OBLIGACION!C:C,A108,OBLIGACION!H:H))</f>
        <v/>
      </c>
      <c r="M108" s="35" t="str">
        <f t="shared" si="3"/>
        <v/>
      </c>
    </row>
    <row r="109" spans="2:13" x14ac:dyDescent="0.3">
      <c r="B109" s="36"/>
      <c r="C109" t="str">
        <f t="shared" si="2"/>
        <v/>
      </c>
      <c r="E109" t="str">
        <f>IF(D109="","",IFERROR(VLOOKUP(D109,CDP!A:C,3,0),""))</f>
        <v/>
      </c>
      <c r="F109" t="str">
        <f>IF(D109="","",IFERROR(VLOOKUP(D109,CDP!A:D,4,0),""))</f>
        <v/>
      </c>
      <c r="H109" t="str">
        <f>IF(G109="","",IFERROR(VLOOKUP(G109,TERCEROS!A:C,3,0),""))</f>
        <v/>
      </c>
      <c r="I109" s="35"/>
      <c r="L109" s="35" t="str">
        <f>IF(A109="","",SUMIF(OBLIGACION!C:C,A109,OBLIGACION!H:H))</f>
        <v/>
      </c>
      <c r="M109" s="35" t="str">
        <f t="shared" si="3"/>
        <v/>
      </c>
    </row>
    <row r="110" spans="2:13" x14ac:dyDescent="0.3">
      <c r="B110" s="36"/>
      <c r="C110" t="str">
        <f t="shared" si="2"/>
        <v/>
      </c>
      <c r="E110" t="str">
        <f>IF(D110="","",IFERROR(VLOOKUP(D110,CDP!A:C,3,0),""))</f>
        <v/>
      </c>
      <c r="F110" t="str">
        <f>IF(D110="","",IFERROR(VLOOKUP(D110,CDP!A:D,4,0),""))</f>
        <v/>
      </c>
      <c r="H110" t="str">
        <f>IF(G110="","",IFERROR(VLOOKUP(G110,TERCEROS!A:C,3,0),""))</f>
        <v/>
      </c>
      <c r="I110" s="35"/>
      <c r="L110" s="35" t="str">
        <f>IF(A110="","",SUMIF(OBLIGACION!C:C,A110,OBLIGACION!H:H))</f>
        <v/>
      </c>
      <c r="M110" s="35" t="str">
        <f t="shared" si="3"/>
        <v/>
      </c>
    </row>
    <row r="111" spans="2:13" x14ac:dyDescent="0.3">
      <c r="B111" s="36"/>
      <c r="C111" t="str">
        <f t="shared" si="2"/>
        <v/>
      </c>
      <c r="E111" t="str">
        <f>IF(D111="","",IFERROR(VLOOKUP(D111,CDP!A:C,3,0),""))</f>
        <v/>
      </c>
      <c r="F111" t="str">
        <f>IF(D111="","",IFERROR(VLOOKUP(D111,CDP!A:D,4,0),""))</f>
        <v/>
      </c>
      <c r="H111" t="str">
        <f>IF(G111="","",IFERROR(VLOOKUP(G111,TERCEROS!A:C,3,0),""))</f>
        <v/>
      </c>
      <c r="I111" s="35"/>
      <c r="L111" s="35" t="str">
        <f>IF(A111="","",SUMIF(OBLIGACION!C:C,A111,OBLIGACION!H:H))</f>
        <v/>
      </c>
      <c r="M111" s="35" t="str">
        <f t="shared" si="3"/>
        <v/>
      </c>
    </row>
    <row r="112" spans="2:13" x14ac:dyDescent="0.3">
      <c r="B112" s="36"/>
      <c r="C112" t="str">
        <f t="shared" si="2"/>
        <v/>
      </c>
      <c r="E112" t="str">
        <f>IF(D112="","",IFERROR(VLOOKUP(D112,CDP!A:C,3,0),""))</f>
        <v/>
      </c>
      <c r="F112" t="str">
        <f>IF(D112="","",IFERROR(VLOOKUP(D112,CDP!A:D,4,0),""))</f>
        <v/>
      </c>
      <c r="H112" t="str">
        <f>IF(G112="","",IFERROR(VLOOKUP(G112,TERCEROS!A:C,3,0),""))</f>
        <v/>
      </c>
      <c r="I112" s="35"/>
      <c r="L112" s="35" t="str">
        <f>IF(A112="","",SUMIF(OBLIGACION!C:C,A112,OBLIGACION!H:H))</f>
        <v/>
      </c>
      <c r="M112" s="35" t="str">
        <f t="shared" si="3"/>
        <v/>
      </c>
    </row>
    <row r="113" spans="2:13" x14ac:dyDescent="0.3">
      <c r="B113" s="36"/>
      <c r="C113" t="str">
        <f t="shared" si="2"/>
        <v/>
      </c>
      <c r="E113" t="str">
        <f>IF(D113="","",IFERROR(VLOOKUP(D113,CDP!A:C,3,0),""))</f>
        <v/>
      </c>
      <c r="F113" t="str">
        <f>IF(D113="","",IFERROR(VLOOKUP(D113,CDP!A:D,4,0),""))</f>
        <v/>
      </c>
      <c r="H113" t="str">
        <f>IF(G113="","",IFERROR(VLOOKUP(G113,TERCEROS!A:C,3,0),""))</f>
        <v/>
      </c>
      <c r="I113" s="35"/>
      <c r="L113" s="35" t="str">
        <f>IF(A113="","",SUMIF(OBLIGACION!C:C,A113,OBLIGACION!H:H))</f>
        <v/>
      </c>
      <c r="M113" s="35" t="str">
        <f t="shared" si="3"/>
        <v/>
      </c>
    </row>
    <row r="114" spans="2:13" x14ac:dyDescent="0.3">
      <c r="B114" s="36"/>
      <c r="C114" t="str">
        <f t="shared" si="2"/>
        <v/>
      </c>
      <c r="E114" t="str">
        <f>IF(D114="","",IFERROR(VLOOKUP(D114,CDP!A:C,3,0),""))</f>
        <v/>
      </c>
      <c r="F114" t="str">
        <f>IF(D114="","",IFERROR(VLOOKUP(D114,CDP!A:D,4,0),""))</f>
        <v/>
      </c>
      <c r="H114" t="str">
        <f>IF(G114="","",IFERROR(VLOOKUP(G114,TERCEROS!A:C,3,0),""))</f>
        <v/>
      </c>
      <c r="I114" s="35"/>
      <c r="L114" s="35" t="str">
        <f>IF(A114="","",SUMIF(OBLIGACION!C:C,A114,OBLIGACION!H:H))</f>
        <v/>
      </c>
      <c r="M114" s="35" t="str">
        <f t="shared" si="3"/>
        <v/>
      </c>
    </row>
    <row r="115" spans="2:13" x14ac:dyDescent="0.3">
      <c r="B115" s="36"/>
      <c r="C115" t="str">
        <f t="shared" si="2"/>
        <v/>
      </c>
      <c r="E115" t="str">
        <f>IF(D115="","",IFERROR(VLOOKUP(D115,CDP!A:C,3,0),""))</f>
        <v/>
      </c>
      <c r="F115" t="str">
        <f>IF(D115="","",IFERROR(VLOOKUP(D115,CDP!A:D,4,0),""))</f>
        <v/>
      </c>
      <c r="H115" t="str">
        <f>IF(G115="","",IFERROR(VLOOKUP(G115,TERCEROS!A:C,3,0),""))</f>
        <v/>
      </c>
      <c r="I115" s="35"/>
      <c r="L115" s="35" t="str">
        <f>IF(A115="","",SUMIF(OBLIGACION!C:C,A115,OBLIGACION!H:H))</f>
        <v/>
      </c>
      <c r="M115" s="35" t="str">
        <f t="shared" si="3"/>
        <v/>
      </c>
    </row>
    <row r="116" spans="2:13" x14ac:dyDescent="0.3">
      <c r="B116" s="36"/>
      <c r="C116" t="str">
        <f t="shared" si="2"/>
        <v/>
      </c>
      <c r="E116" t="str">
        <f>IF(D116="","",IFERROR(VLOOKUP(D116,CDP!A:C,3,0),""))</f>
        <v/>
      </c>
      <c r="F116" t="str">
        <f>IF(D116="","",IFERROR(VLOOKUP(D116,CDP!A:D,4,0),""))</f>
        <v/>
      </c>
      <c r="H116" t="str">
        <f>IF(G116="","",IFERROR(VLOOKUP(G116,TERCEROS!A:C,3,0),""))</f>
        <v/>
      </c>
      <c r="I116" s="35"/>
      <c r="L116" s="35" t="str">
        <f>IF(A116="","",SUMIF(OBLIGACION!C:C,A116,OBLIGACION!H:H))</f>
        <v/>
      </c>
      <c r="M116" s="35" t="str">
        <f t="shared" si="3"/>
        <v/>
      </c>
    </row>
    <row r="117" spans="2:13" x14ac:dyDescent="0.3">
      <c r="B117" s="36"/>
      <c r="C117" t="str">
        <f t="shared" si="2"/>
        <v/>
      </c>
      <c r="E117" t="str">
        <f>IF(D117="","",IFERROR(VLOOKUP(D117,CDP!A:C,3,0),""))</f>
        <v/>
      </c>
      <c r="F117" t="str">
        <f>IF(D117="","",IFERROR(VLOOKUP(D117,CDP!A:D,4,0),""))</f>
        <v/>
      </c>
      <c r="H117" t="str">
        <f>IF(G117="","",IFERROR(VLOOKUP(G117,TERCEROS!A:C,3,0),""))</f>
        <v/>
      </c>
      <c r="I117" s="35"/>
      <c r="L117" s="35" t="str">
        <f>IF(A117="","",SUMIF(OBLIGACION!C:C,A117,OBLIGACION!H:H))</f>
        <v/>
      </c>
      <c r="M117" s="35" t="str">
        <f t="shared" si="3"/>
        <v/>
      </c>
    </row>
    <row r="118" spans="2:13" x14ac:dyDescent="0.3">
      <c r="B118" s="36"/>
      <c r="C118" t="str">
        <f t="shared" si="2"/>
        <v/>
      </c>
      <c r="E118" t="str">
        <f>IF(D118="","",IFERROR(VLOOKUP(D118,CDP!A:C,3,0),""))</f>
        <v/>
      </c>
      <c r="F118" t="str">
        <f>IF(D118="","",IFERROR(VLOOKUP(D118,CDP!A:D,4,0),""))</f>
        <v/>
      </c>
      <c r="H118" t="str">
        <f>IF(G118="","",IFERROR(VLOOKUP(G118,TERCEROS!A:C,3,0),""))</f>
        <v/>
      </c>
      <c r="I118" s="35"/>
      <c r="L118" s="35" t="str">
        <f>IF(A118="","",SUMIF(OBLIGACION!C:C,A118,OBLIGACION!H:H))</f>
        <v/>
      </c>
      <c r="M118" s="35" t="str">
        <f t="shared" si="3"/>
        <v/>
      </c>
    </row>
    <row r="119" spans="2:13" x14ac:dyDescent="0.3">
      <c r="B119" s="36"/>
      <c r="C119" t="str">
        <f t="shared" si="2"/>
        <v/>
      </c>
      <c r="E119" t="str">
        <f>IF(D119="","",IFERROR(VLOOKUP(D119,CDP!A:C,3,0),""))</f>
        <v/>
      </c>
      <c r="F119" t="str">
        <f>IF(D119="","",IFERROR(VLOOKUP(D119,CDP!A:D,4,0),""))</f>
        <v/>
      </c>
      <c r="H119" t="str">
        <f>IF(G119="","",IFERROR(VLOOKUP(G119,TERCEROS!A:C,3,0),""))</f>
        <v/>
      </c>
      <c r="I119" s="35"/>
      <c r="L119" s="35" t="str">
        <f>IF(A119="","",SUMIF(OBLIGACION!C:C,A119,OBLIGACION!H:H))</f>
        <v/>
      </c>
      <c r="M119" s="35" t="str">
        <f t="shared" si="3"/>
        <v/>
      </c>
    </row>
    <row r="120" spans="2:13" x14ac:dyDescent="0.3">
      <c r="B120" s="36"/>
      <c r="C120" t="str">
        <f t="shared" si="2"/>
        <v/>
      </c>
      <c r="E120" t="str">
        <f>IF(D120="","",IFERROR(VLOOKUP(D120,CDP!A:C,3,0),""))</f>
        <v/>
      </c>
      <c r="F120" t="str">
        <f>IF(D120="","",IFERROR(VLOOKUP(D120,CDP!A:D,4,0),""))</f>
        <v/>
      </c>
      <c r="H120" t="str">
        <f>IF(G120="","",IFERROR(VLOOKUP(G120,TERCEROS!A:C,3,0),""))</f>
        <v/>
      </c>
      <c r="I120" s="35"/>
      <c r="L120" s="35" t="str">
        <f>IF(A120="","",SUMIF(OBLIGACION!C:C,A120,OBLIGACION!H:H))</f>
        <v/>
      </c>
      <c r="M120" s="35" t="str">
        <f t="shared" si="3"/>
        <v/>
      </c>
    </row>
    <row r="121" spans="2:13" x14ac:dyDescent="0.3">
      <c r="B121" s="36"/>
      <c r="C121" t="str">
        <f t="shared" si="2"/>
        <v/>
      </c>
      <c r="E121" t="str">
        <f>IF(D121="","",IFERROR(VLOOKUP(D121,CDP!A:C,3,0),""))</f>
        <v/>
      </c>
      <c r="F121" t="str">
        <f>IF(D121="","",IFERROR(VLOOKUP(D121,CDP!A:D,4,0),""))</f>
        <v/>
      </c>
      <c r="H121" t="str">
        <f>IF(G121="","",IFERROR(VLOOKUP(G121,TERCEROS!A:C,3,0),""))</f>
        <v/>
      </c>
      <c r="I121" s="35"/>
      <c r="L121" s="35" t="str">
        <f>IF(A121="","",SUMIF(OBLIGACION!C:C,A121,OBLIGACION!H:H))</f>
        <v/>
      </c>
      <c r="M121" s="35" t="str">
        <f t="shared" si="3"/>
        <v/>
      </c>
    </row>
    <row r="122" spans="2:13" x14ac:dyDescent="0.3">
      <c r="B122" s="36"/>
      <c r="C122" t="str">
        <f t="shared" si="2"/>
        <v/>
      </c>
      <c r="E122" t="str">
        <f>IF(D122="","",IFERROR(VLOOKUP(D122,CDP!A:C,3,0),""))</f>
        <v/>
      </c>
      <c r="F122" t="str">
        <f>IF(D122="","",IFERROR(VLOOKUP(D122,CDP!A:D,4,0),""))</f>
        <v/>
      </c>
      <c r="H122" t="str">
        <f>IF(G122="","",IFERROR(VLOOKUP(G122,TERCEROS!A:C,3,0),""))</f>
        <v/>
      </c>
      <c r="I122" s="35"/>
      <c r="L122" s="35" t="str">
        <f>IF(A122="","",SUMIF(OBLIGACION!C:C,A122,OBLIGACION!H:H))</f>
        <v/>
      </c>
      <c r="M122" s="35" t="str">
        <f t="shared" si="3"/>
        <v/>
      </c>
    </row>
    <row r="123" spans="2:13" x14ac:dyDescent="0.3">
      <c r="B123" s="36"/>
      <c r="C123" t="str">
        <f t="shared" si="2"/>
        <v/>
      </c>
      <c r="E123" t="str">
        <f>IF(D123="","",IFERROR(VLOOKUP(D123,CDP!A:C,3,0),""))</f>
        <v/>
      </c>
      <c r="F123" t="str">
        <f>IF(D123="","",IFERROR(VLOOKUP(D123,CDP!A:D,4,0),""))</f>
        <v/>
      </c>
      <c r="H123" t="str">
        <f>IF(G123="","",IFERROR(VLOOKUP(G123,TERCEROS!A:C,3,0),""))</f>
        <v/>
      </c>
      <c r="I123" s="35"/>
      <c r="L123" s="35" t="str">
        <f>IF(A123="","",SUMIF(OBLIGACION!C:C,A123,OBLIGACION!H:H))</f>
        <v/>
      </c>
      <c r="M123" s="35" t="str">
        <f t="shared" si="3"/>
        <v/>
      </c>
    </row>
    <row r="124" spans="2:13" x14ac:dyDescent="0.3">
      <c r="B124" s="36"/>
      <c r="C124" t="str">
        <f t="shared" si="2"/>
        <v/>
      </c>
      <c r="E124" t="str">
        <f>IF(D124="","",IFERROR(VLOOKUP(D124,CDP!A:C,3,0),""))</f>
        <v/>
      </c>
      <c r="F124" t="str">
        <f>IF(D124="","",IFERROR(VLOOKUP(D124,CDP!A:D,4,0),""))</f>
        <v/>
      </c>
      <c r="H124" t="str">
        <f>IF(G124="","",IFERROR(VLOOKUP(G124,TERCEROS!A:C,3,0),""))</f>
        <v/>
      </c>
      <c r="I124" s="35"/>
      <c r="L124" s="35" t="str">
        <f>IF(A124="","",SUMIF(OBLIGACION!C:C,A124,OBLIGACION!H:H))</f>
        <v/>
      </c>
      <c r="M124" s="35" t="str">
        <f t="shared" si="3"/>
        <v/>
      </c>
    </row>
    <row r="125" spans="2:13" x14ac:dyDescent="0.3">
      <c r="B125" s="36"/>
      <c r="C125" t="str">
        <f t="shared" si="2"/>
        <v/>
      </c>
      <c r="E125" t="str">
        <f>IF(D125="","",IFERROR(VLOOKUP(D125,CDP!A:C,3,0),""))</f>
        <v/>
      </c>
      <c r="F125" t="str">
        <f>IF(D125="","",IFERROR(VLOOKUP(D125,CDP!A:D,4,0),""))</f>
        <v/>
      </c>
      <c r="H125" t="str">
        <f>IF(G125="","",IFERROR(VLOOKUP(G125,TERCEROS!A:C,3,0),""))</f>
        <v/>
      </c>
      <c r="I125" s="35"/>
      <c r="L125" s="35" t="str">
        <f>IF(A125="","",SUMIF(OBLIGACION!C:C,A125,OBLIGACION!H:H))</f>
        <v/>
      </c>
      <c r="M125" s="35" t="str">
        <f t="shared" si="3"/>
        <v/>
      </c>
    </row>
    <row r="126" spans="2:13" x14ac:dyDescent="0.3">
      <c r="B126" s="36"/>
      <c r="C126" t="str">
        <f t="shared" si="2"/>
        <v/>
      </c>
      <c r="E126" t="str">
        <f>IF(D126="","",IFERROR(VLOOKUP(D126,CDP!A:C,3,0),""))</f>
        <v/>
      </c>
      <c r="F126" t="str">
        <f>IF(D126="","",IFERROR(VLOOKUP(D126,CDP!A:D,4,0),""))</f>
        <v/>
      </c>
      <c r="H126" t="str">
        <f>IF(G126="","",IFERROR(VLOOKUP(G126,TERCEROS!A:C,3,0),""))</f>
        <v/>
      </c>
      <c r="I126" s="35"/>
      <c r="L126" s="35" t="str">
        <f>IF(A126="","",SUMIF(OBLIGACION!C:C,A126,OBLIGACION!H:H))</f>
        <v/>
      </c>
      <c r="M126" s="35" t="str">
        <f t="shared" si="3"/>
        <v/>
      </c>
    </row>
    <row r="127" spans="2:13" x14ac:dyDescent="0.3">
      <c r="B127" s="36"/>
      <c r="C127" t="str">
        <f t="shared" si="2"/>
        <v/>
      </c>
      <c r="E127" t="str">
        <f>IF(D127="","",IFERROR(VLOOKUP(D127,CDP!A:C,3,0),""))</f>
        <v/>
      </c>
      <c r="F127" t="str">
        <f>IF(D127="","",IFERROR(VLOOKUP(D127,CDP!A:D,4,0),""))</f>
        <v/>
      </c>
      <c r="H127" t="str">
        <f>IF(G127="","",IFERROR(VLOOKUP(G127,TERCEROS!A:C,3,0),""))</f>
        <v/>
      </c>
      <c r="I127" s="35"/>
      <c r="L127" s="35" t="str">
        <f>IF(A127="","",SUMIF(OBLIGACION!C:C,A127,OBLIGACION!H:H))</f>
        <v/>
      </c>
      <c r="M127" s="35" t="str">
        <f t="shared" si="3"/>
        <v/>
      </c>
    </row>
    <row r="128" spans="2:13" x14ac:dyDescent="0.3">
      <c r="B128" s="36"/>
      <c r="C128" t="str">
        <f t="shared" si="2"/>
        <v/>
      </c>
      <c r="E128" t="str">
        <f>IF(D128="","",IFERROR(VLOOKUP(D128,CDP!A:C,3,0),""))</f>
        <v/>
      </c>
      <c r="F128" t="str">
        <f>IF(D128="","",IFERROR(VLOOKUP(D128,CDP!A:D,4,0),""))</f>
        <v/>
      </c>
      <c r="H128" t="str">
        <f>IF(G128="","",IFERROR(VLOOKUP(G128,TERCEROS!A:C,3,0),""))</f>
        <v/>
      </c>
      <c r="I128" s="35"/>
      <c r="L128" s="35" t="str">
        <f>IF(A128="","",SUMIF(OBLIGACION!C:C,A128,OBLIGACION!H:H))</f>
        <v/>
      </c>
      <c r="M128" s="35" t="str">
        <f t="shared" si="3"/>
        <v/>
      </c>
    </row>
    <row r="129" spans="2:13" x14ac:dyDescent="0.3">
      <c r="B129" s="36"/>
      <c r="C129" t="str">
        <f t="shared" si="2"/>
        <v/>
      </c>
      <c r="E129" t="str">
        <f>IF(D129="","",IFERROR(VLOOKUP(D129,CDP!A:C,3,0),""))</f>
        <v/>
      </c>
      <c r="F129" t="str">
        <f>IF(D129="","",IFERROR(VLOOKUP(D129,CDP!A:D,4,0),""))</f>
        <v/>
      </c>
      <c r="H129" t="str">
        <f>IF(G129="","",IFERROR(VLOOKUP(G129,TERCEROS!A:C,3,0),""))</f>
        <v/>
      </c>
      <c r="I129" s="35"/>
      <c r="L129" s="35" t="str">
        <f>IF(A129="","",SUMIF(OBLIGACION!C:C,A129,OBLIGACION!H:H))</f>
        <v/>
      </c>
      <c r="M129" s="35" t="str">
        <f t="shared" si="3"/>
        <v/>
      </c>
    </row>
    <row r="130" spans="2:13" x14ac:dyDescent="0.3">
      <c r="B130" s="36"/>
      <c r="C130" t="str">
        <f t="shared" ref="C130:C193" si="4">IF(B130="","",MONTH(B130))</f>
        <v/>
      </c>
      <c r="E130" t="str">
        <f>IF(D130="","",IFERROR(VLOOKUP(D130,CDP!A:C,3,0),""))</f>
        <v/>
      </c>
      <c r="F130" t="str">
        <f>IF(D130="","",IFERROR(VLOOKUP(D130,CDP!A:D,4,0),""))</f>
        <v/>
      </c>
      <c r="H130" t="str">
        <f>IF(G130="","",IFERROR(VLOOKUP(G130,TERCEROS!A:C,3,0),""))</f>
        <v/>
      </c>
      <c r="I130" s="35"/>
      <c r="L130" s="35" t="str">
        <f>IF(A130="","",SUMIF(OBLIGACION!C:C,A130,OBLIGACION!H:H))</f>
        <v/>
      </c>
      <c r="M130" s="35" t="str">
        <f t="shared" ref="M130:M193" si="5">IF(A130="","",I130-L130)</f>
        <v/>
      </c>
    </row>
    <row r="131" spans="2:13" x14ac:dyDescent="0.3">
      <c r="B131" s="36"/>
      <c r="C131" t="str">
        <f t="shared" si="4"/>
        <v/>
      </c>
      <c r="E131" t="str">
        <f>IF(D131="","",IFERROR(VLOOKUP(D131,CDP!A:C,3,0),""))</f>
        <v/>
      </c>
      <c r="F131" t="str">
        <f>IF(D131="","",IFERROR(VLOOKUP(D131,CDP!A:D,4,0),""))</f>
        <v/>
      </c>
      <c r="H131" t="str">
        <f>IF(G131="","",IFERROR(VLOOKUP(G131,TERCEROS!A:C,3,0),""))</f>
        <v/>
      </c>
      <c r="I131" s="35"/>
      <c r="L131" s="35" t="str">
        <f>IF(A131="","",SUMIF(OBLIGACION!C:C,A131,OBLIGACION!H:H))</f>
        <v/>
      </c>
      <c r="M131" s="35" t="str">
        <f t="shared" si="5"/>
        <v/>
      </c>
    </row>
    <row r="132" spans="2:13" x14ac:dyDescent="0.3">
      <c r="B132" s="36"/>
      <c r="C132" t="str">
        <f t="shared" si="4"/>
        <v/>
      </c>
      <c r="E132" t="str">
        <f>IF(D132="","",IFERROR(VLOOKUP(D132,CDP!A:C,3,0),""))</f>
        <v/>
      </c>
      <c r="F132" t="str">
        <f>IF(D132="","",IFERROR(VLOOKUP(D132,CDP!A:D,4,0),""))</f>
        <v/>
      </c>
      <c r="H132" t="str">
        <f>IF(G132="","",IFERROR(VLOOKUP(G132,TERCEROS!A:C,3,0),""))</f>
        <v/>
      </c>
      <c r="I132" s="35"/>
      <c r="L132" s="35" t="str">
        <f>IF(A132="","",SUMIF(OBLIGACION!C:C,A132,OBLIGACION!H:H))</f>
        <v/>
      </c>
      <c r="M132" s="35" t="str">
        <f t="shared" si="5"/>
        <v/>
      </c>
    </row>
    <row r="133" spans="2:13" x14ac:dyDescent="0.3">
      <c r="B133" s="36"/>
      <c r="C133" t="str">
        <f t="shared" si="4"/>
        <v/>
      </c>
      <c r="E133" t="str">
        <f>IF(D133="","",IFERROR(VLOOKUP(D133,CDP!A:C,3,0),""))</f>
        <v/>
      </c>
      <c r="F133" t="str">
        <f>IF(D133="","",IFERROR(VLOOKUP(D133,CDP!A:D,4,0),""))</f>
        <v/>
      </c>
      <c r="H133" t="str">
        <f>IF(G133="","",IFERROR(VLOOKUP(G133,TERCEROS!A:C,3,0),""))</f>
        <v/>
      </c>
      <c r="I133" s="35"/>
      <c r="L133" s="35" t="str">
        <f>IF(A133="","",SUMIF(OBLIGACION!C:C,A133,OBLIGACION!H:H))</f>
        <v/>
      </c>
      <c r="M133" s="35" t="str">
        <f t="shared" si="5"/>
        <v/>
      </c>
    </row>
    <row r="134" spans="2:13" x14ac:dyDescent="0.3">
      <c r="B134" s="36"/>
      <c r="C134" t="str">
        <f t="shared" si="4"/>
        <v/>
      </c>
      <c r="E134" t="str">
        <f>IF(D134="","",IFERROR(VLOOKUP(D134,CDP!A:C,3,0),""))</f>
        <v/>
      </c>
      <c r="F134" t="str">
        <f>IF(D134="","",IFERROR(VLOOKUP(D134,CDP!A:D,4,0),""))</f>
        <v/>
      </c>
      <c r="H134" t="str">
        <f>IF(G134="","",IFERROR(VLOOKUP(G134,TERCEROS!A:C,3,0),""))</f>
        <v/>
      </c>
      <c r="I134" s="35"/>
      <c r="L134" s="35" t="str">
        <f>IF(A134="","",SUMIF(OBLIGACION!C:C,A134,OBLIGACION!H:H))</f>
        <v/>
      </c>
      <c r="M134" s="35" t="str">
        <f t="shared" si="5"/>
        <v/>
      </c>
    </row>
    <row r="135" spans="2:13" x14ac:dyDescent="0.3">
      <c r="B135" s="36"/>
      <c r="C135" t="str">
        <f t="shared" si="4"/>
        <v/>
      </c>
      <c r="E135" t="str">
        <f>IF(D135="","",IFERROR(VLOOKUP(D135,CDP!A:C,3,0),""))</f>
        <v/>
      </c>
      <c r="F135" t="str">
        <f>IF(D135="","",IFERROR(VLOOKUP(D135,CDP!A:D,4,0),""))</f>
        <v/>
      </c>
      <c r="H135" t="str">
        <f>IF(G135="","",IFERROR(VLOOKUP(G135,TERCEROS!A:C,3,0),""))</f>
        <v/>
      </c>
      <c r="I135" s="35"/>
      <c r="L135" s="35" t="str">
        <f>IF(A135="","",SUMIF(OBLIGACION!C:C,A135,OBLIGACION!H:H))</f>
        <v/>
      </c>
      <c r="M135" s="35" t="str">
        <f t="shared" si="5"/>
        <v/>
      </c>
    </row>
    <row r="136" spans="2:13" x14ac:dyDescent="0.3">
      <c r="B136" s="36"/>
      <c r="C136" t="str">
        <f t="shared" si="4"/>
        <v/>
      </c>
      <c r="E136" t="str">
        <f>IF(D136="","",IFERROR(VLOOKUP(D136,CDP!A:C,3,0),""))</f>
        <v/>
      </c>
      <c r="F136" t="str">
        <f>IF(D136="","",IFERROR(VLOOKUP(D136,CDP!A:D,4,0),""))</f>
        <v/>
      </c>
      <c r="H136" t="str">
        <f>IF(G136="","",IFERROR(VLOOKUP(G136,TERCEROS!A:C,3,0),""))</f>
        <v/>
      </c>
      <c r="I136" s="35"/>
      <c r="L136" s="35" t="str">
        <f>IF(A136="","",SUMIF(OBLIGACION!C:C,A136,OBLIGACION!H:H))</f>
        <v/>
      </c>
      <c r="M136" s="35" t="str">
        <f t="shared" si="5"/>
        <v/>
      </c>
    </row>
    <row r="137" spans="2:13" x14ac:dyDescent="0.3">
      <c r="B137" s="36"/>
      <c r="C137" t="str">
        <f t="shared" si="4"/>
        <v/>
      </c>
      <c r="E137" t="str">
        <f>IF(D137="","",IFERROR(VLOOKUP(D137,CDP!A:C,3,0),""))</f>
        <v/>
      </c>
      <c r="F137" t="str">
        <f>IF(D137="","",IFERROR(VLOOKUP(D137,CDP!A:D,4,0),""))</f>
        <v/>
      </c>
      <c r="H137" t="str">
        <f>IF(G137="","",IFERROR(VLOOKUP(G137,TERCEROS!A:C,3,0),""))</f>
        <v/>
      </c>
      <c r="I137" s="35"/>
      <c r="L137" s="35" t="str">
        <f>IF(A137="","",SUMIF(OBLIGACION!C:C,A137,OBLIGACION!H:H))</f>
        <v/>
      </c>
      <c r="M137" s="35" t="str">
        <f t="shared" si="5"/>
        <v/>
      </c>
    </row>
    <row r="138" spans="2:13" x14ac:dyDescent="0.3">
      <c r="B138" s="36"/>
      <c r="C138" t="str">
        <f t="shared" si="4"/>
        <v/>
      </c>
      <c r="E138" t="str">
        <f>IF(D138="","",IFERROR(VLOOKUP(D138,CDP!A:C,3,0),""))</f>
        <v/>
      </c>
      <c r="F138" t="str">
        <f>IF(D138="","",IFERROR(VLOOKUP(D138,CDP!A:D,4,0),""))</f>
        <v/>
      </c>
      <c r="H138" t="str">
        <f>IF(G138="","",IFERROR(VLOOKUP(G138,TERCEROS!A:C,3,0),""))</f>
        <v/>
      </c>
      <c r="I138" s="35"/>
      <c r="L138" s="35" t="str">
        <f>IF(A138="","",SUMIF(OBLIGACION!C:C,A138,OBLIGACION!H:H))</f>
        <v/>
      </c>
      <c r="M138" s="35" t="str">
        <f t="shared" si="5"/>
        <v/>
      </c>
    </row>
    <row r="139" spans="2:13" x14ac:dyDescent="0.3">
      <c r="B139" s="36"/>
      <c r="C139" t="str">
        <f t="shared" si="4"/>
        <v/>
      </c>
      <c r="E139" t="str">
        <f>IF(D139="","",IFERROR(VLOOKUP(D139,CDP!A:C,3,0),""))</f>
        <v/>
      </c>
      <c r="F139" t="str">
        <f>IF(D139="","",IFERROR(VLOOKUP(D139,CDP!A:D,4,0),""))</f>
        <v/>
      </c>
      <c r="H139" t="str">
        <f>IF(G139="","",IFERROR(VLOOKUP(G139,TERCEROS!A:C,3,0),""))</f>
        <v/>
      </c>
      <c r="I139" s="35"/>
      <c r="L139" s="35" t="str">
        <f>IF(A139="","",SUMIF(OBLIGACION!C:C,A139,OBLIGACION!H:H))</f>
        <v/>
      </c>
      <c r="M139" s="35" t="str">
        <f t="shared" si="5"/>
        <v/>
      </c>
    </row>
    <row r="140" spans="2:13" x14ac:dyDescent="0.3">
      <c r="B140" s="36"/>
      <c r="C140" t="str">
        <f t="shared" si="4"/>
        <v/>
      </c>
      <c r="E140" t="str">
        <f>IF(D140="","",IFERROR(VLOOKUP(D140,CDP!A:C,3,0),""))</f>
        <v/>
      </c>
      <c r="F140" t="str">
        <f>IF(D140="","",IFERROR(VLOOKUP(D140,CDP!A:D,4,0),""))</f>
        <v/>
      </c>
      <c r="H140" t="str">
        <f>IF(G140="","",IFERROR(VLOOKUP(G140,TERCEROS!A:C,3,0),""))</f>
        <v/>
      </c>
      <c r="I140" s="35"/>
      <c r="L140" s="35" t="str">
        <f>IF(A140="","",SUMIF(OBLIGACION!C:C,A140,OBLIGACION!H:H))</f>
        <v/>
      </c>
      <c r="M140" s="35" t="str">
        <f t="shared" si="5"/>
        <v/>
      </c>
    </row>
    <row r="141" spans="2:13" x14ac:dyDescent="0.3">
      <c r="B141" s="36"/>
      <c r="C141" t="str">
        <f t="shared" si="4"/>
        <v/>
      </c>
      <c r="E141" t="str">
        <f>IF(D141="","",IFERROR(VLOOKUP(D141,CDP!A:C,3,0),""))</f>
        <v/>
      </c>
      <c r="F141" t="str">
        <f>IF(D141="","",IFERROR(VLOOKUP(D141,CDP!A:D,4,0),""))</f>
        <v/>
      </c>
      <c r="H141" t="str">
        <f>IF(G141="","",IFERROR(VLOOKUP(G141,TERCEROS!A:C,3,0),""))</f>
        <v/>
      </c>
      <c r="I141" s="35"/>
      <c r="L141" s="35" t="str">
        <f>IF(A141="","",SUMIF(OBLIGACION!C:C,A141,OBLIGACION!H:H))</f>
        <v/>
      </c>
      <c r="M141" s="35" t="str">
        <f t="shared" si="5"/>
        <v/>
      </c>
    </row>
    <row r="142" spans="2:13" x14ac:dyDescent="0.3">
      <c r="B142" s="36"/>
      <c r="C142" t="str">
        <f t="shared" si="4"/>
        <v/>
      </c>
      <c r="E142" t="str">
        <f>IF(D142="","",IFERROR(VLOOKUP(D142,CDP!A:C,3,0),""))</f>
        <v/>
      </c>
      <c r="F142" t="str">
        <f>IF(D142="","",IFERROR(VLOOKUP(D142,CDP!A:D,4,0),""))</f>
        <v/>
      </c>
      <c r="H142" t="str">
        <f>IF(G142="","",IFERROR(VLOOKUP(G142,TERCEROS!A:C,3,0),""))</f>
        <v/>
      </c>
      <c r="I142" s="35"/>
      <c r="L142" s="35" t="str">
        <f>IF(A142="","",SUMIF(OBLIGACION!C:C,A142,OBLIGACION!H:H))</f>
        <v/>
      </c>
      <c r="M142" s="35" t="str">
        <f t="shared" si="5"/>
        <v/>
      </c>
    </row>
    <row r="143" spans="2:13" x14ac:dyDescent="0.3">
      <c r="B143" s="36"/>
      <c r="C143" t="str">
        <f t="shared" si="4"/>
        <v/>
      </c>
      <c r="E143" t="str">
        <f>IF(D143="","",IFERROR(VLOOKUP(D143,CDP!A:C,3,0),""))</f>
        <v/>
      </c>
      <c r="F143" t="str">
        <f>IF(D143="","",IFERROR(VLOOKUP(D143,CDP!A:D,4,0),""))</f>
        <v/>
      </c>
      <c r="H143" t="str">
        <f>IF(G143="","",IFERROR(VLOOKUP(G143,TERCEROS!A:C,3,0),""))</f>
        <v/>
      </c>
      <c r="I143" s="35"/>
      <c r="L143" s="35" t="str">
        <f>IF(A143="","",SUMIF(OBLIGACION!C:C,A143,OBLIGACION!H:H))</f>
        <v/>
      </c>
      <c r="M143" s="35" t="str">
        <f t="shared" si="5"/>
        <v/>
      </c>
    </row>
    <row r="144" spans="2:13" x14ac:dyDescent="0.3">
      <c r="B144" s="36"/>
      <c r="C144" t="str">
        <f t="shared" si="4"/>
        <v/>
      </c>
      <c r="E144" t="str">
        <f>IF(D144="","",IFERROR(VLOOKUP(D144,CDP!A:C,3,0),""))</f>
        <v/>
      </c>
      <c r="F144" t="str">
        <f>IF(D144="","",IFERROR(VLOOKUP(D144,CDP!A:D,4,0),""))</f>
        <v/>
      </c>
      <c r="H144" t="str">
        <f>IF(G144="","",IFERROR(VLOOKUP(G144,TERCEROS!A:C,3,0),""))</f>
        <v/>
      </c>
      <c r="I144" s="35"/>
      <c r="L144" s="35" t="str">
        <f>IF(A144="","",SUMIF(OBLIGACION!C:C,A144,OBLIGACION!H:H))</f>
        <v/>
      </c>
      <c r="M144" s="35" t="str">
        <f t="shared" si="5"/>
        <v/>
      </c>
    </row>
    <row r="145" spans="2:13" x14ac:dyDescent="0.3">
      <c r="B145" s="36"/>
      <c r="C145" t="str">
        <f t="shared" si="4"/>
        <v/>
      </c>
      <c r="E145" t="str">
        <f>IF(D145="","",IFERROR(VLOOKUP(D145,CDP!A:C,3,0),""))</f>
        <v/>
      </c>
      <c r="F145" t="str">
        <f>IF(D145="","",IFERROR(VLOOKUP(D145,CDP!A:D,4,0),""))</f>
        <v/>
      </c>
      <c r="H145" t="str">
        <f>IF(G145="","",IFERROR(VLOOKUP(G145,TERCEROS!A:C,3,0),""))</f>
        <v/>
      </c>
      <c r="I145" s="35"/>
      <c r="L145" s="35" t="str">
        <f>IF(A145="","",SUMIF(OBLIGACION!C:C,A145,OBLIGACION!H:H))</f>
        <v/>
      </c>
      <c r="M145" s="35" t="str">
        <f t="shared" si="5"/>
        <v/>
      </c>
    </row>
    <row r="146" spans="2:13" x14ac:dyDescent="0.3">
      <c r="B146" s="36"/>
      <c r="C146" t="str">
        <f t="shared" si="4"/>
        <v/>
      </c>
      <c r="E146" t="str">
        <f>IF(D146="","",IFERROR(VLOOKUP(D146,CDP!A:C,3,0),""))</f>
        <v/>
      </c>
      <c r="F146" t="str">
        <f>IF(D146="","",IFERROR(VLOOKUP(D146,CDP!A:D,4,0),""))</f>
        <v/>
      </c>
      <c r="H146" t="str">
        <f>IF(G146="","",IFERROR(VLOOKUP(G146,TERCEROS!A:C,3,0),""))</f>
        <v/>
      </c>
      <c r="I146" s="35"/>
      <c r="L146" s="35" t="str">
        <f>IF(A146="","",SUMIF(OBLIGACION!C:C,A146,OBLIGACION!H:H))</f>
        <v/>
      </c>
      <c r="M146" s="35" t="str">
        <f t="shared" si="5"/>
        <v/>
      </c>
    </row>
    <row r="147" spans="2:13" x14ac:dyDescent="0.3">
      <c r="B147" s="36"/>
      <c r="C147" t="str">
        <f t="shared" si="4"/>
        <v/>
      </c>
      <c r="E147" t="str">
        <f>IF(D147="","",IFERROR(VLOOKUP(D147,CDP!A:C,3,0),""))</f>
        <v/>
      </c>
      <c r="F147" t="str">
        <f>IF(D147="","",IFERROR(VLOOKUP(D147,CDP!A:D,4,0),""))</f>
        <v/>
      </c>
      <c r="H147" t="str">
        <f>IF(G147="","",IFERROR(VLOOKUP(G147,TERCEROS!A:C,3,0),""))</f>
        <v/>
      </c>
      <c r="I147" s="35"/>
      <c r="L147" s="35" t="str">
        <f>IF(A147="","",SUMIF(OBLIGACION!C:C,A147,OBLIGACION!H:H))</f>
        <v/>
      </c>
      <c r="M147" s="35" t="str">
        <f t="shared" si="5"/>
        <v/>
      </c>
    </row>
    <row r="148" spans="2:13" x14ac:dyDescent="0.3">
      <c r="B148" s="36"/>
      <c r="C148" t="str">
        <f t="shared" si="4"/>
        <v/>
      </c>
      <c r="E148" t="str">
        <f>IF(D148="","",IFERROR(VLOOKUP(D148,CDP!A:C,3,0),""))</f>
        <v/>
      </c>
      <c r="F148" t="str">
        <f>IF(D148="","",IFERROR(VLOOKUP(D148,CDP!A:D,4,0),""))</f>
        <v/>
      </c>
      <c r="H148" t="str">
        <f>IF(G148="","",IFERROR(VLOOKUP(G148,TERCEROS!A:C,3,0),""))</f>
        <v/>
      </c>
      <c r="I148" s="35"/>
      <c r="L148" s="35" t="str">
        <f>IF(A148="","",SUMIF(OBLIGACION!C:C,A148,OBLIGACION!H:H))</f>
        <v/>
      </c>
      <c r="M148" s="35" t="str">
        <f t="shared" si="5"/>
        <v/>
      </c>
    </row>
    <row r="149" spans="2:13" x14ac:dyDescent="0.3">
      <c r="B149" s="36"/>
      <c r="C149" t="str">
        <f t="shared" si="4"/>
        <v/>
      </c>
      <c r="E149" t="str">
        <f>IF(D149="","",IFERROR(VLOOKUP(D149,CDP!A:C,3,0),""))</f>
        <v/>
      </c>
      <c r="F149" t="str">
        <f>IF(D149="","",IFERROR(VLOOKUP(D149,CDP!A:D,4,0),""))</f>
        <v/>
      </c>
      <c r="H149" t="str">
        <f>IF(G149="","",IFERROR(VLOOKUP(G149,TERCEROS!A:C,3,0),""))</f>
        <v/>
      </c>
      <c r="I149" s="35"/>
      <c r="L149" s="35" t="str">
        <f>IF(A149="","",SUMIF(OBLIGACION!C:C,A149,OBLIGACION!H:H))</f>
        <v/>
      </c>
      <c r="M149" s="35" t="str">
        <f t="shared" si="5"/>
        <v/>
      </c>
    </row>
    <row r="150" spans="2:13" x14ac:dyDescent="0.3">
      <c r="B150" s="36"/>
      <c r="C150" t="str">
        <f t="shared" si="4"/>
        <v/>
      </c>
      <c r="E150" t="str">
        <f>IF(D150="","",IFERROR(VLOOKUP(D150,CDP!A:C,3,0),""))</f>
        <v/>
      </c>
      <c r="F150" t="str">
        <f>IF(D150="","",IFERROR(VLOOKUP(D150,CDP!A:D,4,0),""))</f>
        <v/>
      </c>
      <c r="H150" t="str">
        <f>IF(G150="","",IFERROR(VLOOKUP(G150,TERCEROS!A:C,3,0),""))</f>
        <v/>
      </c>
      <c r="I150" s="35"/>
      <c r="L150" s="35" t="str">
        <f>IF(A150="","",SUMIF(OBLIGACION!C:C,A150,OBLIGACION!H:H))</f>
        <v/>
      </c>
      <c r="M150" s="35" t="str">
        <f t="shared" si="5"/>
        <v/>
      </c>
    </row>
    <row r="151" spans="2:13" x14ac:dyDescent="0.3">
      <c r="B151" s="36"/>
      <c r="C151" t="str">
        <f t="shared" si="4"/>
        <v/>
      </c>
      <c r="E151" t="str">
        <f>IF(D151="","",IFERROR(VLOOKUP(D151,CDP!A:C,3,0),""))</f>
        <v/>
      </c>
      <c r="F151" t="str">
        <f>IF(D151="","",IFERROR(VLOOKUP(D151,CDP!A:D,4,0),""))</f>
        <v/>
      </c>
      <c r="H151" t="str">
        <f>IF(G151="","",IFERROR(VLOOKUP(G151,TERCEROS!A:C,3,0),""))</f>
        <v/>
      </c>
      <c r="I151" s="35"/>
      <c r="L151" s="35" t="str">
        <f>IF(A151="","",SUMIF(OBLIGACION!C:C,A151,OBLIGACION!H:H))</f>
        <v/>
      </c>
      <c r="M151" s="35" t="str">
        <f t="shared" si="5"/>
        <v/>
      </c>
    </row>
    <row r="152" spans="2:13" x14ac:dyDescent="0.3">
      <c r="B152" s="36"/>
      <c r="C152" t="str">
        <f t="shared" si="4"/>
        <v/>
      </c>
      <c r="E152" t="str">
        <f>IF(D152="","",IFERROR(VLOOKUP(D152,CDP!A:C,3,0),""))</f>
        <v/>
      </c>
      <c r="F152" t="str">
        <f>IF(D152="","",IFERROR(VLOOKUP(D152,CDP!A:D,4,0),""))</f>
        <v/>
      </c>
      <c r="H152" t="str">
        <f>IF(G152="","",IFERROR(VLOOKUP(G152,TERCEROS!A:C,3,0),""))</f>
        <v/>
      </c>
      <c r="I152" s="35"/>
      <c r="L152" s="35" t="str">
        <f>IF(A152="","",SUMIF(OBLIGACION!C:C,A152,OBLIGACION!H:H))</f>
        <v/>
      </c>
      <c r="M152" s="35" t="str">
        <f t="shared" si="5"/>
        <v/>
      </c>
    </row>
    <row r="153" spans="2:13" x14ac:dyDescent="0.3">
      <c r="B153" s="36"/>
      <c r="C153" t="str">
        <f t="shared" si="4"/>
        <v/>
      </c>
      <c r="E153" t="str">
        <f>IF(D153="","",IFERROR(VLOOKUP(D153,CDP!A:C,3,0),""))</f>
        <v/>
      </c>
      <c r="F153" t="str">
        <f>IF(D153="","",IFERROR(VLOOKUP(D153,CDP!A:D,4,0),""))</f>
        <v/>
      </c>
      <c r="H153" t="str">
        <f>IF(G153="","",IFERROR(VLOOKUP(G153,TERCEROS!A:C,3,0),""))</f>
        <v/>
      </c>
      <c r="I153" s="35"/>
      <c r="L153" s="35" t="str">
        <f>IF(A153="","",SUMIF(OBLIGACION!C:C,A153,OBLIGACION!H:H))</f>
        <v/>
      </c>
      <c r="M153" s="35" t="str">
        <f t="shared" si="5"/>
        <v/>
      </c>
    </row>
    <row r="154" spans="2:13" x14ac:dyDescent="0.3">
      <c r="B154" s="36"/>
      <c r="C154" t="str">
        <f t="shared" si="4"/>
        <v/>
      </c>
      <c r="E154" t="str">
        <f>IF(D154="","",IFERROR(VLOOKUP(D154,CDP!A:C,3,0),""))</f>
        <v/>
      </c>
      <c r="F154" t="str">
        <f>IF(D154="","",IFERROR(VLOOKUP(D154,CDP!A:D,4,0),""))</f>
        <v/>
      </c>
      <c r="H154" t="str">
        <f>IF(G154="","",IFERROR(VLOOKUP(G154,TERCEROS!A:C,3,0),""))</f>
        <v/>
      </c>
      <c r="I154" s="35"/>
      <c r="L154" s="35" t="str">
        <f>IF(A154="","",SUMIF(OBLIGACION!C:C,A154,OBLIGACION!H:H))</f>
        <v/>
      </c>
      <c r="M154" s="35" t="str">
        <f t="shared" si="5"/>
        <v/>
      </c>
    </row>
    <row r="155" spans="2:13" x14ac:dyDescent="0.3">
      <c r="B155" s="36"/>
      <c r="C155" t="str">
        <f t="shared" si="4"/>
        <v/>
      </c>
      <c r="E155" t="str">
        <f>IF(D155="","",IFERROR(VLOOKUP(D155,CDP!A:C,3,0),""))</f>
        <v/>
      </c>
      <c r="F155" t="str">
        <f>IF(D155="","",IFERROR(VLOOKUP(D155,CDP!A:D,4,0),""))</f>
        <v/>
      </c>
      <c r="H155" t="str">
        <f>IF(G155="","",IFERROR(VLOOKUP(G155,TERCEROS!A:C,3,0),""))</f>
        <v/>
      </c>
      <c r="I155" s="35"/>
      <c r="L155" s="35" t="str">
        <f>IF(A155="","",SUMIF(OBLIGACION!C:C,A155,OBLIGACION!H:H))</f>
        <v/>
      </c>
      <c r="M155" s="35" t="str">
        <f t="shared" si="5"/>
        <v/>
      </c>
    </row>
    <row r="156" spans="2:13" x14ac:dyDescent="0.3">
      <c r="B156" s="36"/>
      <c r="C156" t="str">
        <f t="shared" si="4"/>
        <v/>
      </c>
      <c r="E156" t="str">
        <f>IF(D156="","",IFERROR(VLOOKUP(D156,CDP!A:C,3,0),""))</f>
        <v/>
      </c>
      <c r="F156" t="str">
        <f>IF(D156="","",IFERROR(VLOOKUP(D156,CDP!A:D,4,0),""))</f>
        <v/>
      </c>
      <c r="H156" t="str">
        <f>IF(G156="","",IFERROR(VLOOKUP(G156,TERCEROS!A:C,3,0),""))</f>
        <v/>
      </c>
      <c r="I156" s="35"/>
      <c r="L156" s="35" t="str">
        <f>IF(A156="","",SUMIF(OBLIGACION!C:C,A156,OBLIGACION!H:H))</f>
        <v/>
      </c>
      <c r="M156" s="35" t="str">
        <f t="shared" si="5"/>
        <v/>
      </c>
    </row>
    <row r="157" spans="2:13" x14ac:dyDescent="0.3">
      <c r="B157" s="36"/>
      <c r="C157" t="str">
        <f t="shared" si="4"/>
        <v/>
      </c>
      <c r="E157" t="str">
        <f>IF(D157="","",IFERROR(VLOOKUP(D157,CDP!A:C,3,0),""))</f>
        <v/>
      </c>
      <c r="F157" t="str">
        <f>IF(D157="","",IFERROR(VLOOKUP(D157,CDP!A:D,4,0),""))</f>
        <v/>
      </c>
      <c r="H157" t="str">
        <f>IF(G157="","",IFERROR(VLOOKUP(G157,TERCEROS!A:C,3,0),""))</f>
        <v/>
      </c>
      <c r="I157" s="35"/>
      <c r="L157" s="35" t="str">
        <f>IF(A157="","",SUMIF(OBLIGACION!C:C,A157,OBLIGACION!H:H))</f>
        <v/>
      </c>
      <c r="M157" s="35" t="str">
        <f t="shared" si="5"/>
        <v/>
      </c>
    </row>
    <row r="158" spans="2:13" x14ac:dyDescent="0.3">
      <c r="B158" s="36"/>
      <c r="C158" t="str">
        <f t="shared" si="4"/>
        <v/>
      </c>
      <c r="E158" t="str">
        <f>IF(D158="","",IFERROR(VLOOKUP(D158,CDP!A:C,3,0),""))</f>
        <v/>
      </c>
      <c r="F158" t="str">
        <f>IF(D158="","",IFERROR(VLOOKUP(D158,CDP!A:D,4,0),""))</f>
        <v/>
      </c>
      <c r="H158" t="str">
        <f>IF(G158="","",IFERROR(VLOOKUP(G158,TERCEROS!A:C,3,0),""))</f>
        <v/>
      </c>
      <c r="I158" s="35"/>
      <c r="L158" s="35" t="str">
        <f>IF(A158="","",SUMIF(OBLIGACION!C:C,A158,OBLIGACION!H:H))</f>
        <v/>
      </c>
      <c r="M158" s="35" t="str">
        <f t="shared" si="5"/>
        <v/>
      </c>
    </row>
    <row r="159" spans="2:13" x14ac:dyDescent="0.3">
      <c r="B159" s="36"/>
      <c r="C159" t="str">
        <f t="shared" si="4"/>
        <v/>
      </c>
      <c r="E159" t="str">
        <f>IF(D159="","",IFERROR(VLOOKUP(D159,CDP!A:C,3,0),""))</f>
        <v/>
      </c>
      <c r="F159" t="str">
        <f>IF(D159="","",IFERROR(VLOOKUP(D159,CDP!A:D,4,0),""))</f>
        <v/>
      </c>
      <c r="H159" t="str">
        <f>IF(G159="","",IFERROR(VLOOKUP(G159,TERCEROS!A:C,3,0),""))</f>
        <v/>
      </c>
      <c r="I159" s="35"/>
      <c r="L159" s="35" t="str">
        <f>IF(A159="","",SUMIF(OBLIGACION!C:C,A159,OBLIGACION!H:H))</f>
        <v/>
      </c>
      <c r="M159" s="35" t="str">
        <f t="shared" si="5"/>
        <v/>
      </c>
    </row>
    <row r="160" spans="2:13" x14ac:dyDescent="0.3">
      <c r="B160" s="36"/>
      <c r="C160" t="str">
        <f t="shared" si="4"/>
        <v/>
      </c>
      <c r="E160" t="str">
        <f>IF(D160="","",IFERROR(VLOOKUP(D160,CDP!A:C,3,0),""))</f>
        <v/>
      </c>
      <c r="F160" t="str">
        <f>IF(D160="","",IFERROR(VLOOKUP(D160,CDP!A:D,4,0),""))</f>
        <v/>
      </c>
      <c r="H160" t="str">
        <f>IF(G160="","",IFERROR(VLOOKUP(G160,TERCEROS!A:C,3,0),""))</f>
        <v/>
      </c>
      <c r="I160" s="35"/>
      <c r="L160" s="35" t="str">
        <f>IF(A160="","",SUMIF(OBLIGACION!C:C,A160,OBLIGACION!H:H))</f>
        <v/>
      </c>
      <c r="M160" s="35" t="str">
        <f t="shared" si="5"/>
        <v/>
      </c>
    </row>
    <row r="161" spans="2:13" x14ac:dyDescent="0.3">
      <c r="B161" s="36"/>
      <c r="C161" t="str">
        <f t="shared" si="4"/>
        <v/>
      </c>
      <c r="E161" t="str">
        <f>IF(D161="","",IFERROR(VLOOKUP(D161,CDP!A:C,3,0),""))</f>
        <v/>
      </c>
      <c r="F161" t="str">
        <f>IF(D161="","",IFERROR(VLOOKUP(D161,CDP!A:D,4,0),""))</f>
        <v/>
      </c>
      <c r="H161" t="str">
        <f>IF(G161="","",IFERROR(VLOOKUP(G161,TERCEROS!A:C,3,0),""))</f>
        <v/>
      </c>
      <c r="I161" s="35"/>
      <c r="L161" s="35" t="str">
        <f>IF(A161="","",SUMIF(OBLIGACION!C:C,A161,OBLIGACION!H:H))</f>
        <v/>
      </c>
      <c r="M161" s="35" t="str">
        <f t="shared" si="5"/>
        <v/>
      </c>
    </row>
    <row r="162" spans="2:13" x14ac:dyDescent="0.3">
      <c r="B162" s="36"/>
      <c r="C162" t="str">
        <f t="shared" si="4"/>
        <v/>
      </c>
      <c r="E162" t="str">
        <f>IF(D162="","",IFERROR(VLOOKUP(D162,CDP!A:C,3,0),""))</f>
        <v/>
      </c>
      <c r="F162" t="str">
        <f>IF(D162="","",IFERROR(VLOOKUP(D162,CDP!A:D,4,0),""))</f>
        <v/>
      </c>
      <c r="H162" t="str">
        <f>IF(G162="","",IFERROR(VLOOKUP(G162,TERCEROS!A:C,3,0),""))</f>
        <v/>
      </c>
      <c r="I162" s="35"/>
      <c r="L162" s="35" t="str">
        <f>IF(A162="","",SUMIF(OBLIGACION!C:C,A162,OBLIGACION!H:H))</f>
        <v/>
      </c>
      <c r="M162" s="35" t="str">
        <f t="shared" si="5"/>
        <v/>
      </c>
    </row>
    <row r="163" spans="2:13" x14ac:dyDescent="0.3">
      <c r="B163" s="36"/>
      <c r="C163" t="str">
        <f t="shared" si="4"/>
        <v/>
      </c>
      <c r="E163" t="str">
        <f>IF(D163="","",IFERROR(VLOOKUP(D163,CDP!A:C,3,0),""))</f>
        <v/>
      </c>
      <c r="F163" t="str">
        <f>IF(D163="","",IFERROR(VLOOKUP(D163,CDP!A:D,4,0),""))</f>
        <v/>
      </c>
      <c r="H163" t="str">
        <f>IF(G163="","",IFERROR(VLOOKUP(G163,TERCEROS!A:C,3,0),""))</f>
        <v/>
      </c>
      <c r="I163" s="35"/>
      <c r="L163" s="35" t="str">
        <f>IF(A163="","",SUMIF(OBLIGACION!C:C,A163,OBLIGACION!H:H))</f>
        <v/>
      </c>
      <c r="M163" s="35" t="str">
        <f t="shared" si="5"/>
        <v/>
      </c>
    </row>
    <row r="164" spans="2:13" x14ac:dyDescent="0.3">
      <c r="B164" s="36"/>
      <c r="C164" t="str">
        <f t="shared" si="4"/>
        <v/>
      </c>
      <c r="E164" t="str">
        <f>IF(D164="","",IFERROR(VLOOKUP(D164,CDP!A:C,3,0),""))</f>
        <v/>
      </c>
      <c r="F164" t="str">
        <f>IF(D164="","",IFERROR(VLOOKUP(D164,CDP!A:D,4,0),""))</f>
        <v/>
      </c>
      <c r="H164" t="str">
        <f>IF(G164="","",IFERROR(VLOOKUP(G164,TERCEROS!A:C,3,0),""))</f>
        <v/>
      </c>
      <c r="I164" s="35"/>
      <c r="L164" s="35" t="str">
        <f>IF(A164="","",SUMIF(OBLIGACION!C:C,A164,OBLIGACION!H:H))</f>
        <v/>
      </c>
      <c r="M164" s="35" t="str">
        <f t="shared" si="5"/>
        <v/>
      </c>
    </row>
    <row r="165" spans="2:13" x14ac:dyDescent="0.3">
      <c r="B165" s="36"/>
      <c r="C165" t="str">
        <f t="shared" si="4"/>
        <v/>
      </c>
      <c r="E165" t="str">
        <f>IF(D165="","",IFERROR(VLOOKUP(D165,CDP!A:C,3,0),""))</f>
        <v/>
      </c>
      <c r="F165" t="str">
        <f>IF(D165="","",IFERROR(VLOOKUP(D165,CDP!A:D,4,0),""))</f>
        <v/>
      </c>
      <c r="H165" t="str">
        <f>IF(G165="","",IFERROR(VLOOKUP(G165,TERCEROS!A:C,3,0),""))</f>
        <v/>
      </c>
      <c r="I165" s="35"/>
      <c r="L165" s="35" t="str">
        <f>IF(A165="","",SUMIF(OBLIGACION!C:C,A165,OBLIGACION!H:H))</f>
        <v/>
      </c>
      <c r="M165" s="35" t="str">
        <f t="shared" si="5"/>
        <v/>
      </c>
    </row>
    <row r="166" spans="2:13" x14ac:dyDescent="0.3">
      <c r="B166" s="36"/>
      <c r="C166" t="str">
        <f t="shared" si="4"/>
        <v/>
      </c>
      <c r="E166" t="str">
        <f>IF(D166="","",IFERROR(VLOOKUP(D166,CDP!A:C,3,0),""))</f>
        <v/>
      </c>
      <c r="F166" t="str">
        <f>IF(D166="","",IFERROR(VLOOKUP(D166,CDP!A:D,4,0),""))</f>
        <v/>
      </c>
      <c r="H166" t="str">
        <f>IF(G166="","",IFERROR(VLOOKUP(G166,TERCEROS!A:C,3,0),""))</f>
        <v/>
      </c>
      <c r="I166" s="35"/>
      <c r="L166" s="35" t="str">
        <f>IF(A166="","",SUMIF(OBLIGACION!C:C,A166,OBLIGACION!H:H))</f>
        <v/>
      </c>
      <c r="M166" s="35" t="str">
        <f t="shared" si="5"/>
        <v/>
      </c>
    </row>
    <row r="167" spans="2:13" x14ac:dyDescent="0.3">
      <c r="B167" s="36"/>
      <c r="C167" t="str">
        <f t="shared" si="4"/>
        <v/>
      </c>
      <c r="E167" t="str">
        <f>IF(D167="","",IFERROR(VLOOKUP(D167,CDP!A:C,3,0),""))</f>
        <v/>
      </c>
      <c r="F167" t="str">
        <f>IF(D167="","",IFERROR(VLOOKUP(D167,CDP!A:D,4,0),""))</f>
        <v/>
      </c>
      <c r="H167" t="str">
        <f>IF(G167="","",IFERROR(VLOOKUP(G167,TERCEROS!A:C,3,0),""))</f>
        <v/>
      </c>
      <c r="I167" s="35"/>
      <c r="L167" s="35" t="str">
        <f>IF(A167="","",SUMIF(OBLIGACION!C:C,A167,OBLIGACION!H:H))</f>
        <v/>
      </c>
      <c r="M167" s="35" t="str">
        <f t="shared" si="5"/>
        <v/>
      </c>
    </row>
    <row r="168" spans="2:13" x14ac:dyDescent="0.3">
      <c r="B168" s="36"/>
      <c r="C168" t="str">
        <f t="shared" si="4"/>
        <v/>
      </c>
      <c r="E168" t="str">
        <f>IF(D168="","",IFERROR(VLOOKUP(D168,CDP!A:C,3,0),""))</f>
        <v/>
      </c>
      <c r="F168" t="str">
        <f>IF(D168="","",IFERROR(VLOOKUP(D168,CDP!A:D,4,0),""))</f>
        <v/>
      </c>
      <c r="H168" t="str">
        <f>IF(G168="","",IFERROR(VLOOKUP(G168,TERCEROS!A:C,3,0),""))</f>
        <v/>
      </c>
      <c r="I168" s="35"/>
      <c r="L168" s="35" t="str">
        <f>IF(A168="","",SUMIF(OBLIGACION!C:C,A168,OBLIGACION!H:H))</f>
        <v/>
      </c>
      <c r="M168" s="35" t="str">
        <f t="shared" si="5"/>
        <v/>
      </c>
    </row>
    <row r="169" spans="2:13" x14ac:dyDescent="0.3">
      <c r="B169" s="36"/>
      <c r="C169" t="str">
        <f t="shared" si="4"/>
        <v/>
      </c>
      <c r="E169" t="str">
        <f>IF(D169="","",IFERROR(VLOOKUP(D169,CDP!A:C,3,0),""))</f>
        <v/>
      </c>
      <c r="F169" t="str">
        <f>IF(D169="","",IFERROR(VLOOKUP(D169,CDP!A:D,4,0),""))</f>
        <v/>
      </c>
      <c r="H169" t="str">
        <f>IF(G169="","",IFERROR(VLOOKUP(G169,TERCEROS!A:C,3,0),""))</f>
        <v/>
      </c>
      <c r="I169" s="35"/>
      <c r="L169" s="35" t="str">
        <f>IF(A169="","",SUMIF(OBLIGACION!C:C,A169,OBLIGACION!H:H))</f>
        <v/>
      </c>
      <c r="M169" s="35" t="str">
        <f t="shared" si="5"/>
        <v/>
      </c>
    </row>
    <row r="170" spans="2:13" x14ac:dyDescent="0.3">
      <c r="B170" s="36"/>
      <c r="C170" t="str">
        <f t="shared" si="4"/>
        <v/>
      </c>
      <c r="E170" t="str">
        <f>IF(D170="","",IFERROR(VLOOKUP(D170,CDP!A:C,3,0),""))</f>
        <v/>
      </c>
      <c r="F170" t="str">
        <f>IF(D170="","",IFERROR(VLOOKUP(D170,CDP!A:D,4,0),""))</f>
        <v/>
      </c>
      <c r="H170" t="str">
        <f>IF(G170="","",IFERROR(VLOOKUP(G170,TERCEROS!A:C,3,0),""))</f>
        <v/>
      </c>
      <c r="I170" s="35"/>
      <c r="L170" s="35" t="str">
        <f>IF(A170="","",SUMIF(OBLIGACION!C:C,A170,OBLIGACION!H:H))</f>
        <v/>
      </c>
      <c r="M170" s="35" t="str">
        <f t="shared" si="5"/>
        <v/>
      </c>
    </row>
    <row r="171" spans="2:13" x14ac:dyDescent="0.3">
      <c r="B171" s="36"/>
      <c r="C171" t="str">
        <f t="shared" si="4"/>
        <v/>
      </c>
      <c r="E171" t="str">
        <f>IF(D171="","",IFERROR(VLOOKUP(D171,CDP!A:C,3,0),""))</f>
        <v/>
      </c>
      <c r="F171" t="str">
        <f>IF(D171="","",IFERROR(VLOOKUP(D171,CDP!A:D,4,0),""))</f>
        <v/>
      </c>
      <c r="H171" t="str">
        <f>IF(G171="","",IFERROR(VLOOKUP(G171,TERCEROS!A:C,3,0),""))</f>
        <v/>
      </c>
      <c r="I171" s="35"/>
      <c r="L171" s="35" t="str">
        <f>IF(A171="","",SUMIF(OBLIGACION!C:C,A171,OBLIGACION!H:H))</f>
        <v/>
      </c>
      <c r="M171" s="35" t="str">
        <f t="shared" si="5"/>
        <v/>
      </c>
    </row>
    <row r="172" spans="2:13" x14ac:dyDescent="0.3">
      <c r="B172" s="36"/>
      <c r="C172" t="str">
        <f t="shared" si="4"/>
        <v/>
      </c>
      <c r="E172" t="str">
        <f>IF(D172="","",IFERROR(VLOOKUP(D172,CDP!A:C,3,0),""))</f>
        <v/>
      </c>
      <c r="F172" t="str">
        <f>IF(D172="","",IFERROR(VLOOKUP(D172,CDP!A:D,4,0),""))</f>
        <v/>
      </c>
      <c r="H172" t="str">
        <f>IF(G172="","",IFERROR(VLOOKUP(G172,TERCEROS!A:C,3,0),""))</f>
        <v/>
      </c>
      <c r="I172" s="35"/>
      <c r="L172" s="35" t="str">
        <f>IF(A172="","",SUMIF(OBLIGACION!C:C,A172,OBLIGACION!H:H))</f>
        <v/>
      </c>
      <c r="M172" s="35" t="str">
        <f t="shared" si="5"/>
        <v/>
      </c>
    </row>
    <row r="173" spans="2:13" x14ac:dyDescent="0.3">
      <c r="B173" s="36"/>
      <c r="C173" t="str">
        <f t="shared" si="4"/>
        <v/>
      </c>
      <c r="E173" t="str">
        <f>IF(D173="","",IFERROR(VLOOKUP(D173,CDP!A:C,3,0),""))</f>
        <v/>
      </c>
      <c r="F173" t="str">
        <f>IF(D173="","",IFERROR(VLOOKUP(D173,CDP!A:D,4,0),""))</f>
        <v/>
      </c>
      <c r="H173" t="str">
        <f>IF(G173="","",IFERROR(VLOOKUP(G173,TERCEROS!A:C,3,0),""))</f>
        <v/>
      </c>
      <c r="I173" s="35"/>
      <c r="L173" s="35" t="str">
        <f>IF(A173="","",SUMIF(OBLIGACION!C:C,A173,OBLIGACION!H:H))</f>
        <v/>
      </c>
      <c r="M173" s="35" t="str">
        <f t="shared" si="5"/>
        <v/>
      </c>
    </row>
    <row r="174" spans="2:13" x14ac:dyDescent="0.3">
      <c r="B174" s="36"/>
      <c r="C174" t="str">
        <f t="shared" si="4"/>
        <v/>
      </c>
      <c r="E174" t="str">
        <f>IF(D174="","",IFERROR(VLOOKUP(D174,CDP!A:C,3,0),""))</f>
        <v/>
      </c>
      <c r="F174" t="str">
        <f>IF(D174="","",IFERROR(VLOOKUP(D174,CDP!A:D,4,0),""))</f>
        <v/>
      </c>
      <c r="H174" t="str">
        <f>IF(G174="","",IFERROR(VLOOKUP(G174,TERCEROS!A:C,3,0),""))</f>
        <v/>
      </c>
      <c r="I174" s="35"/>
      <c r="L174" s="35" t="str">
        <f>IF(A174="","",SUMIF(OBLIGACION!C:C,A174,OBLIGACION!H:H))</f>
        <v/>
      </c>
      <c r="M174" s="35" t="str">
        <f t="shared" si="5"/>
        <v/>
      </c>
    </row>
    <row r="175" spans="2:13" x14ac:dyDescent="0.3">
      <c r="B175" s="36"/>
      <c r="C175" t="str">
        <f t="shared" si="4"/>
        <v/>
      </c>
      <c r="E175" t="str">
        <f>IF(D175="","",IFERROR(VLOOKUP(D175,CDP!A:C,3,0),""))</f>
        <v/>
      </c>
      <c r="F175" t="str">
        <f>IF(D175="","",IFERROR(VLOOKUP(D175,CDP!A:D,4,0),""))</f>
        <v/>
      </c>
      <c r="H175" t="str">
        <f>IF(G175="","",IFERROR(VLOOKUP(G175,TERCEROS!A:C,3,0),""))</f>
        <v/>
      </c>
      <c r="I175" s="35"/>
      <c r="L175" s="35" t="str">
        <f>IF(A175="","",SUMIF(OBLIGACION!C:C,A175,OBLIGACION!H:H))</f>
        <v/>
      </c>
      <c r="M175" s="35" t="str">
        <f t="shared" si="5"/>
        <v/>
      </c>
    </row>
    <row r="176" spans="2:13" x14ac:dyDescent="0.3">
      <c r="B176" s="36"/>
      <c r="C176" t="str">
        <f t="shared" si="4"/>
        <v/>
      </c>
      <c r="E176" t="str">
        <f>IF(D176="","",IFERROR(VLOOKUP(D176,CDP!A:C,3,0),""))</f>
        <v/>
      </c>
      <c r="F176" t="str">
        <f>IF(D176="","",IFERROR(VLOOKUP(D176,CDP!A:D,4,0),""))</f>
        <v/>
      </c>
      <c r="H176" t="str">
        <f>IF(G176="","",IFERROR(VLOOKUP(G176,TERCEROS!A:C,3,0),""))</f>
        <v/>
      </c>
      <c r="I176" s="35"/>
      <c r="L176" s="35" t="str">
        <f>IF(A176="","",SUMIF(OBLIGACION!C:C,A176,OBLIGACION!H:H))</f>
        <v/>
      </c>
      <c r="M176" s="35" t="str">
        <f t="shared" si="5"/>
        <v/>
      </c>
    </row>
    <row r="177" spans="2:13" x14ac:dyDescent="0.3">
      <c r="B177" s="36"/>
      <c r="C177" t="str">
        <f t="shared" si="4"/>
        <v/>
      </c>
      <c r="E177" t="str">
        <f>IF(D177="","",IFERROR(VLOOKUP(D177,CDP!A:C,3,0),""))</f>
        <v/>
      </c>
      <c r="F177" t="str">
        <f>IF(D177="","",IFERROR(VLOOKUP(D177,CDP!A:D,4,0),""))</f>
        <v/>
      </c>
      <c r="H177" t="str">
        <f>IF(G177="","",IFERROR(VLOOKUP(G177,TERCEROS!A:C,3,0),""))</f>
        <v/>
      </c>
      <c r="I177" s="35"/>
      <c r="L177" s="35" t="str">
        <f>IF(A177="","",SUMIF(OBLIGACION!C:C,A177,OBLIGACION!H:H))</f>
        <v/>
      </c>
      <c r="M177" s="35" t="str">
        <f t="shared" si="5"/>
        <v/>
      </c>
    </row>
    <row r="178" spans="2:13" x14ac:dyDescent="0.3">
      <c r="B178" s="36"/>
      <c r="C178" t="str">
        <f t="shared" si="4"/>
        <v/>
      </c>
      <c r="E178" t="str">
        <f>IF(D178="","",IFERROR(VLOOKUP(D178,CDP!A:C,3,0),""))</f>
        <v/>
      </c>
      <c r="F178" t="str">
        <f>IF(D178="","",IFERROR(VLOOKUP(D178,CDP!A:D,4,0),""))</f>
        <v/>
      </c>
      <c r="H178" t="str">
        <f>IF(G178="","",IFERROR(VLOOKUP(G178,TERCEROS!A:C,3,0),""))</f>
        <v/>
      </c>
      <c r="I178" s="35"/>
      <c r="L178" s="35" t="str">
        <f>IF(A178="","",SUMIF(OBLIGACION!C:C,A178,OBLIGACION!H:H))</f>
        <v/>
      </c>
      <c r="M178" s="35" t="str">
        <f t="shared" si="5"/>
        <v/>
      </c>
    </row>
    <row r="179" spans="2:13" x14ac:dyDescent="0.3">
      <c r="B179" s="36"/>
      <c r="C179" t="str">
        <f t="shared" si="4"/>
        <v/>
      </c>
      <c r="E179" t="str">
        <f>IF(D179="","",IFERROR(VLOOKUP(D179,CDP!A:C,3,0),""))</f>
        <v/>
      </c>
      <c r="F179" t="str">
        <f>IF(D179="","",IFERROR(VLOOKUP(D179,CDP!A:D,4,0),""))</f>
        <v/>
      </c>
      <c r="H179" t="str">
        <f>IF(G179="","",IFERROR(VLOOKUP(G179,TERCEROS!A:C,3,0),""))</f>
        <v/>
      </c>
      <c r="I179" s="35"/>
      <c r="L179" s="35" t="str">
        <f>IF(A179="","",SUMIF(OBLIGACION!C:C,A179,OBLIGACION!H:H))</f>
        <v/>
      </c>
      <c r="M179" s="35" t="str">
        <f t="shared" si="5"/>
        <v/>
      </c>
    </row>
    <row r="180" spans="2:13" x14ac:dyDescent="0.3">
      <c r="B180" s="36"/>
      <c r="C180" t="str">
        <f t="shared" si="4"/>
        <v/>
      </c>
      <c r="E180" t="str">
        <f>IF(D180="","",IFERROR(VLOOKUP(D180,CDP!A:C,3,0),""))</f>
        <v/>
      </c>
      <c r="F180" t="str">
        <f>IF(D180="","",IFERROR(VLOOKUP(D180,CDP!A:D,4,0),""))</f>
        <v/>
      </c>
      <c r="H180" t="str">
        <f>IF(G180="","",IFERROR(VLOOKUP(G180,TERCEROS!A:C,3,0),""))</f>
        <v/>
      </c>
      <c r="I180" s="35"/>
      <c r="L180" s="35" t="str">
        <f>IF(A180="","",SUMIF(OBLIGACION!C:C,A180,OBLIGACION!H:H))</f>
        <v/>
      </c>
      <c r="M180" s="35" t="str">
        <f t="shared" si="5"/>
        <v/>
      </c>
    </row>
    <row r="181" spans="2:13" x14ac:dyDescent="0.3">
      <c r="B181" s="36"/>
      <c r="C181" t="str">
        <f t="shared" si="4"/>
        <v/>
      </c>
      <c r="E181" t="str">
        <f>IF(D181="","",IFERROR(VLOOKUP(D181,CDP!A:C,3,0),""))</f>
        <v/>
      </c>
      <c r="F181" t="str">
        <f>IF(D181="","",IFERROR(VLOOKUP(D181,CDP!A:D,4,0),""))</f>
        <v/>
      </c>
      <c r="H181" t="str">
        <f>IF(G181="","",IFERROR(VLOOKUP(G181,TERCEROS!A:C,3,0),""))</f>
        <v/>
      </c>
      <c r="I181" s="35"/>
      <c r="L181" s="35" t="str">
        <f>IF(A181="","",SUMIF(OBLIGACION!C:C,A181,OBLIGACION!H:H))</f>
        <v/>
      </c>
      <c r="M181" s="35" t="str">
        <f t="shared" si="5"/>
        <v/>
      </c>
    </row>
    <row r="182" spans="2:13" x14ac:dyDescent="0.3">
      <c r="B182" s="36"/>
      <c r="C182" t="str">
        <f t="shared" si="4"/>
        <v/>
      </c>
      <c r="E182" t="str">
        <f>IF(D182="","",IFERROR(VLOOKUP(D182,CDP!A:C,3,0),""))</f>
        <v/>
      </c>
      <c r="F182" t="str">
        <f>IF(D182="","",IFERROR(VLOOKUP(D182,CDP!A:D,4,0),""))</f>
        <v/>
      </c>
      <c r="H182" t="str">
        <f>IF(G182="","",IFERROR(VLOOKUP(G182,TERCEROS!A:C,3,0),""))</f>
        <v/>
      </c>
      <c r="I182" s="35"/>
      <c r="L182" s="35" t="str">
        <f>IF(A182="","",SUMIF(OBLIGACION!C:C,A182,OBLIGACION!H:H))</f>
        <v/>
      </c>
      <c r="M182" s="35" t="str">
        <f t="shared" si="5"/>
        <v/>
      </c>
    </row>
    <row r="183" spans="2:13" x14ac:dyDescent="0.3">
      <c r="B183" s="36"/>
      <c r="C183" t="str">
        <f t="shared" si="4"/>
        <v/>
      </c>
      <c r="E183" t="str">
        <f>IF(D183="","",IFERROR(VLOOKUP(D183,CDP!A:C,3,0),""))</f>
        <v/>
      </c>
      <c r="F183" t="str">
        <f>IF(D183="","",IFERROR(VLOOKUP(D183,CDP!A:D,4,0),""))</f>
        <v/>
      </c>
      <c r="H183" t="str">
        <f>IF(G183="","",IFERROR(VLOOKUP(G183,TERCEROS!A:C,3,0),""))</f>
        <v/>
      </c>
      <c r="I183" s="35"/>
      <c r="L183" s="35" t="str">
        <f>IF(A183="","",SUMIF(OBLIGACION!C:C,A183,OBLIGACION!H:H))</f>
        <v/>
      </c>
      <c r="M183" s="35" t="str">
        <f t="shared" si="5"/>
        <v/>
      </c>
    </row>
    <row r="184" spans="2:13" x14ac:dyDescent="0.3">
      <c r="B184" s="36"/>
      <c r="C184" t="str">
        <f t="shared" si="4"/>
        <v/>
      </c>
      <c r="E184" t="str">
        <f>IF(D184="","",IFERROR(VLOOKUP(D184,CDP!A:C,3,0),""))</f>
        <v/>
      </c>
      <c r="F184" t="str">
        <f>IF(D184="","",IFERROR(VLOOKUP(D184,CDP!A:D,4,0),""))</f>
        <v/>
      </c>
      <c r="H184" t="str">
        <f>IF(G184="","",IFERROR(VLOOKUP(G184,TERCEROS!A:C,3,0),""))</f>
        <v/>
      </c>
      <c r="I184" s="35"/>
      <c r="L184" s="35" t="str">
        <f>IF(A184="","",SUMIF(OBLIGACION!C:C,A184,OBLIGACION!H:H))</f>
        <v/>
      </c>
      <c r="M184" s="35" t="str">
        <f t="shared" si="5"/>
        <v/>
      </c>
    </row>
    <row r="185" spans="2:13" x14ac:dyDescent="0.3">
      <c r="B185" s="36"/>
      <c r="C185" t="str">
        <f t="shared" si="4"/>
        <v/>
      </c>
      <c r="E185" t="str">
        <f>IF(D185="","",IFERROR(VLOOKUP(D185,CDP!A:C,3,0),""))</f>
        <v/>
      </c>
      <c r="F185" t="str">
        <f>IF(D185="","",IFERROR(VLOOKUP(D185,CDP!A:D,4,0),""))</f>
        <v/>
      </c>
      <c r="H185" t="str">
        <f>IF(G185="","",IFERROR(VLOOKUP(G185,TERCEROS!A:C,3,0),""))</f>
        <v/>
      </c>
      <c r="I185" s="35"/>
      <c r="L185" s="35" t="str">
        <f>IF(A185="","",SUMIF(OBLIGACION!C:C,A185,OBLIGACION!H:H))</f>
        <v/>
      </c>
      <c r="M185" s="35" t="str">
        <f t="shared" si="5"/>
        <v/>
      </c>
    </row>
    <row r="186" spans="2:13" x14ac:dyDescent="0.3">
      <c r="B186" s="36"/>
      <c r="C186" t="str">
        <f t="shared" si="4"/>
        <v/>
      </c>
      <c r="E186" t="str">
        <f>IF(D186="","",IFERROR(VLOOKUP(D186,CDP!A:C,3,0),""))</f>
        <v/>
      </c>
      <c r="F186" t="str">
        <f>IF(D186="","",IFERROR(VLOOKUP(D186,CDP!A:D,4,0),""))</f>
        <v/>
      </c>
      <c r="H186" t="str">
        <f>IF(G186="","",IFERROR(VLOOKUP(G186,TERCEROS!A:C,3,0),""))</f>
        <v/>
      </c>
      <c r="I186" s="35"/>
      <c r="L186" s="35" t="str">
        <f>IF(A186="","",SUMIF(OBLIGACION!C:C,A186,OBLIGACION!H:H))</f>
        <v/>
      </c>
      <c r="M186" s="35" t="str">
        <f t="shared" si="5"/>
        <v/>
      </c>
    </row>
    <row r="187" spans="2:13" x14ac:dyDescent="0.3">
      <c r="B187" s="36"/>
      <c r="C187" t="str">
        <f t="shared" si="4"/>
        <v/>
      </c>
      <c r="E187" t="str">
        <f>IF(D187="","",IFERROR(VLOOKUP(D187,CDP!A:C,3,0),""))</f>
        <v/>
      </c>
      <c r="F187" t="str">
        <f>IF(D187="","",IFERROR(VLOOKUP(D187,CDP!A:D,4,0),""))</f>
        <v/>
      </c>
      <c r="H187" t="str">
        <f>IF(G187="","",IFERROR(VLOOKUP(G187,TERCEROS!A:C,3,0),""))</f>
        <v/>
      </c>
      <c r="I187" s="35"/>
      <c r="L187" s="35" t="str">
        <f>IF(A187="","",SUMIF(OBLIGACION!C:C,A187,OBLIGACION!H:H))</f>
        <v/>
      </c>
      <c r="M187" s="35" t="str">
        <f t="shared" si="5"/>
        <v/>
      </c>
    </row>
    <row r="188" spans="2:13" x14ac:dyDescent="0.3">
      <c r="B188" s="36"/>
      <c r="C188" t="str">
        <f t="shared" si="4"/>
        <v/>
      </c>
      <c r="E188" t="str">
        <f>IF(D188="","",IFERROR(VLOOKUP(D188,CDP!A:C,3,0),""))</f>
        <v/>
      </c>
      <c r="F188" t="str">
        <f>IF(D188="","",IFERROR(VLOOKUP(D188,CDP!A:D,4,0),""))</f>
        <v/>
      </c>
      <c r="H188" t="str">
        <f>IF(G188="","",IFERROR(VLOOKUP(G188,TERCEROS!A:C,3,0),""))</f>
        <v/>
      </c>
      <c r="I188" s="35"/>
      <c r="L188" s="35" t="str">
        <f>IF(A188="","",SUMIF(OBLIGACION!C:C,A188,OBLIGACION!H:H))</f>
        <v/>
      </c>
      <c r="M188" s="35" t="str">
        <f t="shared" si="5"/>
        <v/>
      </c>
    </row>
    <row r="189" spans="2:13" x14ac:dyDescent="0.3">
      <c r="B189" s="36"/>
      <c r="C189" t="str">
        <f t="shared" si="4"/>
        <v/>
      </c>
      <c r="E189" t="str">
        <f>IF(D189="","",IFERROR(VLOOKUP(D189,CDP!A:C,3,0),""))</f>
        <v/>
      </c>
      <c r="F189" t="str">
        <f>IF(D189="","",IFERROR(VLOOKUP(D189,CDP!A:D,4,0),""))</f>
        <v/>
      </c>
      <c r="H189" t="str">
        <f>IF(G189="","",IFERROR(VLOOKUP(G189,TERCEROS!A:C,3,0),""))</f>
        <v/>
      </c>
      <c r="I189" s="35"/>
      <c r="L189" s="35" t="str">
        <f>IF(A189="","",SUMIF(OBLIGACION!C:C,A189,OBLIGACION!H:H))</f>
        <v/>
      </c>
      <c r="M189" s="35" t="str">
        <f t="shared" si="5"/>
        <v/>
      </c>
    </row>
    <row r="190" spans="2:13" x14ac:dyDescent="0.3">
      <c r="B190" s="36"/>
      <c r="C190" t="str">
        <f t="shared" si="4"/>
        <v/>
      </c>
      <c r="E190" t="str">
        <f>IF(D190="","",IFERROR(VLOOKUP(D190,CDP!A:C,3,0),""))</f>
        <v/>
      </c>
      <c r="F190" t="str">
        <f>IF(D190="","",IFERROR(VLOOKUP(D190,CDP!A:D,4,0),""))</f>
        <v/>
      </c>
      <c r="H190" t="str">
        <f>IF(G190="","",IFERROR(VLOOKUP(G190,TERCEROS!A:C,3,0),""))</f>
        <v/>
      </c>
      <c r="I190" s="35"/>
      <c r="L190" s="35" t="str">
        <f>IF(A190="","",SUMIF(OBLIGACION!C:C,A190,OBLIGACION!H:H))</f>
        <v/>
      </c>
      <c r="M190" s="35" t="str">
        <f t="shared" si="5"/>
        <v/>
      </c>
    </row>
    <row r="191" spans="2:13" x14ac:dyDescent="0.3">
      <c r="B191" s="36"/>
      <c r="C191" t="str">
        <f t="shared" si="4"/>
        <v/>
      </c>
      <c r="E191" t="str">
        <f>IF(D191="","",IFERROR(VLOOKUP(D191,CDP!A:C,3,0),""))</f>
        <v/>
      </c>
      <c r="F191" t="str">
        <f>IF(D191="","",IFERROR(VLOOKUP(D191,CDP!A:D,4,0),""))</f>
        <v/>
      </c>
      <c r="H191" t="str">
        <f>IF(G191="","",IFERROR(VLOOKUP(G191,TERCEROS!A:C,3,0),""))</f>
        <v/>
      </c>
      <c r="I191" s="35"/>
      <c r="L191" s="35" t="str">
        <f>IF(A191="","",SUMIF(OBLIGACION!C:C,A191,OBLIGACION!H:H))</f>
        <v/>
      </c>
      <c r="M191" s="35" t="str">
        <f t="shared" si="5"/>
        <v/>
      </c>
    </row>
    <row r="192" spans="2:13" x14ac:dyDescent="0.3">
      <c r="B192" s="36"/>
      <c r="C192" t="str">
        <f t="shared" si="4"/>
        <v/>
      </c>
      <c r="E192" t="str">
        <f>IF(D192="","",IFERROR(VLOOKUP(D192,CDP!A:C,3,0),""))</f>
        <v/>
      </c>
      <c r="F192" t="str">
        <f>IF(D192="","",IFERROR(VLOOKUP(D192,CDP!A:D,4,0),""))</f>
        <v/>
      </c>
      <c r="H192" t="str">
        <f>IF(G192="","",IFERROR(VLOOKUP(G192,TERCEROS!A:C,3,0),""))</f>
        <v/>
      </c>
      <c r="I192" s="35"/>
      <c r="L192" s="35" t="str">
        <f>IF(A192="","",SUMIF(OBLIGACION!C:C,A192,OBLIGACION!H:H))</f>
        <v/>
      </c>
      <c r="M192" s="35" t="str">
        <f t="shared" si="5"/>
        <v/>
      </c>
    </row>
    <row r="193" spans="2:13" x14ac:dyDescent="0.3">
      <c r="B193" s="36"/>
      <c r="C193" t="str">
        <f t="shared" si="4"/>
        <v/>
      </c>
      <c r="E193" t="str">
        <f>IF(D193="","",IFERROR(VLOOKUP(D193,CDP!A:C,3,0),""))</f>
        <v/>
      </c>
      <c r="F193" t="str">
        <f>IF(D193="","",IFERROR(VLOOKUP(D193,CDP!A:D,4,0),""))</f>
        <v/>
      </c>
      <c r="H193" t="str">
        <f>IF(G193="","",IFERROR(VLOOKUP(G193,TERCEROS!A:C,3,0),""))</f>
        <v/>
      </c>
      <c r="I193" s="35"/>
      <c r="L193" s="35" t="str">
        <f>IF(A193="","",SUMIF(OBLIGACION!C:C,A193,OBLIGACION!H:H))</f>
        <v/>
      </c>
      <c r="M193" s="35" t="str">
        <f t="shared" si="5"/>
        <v/>
      </c>
    </row>
    <row r="194" spans="2:13" x14ac:dyDescent="0.3">
      <c r="B194" s="36"/>
      <c r="C194" t="str">
        <f t="shared" ref="C194:C257" si="6">IF(B194="","",MONTH(B194))</f>
        <v/>
      </c>
      <c r="E194" t="str">
        <f>IF(D194="","",IFERROR(VLOOKUP(D194,CDP!A:C,3,0),""))</f>
        <v/>
      </c>
      <c r="F194" t="str">
        <f>IF(D194="","",IFERROR(VLOOKUP(D194,CDP!A:D,4,0),""))</f>
        <v/>
      </c>
      <c r="H194" t="str">
        <f>IF(G194="","",IFERROR(VLOOKUP(G194,TERCEROS!A:C,3,0),""))</f>
        <v/>
      </c>
      <c r="I194" s="35"/>
      <c r="L194" s="35" t="str">
        <f>IF(A194="","",SUMIF(OBLIGACION!C:C,A194,OBLIGACION!H:H))</f>
        <v/>
      </c>
      <c r="M194" s="35" t="str">
        <f t="shared" ref="M194:M257" si="7">IF(A194="","",I194-L194)</f>
        <v/>
      </c>
    </row>
    <row r="195" spans="2:13" x14ac:dyDescent="0.3">
      <c r="B195" s="36"/>
      <c r="C195" t="str">
        <f t="shared" si="6"/>
        <v/>
      </c>
      <c r="E195" t="str">
        <f>IF(D195="","",IFERROR(VLOOKUP(D195,CDP!A:C,3,0),""))</f>
        <v/>
      </c>
      <c r="F195" t="str">
        <f>IF(D195="","",IFERROR(VLOOKUP(D195,CDP!A:D,4,0),""))</f>
        <v/>
      </c>
      <c r="H195" t="str">
        <f>IF(G195="","",IFERROR(VLOOKUP(G195,TERCEROS!A:C,3,0),""))</f>
        <v/>
      </c>
      <c r="I195" s="35"/>
      <c r="L195" s="35" t="str">
        <f>IF(A195="","",SUMIF(OBLIGACION!C:C,A195,OBLIGACION!H:H))</f>
        <v/>
      </c>
      <c r="M195" s="35" t="str">
        <f t="shared" si="7"/>
        <v/>
      </c>
    </row>
    <row r="196" spans="2:13" x14ac:dyDescent="0.3">
      <c r="B196" s="36"/>
      <c r="C196" t="str">
        <f t="shared" si="6"/>
        <v/>
      </c>
      <c r="E196" t="str">
        <f>IF(D196="","",IFERROR(VLOOKUP(D196,CDP!A:C,3,0),""))</f>
        <v/>
      </c>
      <c r="F196" t="str">
        <f>IF(D196="","",IFERROR(VLOOKUP(D196,CDP!A:D,4,0),""))</f>
        <v/>
      </c>
      <c r="H196" t="str">
        <f>IF(G196="","",IFERROR(VLOOKUP(G196,TERCEROS!A:C,3,0),""))</f>
        <v/>
      </c>
      <c r="I196" s="35"/>
      <c r="L196" s="35" t="str">
        <f>IF(A196="","",SUMIF(OBLIGACION!C:C,A196,OBLIGACION!H:H))</f>
        <v/>
      </c>
      <c r="M196" s="35" t="str">
        <f t="shared" si="7"/>
        <v/>
      </c>
    </row>
    <row r="197" spans="2:13" x14ac:dyDescent="0.3">
      <c r="B197" s="36"/>
      <c r="C197" t="str">
        <f t="shared" si="6"/>
        <v/>
      </c>
      <c r="E197" t="str">
        <f>IF(D197="","",IFERROR(VLOOKUP(D197,CDP!A:C,3,0),""))</f>
        <v/>
      </c>
      <c r="F197" t="str">
        <f>IF(D197="","",IFERROR(VLOOKUP(D197,CDP!A:D,4,0),""))</f>
        <v/>
      </c>
      <c r="H197" t="str">
        <f>IF(G197="","",IFERROR(VLOOKUP(G197,TERCEROS!A:C,3,0),""))</f>
        <v/>
      </c>
      <c r="I197" s="35"/>
      <c r="L197" s="35" t="str">
        <f>IF(A197="","",SUMIF(OBLIGACION!C:C,A197,OBLIGACION!H:H))</f>
        <v/>
      </c>
      <c r="M197" s="35" t="str">
        <f t="shared" si="7"/>
        <v/>
      </c>
    </row>
    <row r="198" spans="2:13" x14ac:dyDescent="0.3">
      <c r="B198" s="36"/>
      <c r="C198" t="str">
        <f t="shared" si="6"/>
        <v/>
      </c>
      <c r="E198" t="str">
        <f>IF(D198="","",IFERROR(VLOOKUP(D198,CDP!A:C,3,0),""))</f>
        <v/>
      </c>
      <c r="F198" t="str">
        <f>IF(D198="","",IFERROR(VLOOKUP(D198,CDP!A:D,4,0),""))</f>
        <v/>
      </c>
      <c r="H198" t="str">
        <f>IF(G198="","",IFERROR(VLOOKUP(G198,TERCEROS!A:C,3,0),""))</f>
        <v/>
      </c>
      <c r="I198" s="35"/>
      <c r="L198" s="35" t="str">
        <f>IF(A198="","",SUMIF(OBLIGACION!C:C,A198,OBLIGACION!H:H))</f>
        <v/>
      </c>
      <c r="M198" s="35" t="str">
        <f t="shared" si="7"/>
        <v/>
      </c>
    </row>
    <row r="199" spans="2:13" x14ac:dyDescent="0.3">
      <c r="B199" s="36"/>
      <c r="C199" t="str">
        <f t="shared" si="6"/>
        <v/>
      </c>
      <c r="E199" t="str">
        <f>IF(D199="","",IFERROR(VLOOKUP(D199,CDP!A:C,3,0),""))</f>
        <v/>
      </c>
      <c r="F199" t="str">
        <f>IF(D199="","",IFERROR(VLOOKUP(D199,CDP!A:D,4,0),""))</f>
        <v/>
      </c>
      <c r="H199" t="str">
        <f>IF(G199="","",IFERROR(VLOOKUP(G199,TERCEROS!A:C,3,0),""))</f>
        <v/>
      </c>
      <c r="I199" s="35"/>
      <c r="L199" s="35" t="str">
        <f>IF(A199="","",SUMIF(OBLIGACION!C:C,A199,OBLIGACION!H:H))</f>
        <v/>
      </c>
      <c r="M199" s="35" t="str">
        <f t="shared" si="7"/>
        <v/>
      </c>
    </row>
    <row r="200" spans="2:13" x14ac:dyDescent="0.3">
      <c r="B200" s="36"/>
      <c r="C200" t="str">
        <f t="shared" si="6"/>
        <v/>
      </c>
      <c r="E200" t="str">
        <f>IF(D200="","",IFERROR(VLOOKUP(D200,CDP!A:C,3,0),""))</f>
        <v/>
      </c>
      <c r="F200" t="str">
        <f>IF(D200="","",IFERROR(VLOOKUP(D200,CDP!A:D,4,0),""))</f>
        <v/>
      </c>
      <c r="H200" t="str">
        <f>IF(G200="","",IFERROR(VLOOKUP(G200,TERCEROS!A:C,3,0),""))</f>
        <v/>
      </c>
      <c r="I200" s="35"/>
      <c r="L200" s="35" t="str">
        <f>IF(A200="","",SUMIF(OBLIGACION!C:C,A200,OBLIGACION!H:H))</f>
        <v/>
      </c>
      <c r="M200" s="35" t="str">
        <f t="shared" si="7"/>
        <v/>
      </c>
    </row>
    <row r="201" spans="2:13" x14ac:dyDescent="0.3">
      <c r="B201" s="36"/>
      <c r="C201" t="str">
        <f t="shared" si="6"/>
        <v/>
      </c>
      <c r="E201" t="str">
        <f>IF(D201="","",IFERROR(VLOOKUP(D201,CDP!A:C,3,0),""))</f>
        <v/>
      </c>
      <c r="F201" t="str">
        <f>IF(D201="","",IFERROR(VLOOKUP(D201,CDP!A:D,4,0),""))</f>
        <v/>
      </c>
      <c r="H201" t="str">
        <f>IF(G201="","",IFERROR(VLOOKUP(G201,TERCEROS!A:C,3,0),""))</f>
        <v/>
      </c>
      <c r="I201" s="35"/>
      <c r="L201" s="35" t="str">
        <f>IF(A201="","",SUMIF(OBLIGACION!C:C,A201,OBLIGACION!H:H))</f>
        <v/>
      </c>
      <c r="M201" s="35" t="str">
        <f t="shared" si="7"/>
        <v/>
      </c>
    </row>
    <row r="202" spans="2:13" x14ac:dyDescent="0.3">
      <c r="B202" s="36"/>
      <c r="C202" t="str">
        <f t="shared" si="6"/>
        <v/>
      </c>
      <c r="E202" t="str">
        <f>IF(D202="","",IFERROR(VLOOKUP(D202,CDP!A:C,3,0),""))</f>
        <v/>
      </c>
      <c r="F202" t="str">
        <f>IF(D202="","",IFERROR(VLOOKUP(D202,CDP!A:D,4,0),""))</f>
        <v/>
      </c>
      <c r="H202" t="str">
        <f>IF(G202="","",IFERROR(VLOOKUP(G202,TERCEROS!A:C,3,0),""))</f>
        <v/>
      </c>
      <c r="I202" s="35"/>
      <c r="L202" s="35" t="str">
        <f>IF(A202="","",SUMIF(OBLIGACION!C:C,A202,OBLIGACION!H:H))</f>
        <v/>
      </c>
      <c r="M202" s="35" t="str">
        <f t="shared" si="7"/>
        <v/>
      </c>
    </row>
    <row r="203" spans="2:13" x14ac:dyDescent="0.3">
      <c r="B203" s="36"/>
      <c r="C203" t="str">
        <f t="shared" si="6"/>
        <v/>
      </c>
      <c r="E203" t="str">
        <f>IF(D203="","",IFERROR(VLOOKUP(D203,CDP!A:C,3,0),""))</f>
        <v/>
      </c>
      <c r="F203" t="str">
        <f>IF(D203="","",IFERROR(VLOOKUP(D203,CDP!A:D,4,0),""))</f>
        <v/>
      </c>
      <c r="H203" t="str">
        <f>IF(G203="","",IFERROR(VLOOKUP(G203,TERCEROS!A:C,3,0),""))</f>
        <v/>
      </c>
      <c r="I203" s="35"/>
      <c r="L203" s="35" t="str">
        <f>IF(A203="","",SUMIF(OBLIGACION!C:C,A203,OBLIGACION!H:H))</f>
        <v/>
      </c>
      <c r="M203" s="35" t="str">
        <f t="shared" si="7"/>
        <v/>
      </c>
    </row>
    <row r="204" spans="2:13" x14ac:dyDescent="0.3">
      <c r="B204" s="36"/>
      <c r="C204" t="str">
        <f t="shared" si="6"/>
        <v/>
      </c>
      <c r="E204" t="str">
        <f>IF(D204="","",IFERROR(VLOOKUP(D204,CDP!A:C,3,0),""))</f>
        <v/>
      </c>
      <c r="F204" t="str">
        <f>IF(D204="","",IFERROR(VLOOKUP(D204,CDP!A:D,4,0),""))</f>
        <v/>
      </c>
      <c r="H204" t="str">
        <f>IF(G204="","",IFERROR(VLOOKUP(G204,TERCEROS!A:C,3,0),""))</f>
        <v/>
      </c>
      <c r="I204" s="35"/>
      <c r="L204" s="35" t="str">
        <f>IF(A204="","",SUMIF(OBLIGACION!C:C,A204,OBLIGACION!H:H))</f>
        <v/>
      </c>
      <c r="M204" s="35" t="str">
        <f t="shared" si="7"/>
        <v/>
      </c>
    </row>
    <row r="205" spans="2:13" x14ac:dyDescent="0.3">
      <c r="B205" s="36"/>
      <c r="C205" t="str">
        <f t="shared" si="6"/>
        <v/>
      </c>
      <c r="E205" t="str">
        <f>IF(D205="","",IFERROR(VLOOKUP(D205,CDP!A:C,3,0),""))</f>
        <v/>
      </c>
      <c r="F205" t="str">
        <f>IF(D205="","",IFERROR(VLOOKUP(D205,CDP!A:D,4,0),""))</f>
        <v/>
      </c>
      <c r="H205" t="str">
        <f>IF(G205="","",IFERROR(VLOOKUP(G205,TERCEROS!A:C,3,0),""))</f>
        <v/>
      </c>
      <c r="I205" s="35"/>
      <c r="L205" s="35" t="str">
        <f>IF(A205="","",SUMIF(OBLIGACION!C:C,A205,OBLIGACION!H:H))</f>
        <v/>
      </c>
      <c r="M205" s="35" t="str">
        <f t="shared" si="7"/>
        <v/>
      </c>
    </row>
    <row r="206" spans="2:13" x14ac:dyDescent="0.3">
      <c r="B206" s="36"/>
      <c r="C206" t="str">
        <f t="shared" si="6"/>
        <v/>
      </c>
      <c r="E206" t="str">
        <f>IF(D206="","",IFERROR(VLOOKUP(D206,CDP!A:C,3,0),""))</f>
        <v/>
      </c>
      <c r="F206" t="str">
        <f>IF(D206="","",IFERROR(VLOOKUP(D206,CDP!A:D,4,0),""))</f>
        <v/>
      </c>
      <c r="H206" t="str">
        <f>IF(G206="","",IFERROR(VLOOKUP(G206,TERCEROS!A:C,3,0),""))</f>
        <v/>
      </c>
      <c r="I206" s="35"/>
      <c r="L206" s="35" t="str">
        <f>IF(A206="","",SUMIF(OBLIGACION!C:C,A206,OBLIGACION!H:H))</f>
        <v/>
      </c>
      <c r="M206" s="35" t="str">
        <f t="shared" si="7"/>
        <v/>
      </c>
    </row>
    <row r="207" spans="2:13" x14ac:dyDescent="0.3">
      <c r="B207" s="36"/>
      <c r="C207" t="str">
        <f t="shared" si="6"/>
        <v/>
      </c>
      <c r="E207" t="str">
        <f>IF(D207="","",IFERROR(VLOOKUP(D207,CDP!A:C,3,0),""))</f>
        <v/>
      </c>
      <c r="F207" t="str">
        <f>IF(D207="","",IFERROR(VLOOKUP(D207,CDP!A:D,4,0),""))</f>
        <v/>
      </c>
      <c r="H207" t="str">
        <f>IF(G207="","",IFERROR(VLOOKUP(G207,TERCEROS!A:C,3,0),""))</f>
        <v/>
      </c>
      <c r="I207" s="35"/>
      <c r="L207" s="35" t="str">
        <f>IF(A207="","",SUMIF(OBLIGACION!C:C,A207,OBLIGACION!H:H))</f>
        <v/>
      </c>
      <c r="M207" s="35" t="str">
        <f t="shared" si="7"/>
        <v/>
      </c>
    </row>
    <row r="208" spans="2:13" x14ac:dyDescent="0.3">
      <c r="B208" s="36"/>
      <c r="C208" t="str">
        <f t="shared" si="6"/>
        <v/>
      </c>
      <c r="E208" t="str">
        <f>IF(D208="","",IFERROR(VLOOKUP(D208,CDP!A:C,3,0),""))</f>
        <v/>
      </c>
      <c r="F208" t="str">
        <f>IF(D208="","",IFERROR(VLOOKUP(D208,CDP!A:D,4,0),""))</f>
        <v/>
      </c>
      <c r="H208" t="str">
        <f>IF(G208="","",IFERROR(VLOOKUP(G208,TERCEROS!A:C,3,0),""))</f>
        <v/>
      </c>
      <c r="I208" s="35"/>
      <c r="L208" s="35" t="str">
        <f>IF(A208="","",SUMIF(OBLIGACION!C:C,A208,OBLIGACION!H:H))</f>
        <v/>
      </c>
      <c r="M208" s="35" t="str">
        <f t="shared" si="7"/>
        <v/>
      </c>
    </row>
    <row r="209" spans="2:13" x14ac:dyDescent="0.3">
      <c r="B209" s="36"/>
      <c r="C209" t="str">
        <f t="shared" si="6"/>
        <v/>
      </c>
      <c r="E209" t="str">
        <f>IF(D209="","",IFERROR(VLOOKUP(D209,CDP!A:C,3,0),""))</f>
        <v/>
      </c>
      <c r="F209" t="str">
        <f>IF(D209="","",IFERROR(VLOOKUP(D209,CDP!A:D,4,0),""))</f>
        <v/>
      </c>
      <c r="H209" t="str">
        <f>IF(G209="","",IFERROR(VLOOKUP(G209,TERCEROS!A:C,3,0),""))</f>
        <v/>
      </c>
      <c r="I209" s="35"/>
      <c r="L209" s="35" t="str">
        <f>IF(A209="","",SUMIF(OBLIGACION!C:C,A209,OBLIGACION!H:H))</f>
        <v/>
      </c>
      <c r="M209" s="35" t="str">
        <f t="shared" si="7"/>
        <v/>
      </c>
    </row>
    <row r="210" spans="2:13" x14ac:dyDescent="0.3">
      <c r="B210" s="36"/>
      <c r="C210" t="str">
        <f t="shared" si="6"/>
        <v/>
      </c>
      <c r="E210" t="str">
        <f>IF(D210="","",IFERROR(VLOOKUP(D210,CDP!A:C,3,0),""))</f>
        <v/>
      </c>
      <c r="F210" t="str">
        <f>IF(D210="","",IFERROR(VLOOKUP(D210,CDP!A:D,4,0),""))</f>
        <v/>
      </c>
      <c r="H210" t="str">
        <f>IF(G210="","",IFERROR(VLOOKUP(G210,TERCEROS!A:C,3,0),""))</f>
        <v/>
      </c>
      <c r="I210" s="35"/>
      <c r="L210" s="35" t="str">
        <f>IF(A210="","",SUMIF(OBLIGACION!C:C,A210,OBLIGACION!H:H))</f>
        <v/>
      </c>
      <c r="M210" s="35" t="str">
        <f t="shared" si="7"/>
        <v/>
      </c>
    </row>
    <row r="211" spans="2:13" x14ac:dyDescent="0.3">
      <c r="B211" s="36"/>
      <c r="C211" t="str">
        <f t="shared" si="6"/>
        <v/>
      </c>
      <c r="E211" t="str">
        <f>IF(D211="","",IFERROR(VLOOKUP(D211,CDP!A:C,3,0),""))</f>
        <v/>
      </c>
      <c r="F211" t="str">
        <f>IF(D211="","",IFERROR(VLOOKUP(D211,CDP!A:D,4,0),""))</f>
        <v/>
      </c>
      <c r="H211" t="str">
        <f>IF(G211="","",IFERROR(VLOOKUP(G211,TERCEROS!A:C,3,0),""))</f>
        <v/>
      </c>
      <c r="I211" s="35"/>
      <c r="L211" s="35" t="str">
        <f>IF(A211="","",SUMIF(OBLIGACION!C:C,A211,OBLIGACION!H:H))</f>
        <v/>
      </c>
      <c r="M211" s="35" t="str">
        <f t="shared" si="7"/>
        <v/>
      </c>
    </row>
    <row r="212" spans="2:13" x14ac:dyDescent="0.3">
      <c r="B212" s="36"/>
      <c r="C212" t="str">
        <f t="shared" si="6"/>
        <v/>
      </c>
      <c r="E212" t="str">
        <f>IF(D212="","",IFERROR(VLOOKUP(D212,CDP!A:C,3,0),""))</f>
        <v/>
      </c>
      <c r="F212" t="str">
        <f>IF(D212="","",IFERROR(VLOOKUP(D212,CDP!A:D,4,0),""))</f>
        <v/>
      </c>
      <c r="H212" t="str">
        <f>IF(G212="","",IFERROR(VLOOKUP(G212,TERCEROS!A:C,3,0),""))</f>
        <v/>
      </c>
      <c r="I212" s="35"/>
      <c r="L212" s="35" t="str">
        <f>IF(A212="","",SUMIF(OBLIGACION!C:C,A212,OBLIGACION!H:H))</f>
        <v/>
      </c>
      <c r="M212" s="35" t="str">
        <f t="shared" si="7"/>
        <v/>
      </c>
    </row>
    <row r="213" spans="2:13" x14ac:dyDescent="0.3">
      <c r="B213" s="36"/>
      <c r="C213" t="str">
        <f t="shared" si="6"/>
        <v/>
      </c>
      <c r="E213" t="str">
        <f>IF(D213="","",IFERROR(VLOOKUP(D213,CDP!A:C,3,0),""))</f>
        <v/>
      </c>
      <c r="F213" t="str">
        <f>IF(D213="","",IFERROR(VLOOKUP(D213,CDP!A:D,4,0),""))</f>
        <v/>
      </c>
      <c r="H213" t="str">
        <f>IF(G213="","",IFERROR(VLOOKUP(G213,TERCEROS!A:C,3,0),""))</f>
        <v/>
      </c>
      <c r="I213" s="35"/>
      <c r="L213" s="35" t="str">
        <f>IF(A213="","",SUMIF(OBLIGACION!C:C,A213,OBLIGACION!H:H))</f>
        <v/>
      </c>
      <c r="M213" s="35" t="str">
        <f t="shared" si="7"/>
        <v/>
      </c>
    </row>
    <row r="214" spans="2:13" x14ac:dyDescent="0.3">
      <c r="B214" s="36"/>
      <c r="C214" t="str">
        <f t="shared" si="6"/>
        <v/>
      </c>
      <c r="E214" t="str">
        <f>IF(D214="","",IFERROR(VLOOKUP(D214,CDP!A:C,3,0),""))</f>
        <v/>
      </c>
      <c r="F214" t="str">
        <f>IF(D214="","",IFERROR(VLOOKUP(D214,CDP!A:D,4,0),""))</f>
        <v/>
      </c>
      <c r="H214" t="str">
        <f>IF(G214="","",IFERROR(VLOOKUP(G214,TERCEROS!A:C,3,0),""))</f>
        <v/>
      </c>
      <c r="I214" s="35"/>
      <c r="L214" s="35" t="str">
        <f>IF(A214="","",SUMIF(OBLIGACION!C:C,A214,OBLIGACION!H:H))</f>
        <v/>
      </c>
      <c r="M214" s="35" t="str">
        <f t="shared" si="7"/>
        <v/>
      </c>
    </row>
    <row r="215" spans="2:13" x14ac:dyDescent="0.3">
      <c r="B215" s="36"/>
      <c r="C215" t="str">
        <f t="shared" si="6"/>
        <v/>
      </c>
      <c r="E215" t="str">
        <f>IF(D215="","",IFERROR(VLOOKUP(D215,CDP!A:C,3,0),""))</f>
        <v/>
      </c>
      <c r="F215" t="str">
        <f>IF(D215="","",IFERROR(VLOOKUP(D215,CDP!A:D,4,0),""))</f>
        <v/>
      </c>
      <c r="H215" t="str">
        <f>IF(G215="","",IFERROR(VLOOKUP(G215,TERCEROS!A:C,3,0),""))</f>
        <v/>
      </c>
      <c r="I215" s="35"/>
      <c r="L215" s="35" t="str">
        <f>IF(A215="","",SUMIF(OBLIGACION!C:C,A215,OBLIGACION!H:H))</f>
        <v/>
      </c>
      <c r="M215" s="35" t="str">
        <f t="shared" si="7"/>
        <v/>
      </c>
    </row>
    <row r="216" spans="2:13" x14ac:dyDescent="0.3">
      <c r="B216" s="36"/>
      <c r="C216" t="str">
        <f t="shared" si="6"/>
        <v/>
      </c>
      <c r="E216" t="str">
        <f>IF(D216="","",IFERROR(VLOOKUP(D216,CDP!A:C,3,0),""))</f>
        <v/>
      </c>
      <c r="F216" t="str">
        <f>IF(D216="","",IFERROR(VLOOKUP(D216,CDP!A:D,4,0),""))</f>
        <v/>
      </c>
      <c r="H216" t="str">
        <f>IF(G216="","",IFERROR(VLOOKUP(G216,TERCEROS!A:C,3,0),""))</f>
        <v/>
      </c>
      <c r="I216" s="35"/>
      <c r="L216" s="35" t="str">
        <f>IF(A216="","",SUMIF(OBLIGACION!C:C,A216,OBLIGACION!H:H))</f>
        <v/>
      </c>
      <c r="M216" s="35" t="str">
        <f t="shared" si="7"/>
        <v/>
      </c>
    </row>
    <row r="217" spans="2:13" x14ac:dyDescent="0.3">
      <c r="B217" s="36"/>
      <c r="C217" t="str">
        <f t="shared" si="6"/>
        <v/>
      </c>
      <c r="E217" t="str">
        <f>IF(D217="","",IFERROR(VLOOKUP(D217,CDP!A:C,3,0),""))</f>
        <v/>
      </c>
      <c r="F217" t="str">
        <f>IF(D217="","",IFERROR(VLOOKUP(D217,CDP!A:D,4,0),""))</f>
        <v/>
      </c>
      <c r="H217" t="str">
        <f>IF(G217="","",IFERROR(VLOOKUP(G217,TERCEROS!A:C,3,0),""))</f>
        <v/>
      </c>
      <c r="I217" s="35"/>
      <c r="L217" s="35" t="str">
        <f>IF(A217="","",SUMIF(OBLIGACION!C:C,A217,OBLIGACION!H:H))</f>
        <v/>
      </c>
      <c r="M217" s="35" t="str">
        <f t="shared" si="7"/>
        <v/>
      </c>
    </row>
    <row r="218" spans="2:13" x14ac:dyDescent="0.3">
      <c r="B218" s="36"/>
      <c r="C218" t="str">
        <f t="shared" si="6"/>
        <v/>
      </c>
      <c r="E218" t="str">
        <f>IF(D218="","",IFERROR(VLOOKUP(D218,CDP!A:C,3,0),""))</f>
        <v/>
      </c>
      <c r="F218" t="str">
        <f>IF(D218="","",IFERROR(VLOOKUP(D218,CDP!A:D,4,0),""))</f>
        <v/>
      </c>
      <c r="H218" t="str">
        <f>IF(G218="","",IFERROR(VLOOKUP(G218,TERCEROS!A:C,3,0),""))</f>
        <v/>
      </c>
      <c r="I218" s="35"/>
      <c r="L218" s="35" t="str">
        <f>IF(A218="","",SUMIF(OBLIGACION!C:C,A218,OBLIGACION!H:H))</f>
        <v/>
      </c>
      <c r="M218" s="35" t="str">
        <f t="shared" si="7"/>
        <v/>
      </c>
    </row>
    <row r="219" spans="2:13" x14ac:dyDescent="0.3">
      <c r="B219" s="36"/>
      <c r="C219" t="str">
        <f t="shared" si="6"/>
        <v/>
      </c>
      <c r="E219" t="str">
        <f>IF(D219="","",IFERROR(VLOOKUP(D219,CDP!A:C,3,0),""))</f>
        <v/>
      </c>
      <c r="F219" t="str">
        <f>IF(D219="","",IFERROR(VLOOKUP(D219,CDP!A:D,4,0),""))</f>
        <v/>
      </c>
      <c r="H219" t="str">
        <f>IF(G219="","",IFERROR(VLOOKUP(G219,TERCEROS!A:C,3,0),""))</f>
        <v/>
      </c>
      <c r="I219" s="35"/>
      <c r="L219" s="35" t="str">
        <f>IF(A219="","",SUMIF(OBLIGACION!C:C,A219,OBLIGACION!H:H))</f>
        <v/>
      </c>
      <c r="M219" s="35" t="str">
        <f t="shared" si="7"/>
        <v/>
      </c>
    </row>
    <row r="220" spans="2:13" x14ac:dyDescent="0.3">
      <c r="B220" s="36"/>
      <c r="C220" t="str">
        <f t="shared" si="6"/>
        <v/>
      </c>
      <c r="E220" t="str">
        <f>IF(D220="","",IFERROR(VLOOKUP(D220,CDP!A:C,3,0),""))</f>
        <v/>
      </c>
      <c r="F220" t="str">
        <f>IF(D220="","",IFERROR(VLOOKUP(D220,CDP!A:D,4,0),""))</f>
        <v/>
      </c>
      <c r="H220" t="str">
        <f>IF(G220="","",IFERROR(VLOOKUP(G220,TERCEROS!A:C,3,0),""))</f>
        <v/>
      </c>
      <c r="I220" s="35"/>
      <c r="L220" s="35" t="str">
        <f>IF(A220="","",SUMIF(OBLIGACION!C:C,A220,OBLIGACION!H:H))</f>
        <v/>
      </c>
      <c r="M220" s="35" t="str">
        <f t="shared" si="7"/>
        <v/>
      </c>
    </row>
    <row r="221" spans="2:13" x14ac:dyDescent="0.3">
      <c r="B221" s="36"/>
      <c r="C221" t="str">
        <f t="shared" si="6"/>
        <v/>
      </c>
      <c r="E221" t="str">
        <f>IF(D221="","",IFERROR(VLOOKUP(D221,CDP!A:C,3,0),""))</f>
        <v/>
      </c>
      <c r="F221" t="str">
        <f>IF(D221="","",IFERROR(VLOOKUP(D221,CDP!A:D,4,0),""))</f>
        <v/>
      </c>
      <c r="H221" t="str">
        <f>IF(G221="","",IFERROR(VLOOKUP(G221,TERCEROS!A:C,3,0),""))</f>
        <v/>
      </c>
      <c r="I221" s="35"/>
      <c r="L221" s="35" t="str">
        <f>IF(A221="","",SUMIF(OBLIGACION!C:C,A221,OBLIGACION!H:H))</f>
        <v/>
      </c>
      <c r="M221" s="35" t="str">
        <f t="shared" si="7"/>
        <v/>
      </c>
    </row>
    <row r="222" spans="2:13" x14ac:dyDescent="0.3">
      <c r="B222" s="36"/>
      <c r="C222" t="str">
        <f t="shared" si="6"/>
        <v/>
      </c>
      <c r="E222" t="str">
        <f>IF(D222="","",IFERROR(VLOOKUP(D222,CDP!A:C,3,0),""))</f>
        <v/>
      </c>
      <c r="F222" t="str">
        <f>IF(D222="","",IFERROR(VLOOKUP(D222,CDP!A:D,4,0),""))</f>
        <v/>
      </c>
      <c r="H222" t="str">
        <f>IF(G222="","",IFERROR(VLOOKUP(G222,TERCEROS!A:C,3,0),""))</f>
        <v/>
      </c>
      <c r="I222" s="35"/>
      <c r="L222" s="35" t="str">
        <f>IF(A222="","",SUMIF(OBLIGACION!C:C,A222,OBLIGACION!H:H))</f>
        <v/>
      </c>
      <c r="M222" s="35" t="str">
        <f t="shared" si="7"/>
        <v/>
      </c>
    </row>
    <row r="223" spans="2:13" x14ac:dyDescent="0.3">
      <c r="B223" s="36"/>
      <c r="C223" t="str">
        <f t="shared" si="6"/>
        <v/>
      </c>
      <c r="E223" t="str">
        <f>IF(D223="","",IFERROR(VLOOKUP(D223,CDP!A:C,3,0),""))</f>
        <v/>
      </c>
      <c r="F223" t="str">
        <f>IF(D223="","",IFERROR(VLOOKUP(D223,CDP!A:D,4,0),""))</f>
        <v/>
      </c>
      <c r="H223" t="str">
        <f>IF(G223="","",IFERROR(VLOOKUP(G223,TERCEROS!A:C,3,0),""))</f>
        <v/>
      </c>
      <c r="I223" s="35"/>
      <c r="L223" s="35" t="str">
        <f>IF(A223="","",SUMIF(OBLIGACION!C:C,A223,OBLIGACION!H:H))</f>
        <v/>
      </c>
      <c r="M223" s="35" t="str">
        <f t="shared" si="7"/>
        <v/>
      </c>
    </row>
    <row r="224" spans="2:13" x14ac:dyDescent="0.3">
      <c r="B224" s="36"/>
      <c r="C224" t="str">
        <f t="shared" si="6"/>
        <v/>
      </c>
      <c r="E224" t="str">
        <f>IF(D224="","",IFERROR(VLOOKUP(D224,CDP!A:C,3,0),""))</f>
        <v/>
      </c>
      <c r="F224" t="str">
        <f>IF(D224="","",IFERROR(VLOOKUP(D224,CDP!A:D,4,0),""))</f>
        <v/>
      </c>
      <c r="H224" t="str">
        <f>IF(G224="","",IFERROR(VLOOKUP(G224,TERCEROS!A:C,3,0),""))</f>
        <v/>
      </c>
      <c r="I224" s="35"/>
      <c r="L224" s="35" t="str">
        <f>IF(A224="","",SUMIF(OBLIGACION!C:C,A224,OBLIGACION!H:H))</f>
        <v/>
      </c>
      <c r="M224" s="35" t="str">
        <f t="shared" si="7"/>
        <v/>
      </c>
    </row>
    <row r="225" spans="2:13" x14ac:dyDescent="0.3">
      <c r="B225" s="36"/>
      <c r="C225" t="str">
        <f t="shared" si="6"/>
        <v/>
      </c>
      <c r="E225" t="str">
        <f>IF(D225="","",IFERROR(VLOOKUP(D225,CDP!A:C,3,0),""))</f>
        <v/>
      </c>
      <c r="F225" t="str">
        <f>IF(D225="","",IFERROR(VLOOKUP(D225,CDP!A:D,4,0),""))</f>
        <v/>
      </c>
      <c r="H225" t="str">
        <f>IF(G225="","",IFERROR(VLOOKUP(G225,TERCEROS!A:C,3,0),""))</f>
        <v/>
      </c>
      <c r="I225" s="35"/>
      <c r="L225" s="35" t="str">
        <f>IF(A225="","",SUMIF(OBLIGACION!C:C,A225,OBLIGACION!H:H))</f>
        <v/>
      </c>
      <c r="M225" s="35" t="str">
        <f t="shared" si="7"/>
        <v/>
      </c>
    </row>
    <row r="226" spans="2:13" x14ac:dyDescent="0.3">
      <c r="B226" s="36"/>
      <c r="C226" t="str">
        <f t="shared" si="6"/>
        <v/>
      </c>
      <c r="E226" t="str">
        <f>IF(D226="","",IFERROR(VLOOKUP(D226,CDP!A:C,3,0),""))</f>
        <v/>
      </c>
      <c r="F226" t="str">
        <f>IF(D226="","",IFERROR(VLOOKUP(D226,CDP!A:D,4,0),""))</f>
        <v/>
      </c>
      <c r="H226" t="str">
        <f>IF(G226="","",IFERROR(VLOOKUP(G226,TERCEROS!A:C,3,0),""))</f>
        <v/>
      </c>
      <c r="I226" s="35"/>
      <c r="L226" s="35" t="str">
        <f>IF(A226="","",SUMIF(OBLIGACION!C:C,A226,OBLIGACION!H:H))</f>
        <v/>
      </c>
      <c r="M226" s="35" t="str">
        <f t="shared" si="7"/>
        <v/>
      </c>
    </row>
    <row r="227" spans="2:13" x14ac:dyDescent="0.3">
      <c r="B227" s="36"/>
      <c r="C227" t="str">
        <f t="shared" si="6"/>
        <v/>
      </c>
      <c r="E227" t="str">
        <f>IF(D227="","",IFERROR(VLOOKUP(D227,CDP!A:C,3,0),""))</f>
        <v/>
      </c>
      <c r="F227" t="str">
        <f>IF(D227="","",IFERROR(VLOOKUP(D227,CDP!A:D,4,0),""))</f>
        <v/>
      </c>
      <c r="H227" t="str">
        <f>IF(G227="","",IFERROR(VLOOKUP(G227,TERCEROS!A:C,3,0),""))</f>
        <v/>
      </c>
      <c r="I227" s="35"/>
      <c r="L227" s="35" t="str">
        <f>IF(A227="","",SUMIF(OBLIGACION!C:C,A227,OBLIGACION!H:H))</f>
        <v/>
      </c>
      <c r="M227" s="35" t="str">
        <f t="shared" si="7"/>
        <v/>
      </c>
    </row>
    <row r="228" spans="2:13" x14ac:dyDescent="0.3">
      <c r="B228" s="36"/>
      <c r="C228" t="str">
        <f t="shared" si="6"/>
        <v/>
      </c>
      <c r="E228" t="str">
        <f>IF(D228="","",IFERROR(VLOOKUP(D228,CDP!A:C,3,0),""))</f>
        <v/>
      </c>
      <c r="F228" t="str">
        <f>IF(D228="","",IFERROR(VLOOKUP(D228,CDP!A:D,4,0),""))</f>
        <v/>
      </c>
      <c r="H228" t="str">
        <f>IF(G228="","",IFERROR(VLOOKUP(G228,TERCEROS!A:C,3,0),""))</f>
        <v/>
      </c>
      <c r="I228" s="35"/>
      <c r="L228" s="35" t="str">
        <f>IF(A228="","",SUMIF(OBLIGACION!C:C,A228,OBLIGACION!H:H))</f>
        <v/>
      </c>
      <c r="M228" s="35" t="str">
        <f t="shared" si="7"/>
        <v/>
      </c>
    </row>
    <row r="229" spans="2:13" x14ac:dyDescent="0.3">
      <c r="B229" s="36"/>
      <c r="C229" t="str">
        <f t="shared" si="6"/>
        <v/>
      </c>
      <c r="E229" t="str">
        <f>IF(D229="","",IFERROR(VLOOKUP(D229,CDP!A:C,3,0),""))</f>
        <v/>
      </c>
      <c r="F229" t="str">
        <f>IF(D229="","",IFERROR(VLOOKUP(D229,CDP!A:D,4,0),""))</f>
        <v/>
      </c>
      <c r="H229" t="str">
        <f>IF(G229="","",IFERROR(VLOOKUP(G229,TERCEROS!A:C,3,0),""))</f>
        <v/>
      </c>
      <c r="I229" s="35"/>
      <c r="L229" s="35" t="str">
        <f>IF(A229="","",SUMIF(OBLIGACION!C:C,A229,OBLIGACION!H:H))</f>
        <v/>
      </c>
      <c r="M229" s="35" t="str">
        <f t="shared" si="7"/>
        <v/>
      </c>
    </row>
    <row r="230" spans="2:13" x14ac:dyDescent="0.3">
      <c r="B230" s="36"/>
      <c r="C230" t="str">
        <f t="shared" si="6"/>
        <v/>
      </c>
      <c r="E230" t="str">
        <f>IF(D230="","",IFERROR(VLOOKUP(D230,CDP!A:C,3,0),""))</f>
        <v/>
      </c>
      <c r="F230" t="str">
        <f>IF(D230="","",IFERROR(VLOOKUP(D230,CDP!A:D,4,0),""))</f>
        <v/>
      </c>
      <c r="H230" t="str">
        <f>IF(G230="","",IFERROR(VLOOKUP(G230,TERCEROS!A:C,3,0),""))</f>
        <v/>
      </c>
      <c r="I230" s="35"/>
      <c r="L230" s="35" t="str">
        <f>IF(A230="","",SUMIF(OBLIGACION!C:C,A230,OBLIGACION!H:H))</f>
        <v/>
      </c>
      <c r="M230" s="35" t="str">
        <f t="shared" si="7"/>
        <v/>
      </c>
    </row>
    <row r="231" spans="2:13" x14ac:dyDescent="0.3">
      <c r="B231" s="36"/>
      <c r="C231" t="str">
        <f t="shared" si="6"/>
        <v/>
      </c>
      <c r="E231" t="str">
        <f>IF(D231="","",IFERROR(VLOOKUP(D231,CDP!A:C,3,0),""))</f>
        <v/>
      </c>
      <c r="F231" t="str">
        <f>IF(D231="","",IFERROR(VLOOKUP(D231,CDP!A:D,4,0),""))</f>
        <v/>
      </c>
      <c r="H231" t="str">
        <f>IF(G231="","",IFERROR(VLOOKUP(G231,TERCEROS!A:C,3,0),""))</f>
        <v/>
      </c>
      <c r="I231" s="35"/>
      <c r="L231" s="35" t="str">
        <f>IF(A231="","",SUMIF(OBLIGACION!C:C,A231,OBLIGACION!H:H))</f>
        <v/>
      </c>
      <c r="M231" s="35" t="str">
        <f t="shared" si="7"/>
        <v/>
      </c>
    </row>
    <row r="232" spans="2:13" x14ac:dyDescent="0.3">
      <c r="B232" s="36"/>
      <c r="C232" t="str">
        <f t="shared" si="6"/>
        <v/>
      </c>
      <c r="E232" t="str">
        <f>IF(D232="","",IFERROR(VLOOKUP(D232,CDP!A:C,3,0),""))</f>
        <v/>
      </c>
      <c r="F232" t="str">
        <f>IF(D232="","",IFERROR(VLOOKUP(D232,CDP!A:D,4,0),""))</f>
        <v/>
      </c>
      <c r="H232" t="str">
        <f>IF(G232="","",IFERROR(VLOOKUP(G232,TERCEROS!A:C,3,0),""))</f>
        <v/>
      </c>
      <c r="I232" s="35"/>
      <c r="L232" s="35" t="str">
        <f>IF(A232="","",SUMIF(OBLIGACION!C:C,A232,OBLIGACION!H:H))</f>
        <v/>
      </c>
      <c r="M232" s="35" t="str">
        <f t="shared" si="7"/>
        <v/>
      </c>
    </row>
    <row r="233" spans="2:13" x14ac:dyDescent="0.3">
      <c r="B233" s="36"/>
      <c r="C233" t="str">
        <f t="shared" si="6"/>
        <v/>
      </c>
      <c r="E233" t="str">
        <f>IF(D233="","",IFERROR(VLOOKUP(D233,CDP!A:C,3,0),""))</f>
        <v/>
      </c>
      <c r="F233" t="str">
        <f>IF(D233="","",IFERROR(VLOOKUP(D233,CDP!A:D,4,0),""))</f>
        <v/>
      </c>
      <c r="H233" t="str">
        <f>IF(G233="","",IFERROR(VLOOKUP(G233,TERCEROS!A:C,3,0),""))</f>
        <v/>
      </c>
      <c r="I233" s="35"/>
      <c r="L233" s="35" t="str">
        <f>IF(A233="","",SUMIF(OBLIGACION!C:C,A233,OBLIGACION!H:H))</f>
        <v/>
      </c>
      <c r="M233" s="35" t="str">
        <f t="shared" si="7"/>
        <v/>
      </c>
    </row>
    <row r="234" spans="2:13" x14ac:dyDescent="0.3">
      <c r="B234" s="36"/>
      <c r="C234" t="str">
        <f t="shared" si="6"/>
        <v/>
      </c>
      <c r="E234" t="str">
        <f>IF(D234="","",IFERROR(VLOOKUP(D234,CDP!A:C,3,0),""))</f>
        <v/>
      </c>
      <c r="F234" t="str">
        <f>IF(D234="","",IFERROR(VLOOKUP(D234,CDP!A:D,4,0),""))</f>
        <v/>
      </c>
      <c r="H234" t="str">
        <f>IF(G234="","",IFERROR(VLOOKUP(G234,TERCEROS!A:C,3,0),""))</f>
        <v/>
      </c>
      <c r="I234" s="35"/>
      <c r="L234" s="35" t="str">
        <f>IF(A234="","",SUMIF(OBLIGACION!C:C,A234,OBLIGACION!H:H))</f>
        <v/>
      </c>
      <c r="M234" s="35" t="str">
        <f t="shared" si="7"/>
        <v/>
      </c>
    </row>
    <row r="235" spans="2:13" x14ac:dyDescent="0.3">
      <c r="B235" s="36"/>
      <c r="C235" t="str">
        <f t="shared" si="6"/>
        <v/>
      </c>
      <c r="E235" t="str">
        <f>IF(D235="","",IFERROR(VLOOKUP(D235,CDP!A:C,3,0),""))</f>
        <v/>
      </c>
      <c r="F235" t="str">
        <f>IF(D235="","",IFERROR(VLOOKUP(D235,CDP!A:D,4,0),""))</f>
        <v/>
      </c>
      <c r="H235" t="str">
        <f>IF(G235="","",IFERROR(VLOOKUP(G235,TERCEROS!A:C,3,0),""))</f>
        <v/>
      </c>
      <c r="I235" s="35"/>
      <c r="L235" s="35" t="str">
        <f>IF(A235="","",SUMIF(OBLIGACION!C:C,A235,OBLIGACION!H:H))</f>
        <v/>
      </c>
      <c r="M235" s="35" t="str">
        <f t="shared" si="7"/>
        <v/>
      </c>
    </row>
    <row r="236" spans="2:13" x14ac:dyDescent="0.3">
      <c r="B236" s="36"/>
      <c r="C236" t="str">
        <f t="shared" si="6"/>
        <v/>
      </c>
      <c r="E236" t="str">
        <f>IF(D236="","",IFERROR(VLOOKUP(D236,CDP!A:C,3,0),""))</f>
        <v/>
      </c>
      <c r="F236" t="str">
        <f>IF(D236="","",IFERROR(VLOOKUP(D236,CDP!A:D,4,0),""))</f>
        <v/>
      </c>
      <c r="H236" t="str">
        <f>IF(G236="","",IFERROR(VLOOKUP(G236,TERCEROS!A:C,3,0),""))</f>
        <v/>
      </c>
      <c r="I236" s="35"/>
      <c r="L236" s="35" t="str">
        <f>IF(A236="","",SUMIF(OBLIGACION!C:C,A236,OBLIGACION!H:H))</f>
        <v/>
      </c>
      <c r="M236" s="35" t="str">
        <f t="shared" si="7"/>
        <v/>
      </c>
    </row>
    <row r="237" spans="2:13" x14ac:dyDescent="0.3">
      <c r="B237" s="36"/>
      <c r="C237" t="str">
        <f t="shared" si="6"/>
        <v/>
      </c>
      <c r="E237" t="str">
        <f>IF(D237="","",IFERROR(VLOOKUP(D237,CDP!A:C,3,0),""))</f>
        <v/>
      </c>
      <c r="F237" t="str">
        <f>IF(D237="","",IFERROR(VLOOKUP(D237,CDP!A:D,4,0),""))</f>
        <v/>
      </c>
      <c r="H237" t="str">
        <f>IF(G237="","",IFERROR(VLOOKUP(G237,TERCEROS!A:C,3,0),""))</f>
        <v/>
      </c>
      <c r="I237" s="35"/>
      <c r="L237" s="35" t="str">
        <f>IF(A237="","",SUMIF(OBLIGACION!C:C,A237,OBLIGACION!H:H))</f>
        <v/>
      </c>
      <c r="M237" s="35" t="str">
        <f t="shared" si="7"/>
        <v/>
      </c>
    </row>
    <row r="238" spans="2:13" x14ac:dyDescent="0.3">
      <c r="B238" s="36"/>
      <c r="C238" t="str">
        <f t="shared" si="6"/>
        <v/>
      </c>
      <c r="E238" t="str">
        <f>IF(D238="","",IFERROR(VLOOKUP(D238,CDP!A:C,3,0),""))</f>
        <v/>
      </c>
      <c r="F238" t="str">
        <f>IF(D238="","",IFERROR(VLOOKUP(D238,CDP!A:D,4,0),""))</f>
        <v/>
      </c>
      <c r="H238" t="str">
        <f>IF(G238="","",IFERROR(VLOOKUP(G238,TERCEROS!A:C,3,0),""))</f>
        <v/>
      </c>
      <c r="I238" s="35"/>
      <c r="L238" s="35" t="str">
        <f>IF(A238="","",SUMIF(OBLIGACION!C:C,A238,OBLIGACION!H:H))</f>
        <v/>
      </c>
      <c r="M238" s="35" t="str">
        <f t="shared" si="7"/>
        <v/>
      </c>
    </row>
    <row r="239" spans="2:13" x14ac:dyDescent="0.3">
      <c r="B239" s="36"/>
      <c r="C239" t="str">
        <f t="shared" si="6"/>
        <v/>
      </c>
      <c r="E239" t="str">
        <f>IF(D239="","",IFERROR(VLOOKUP(D239,CDP!A:C,3,0),""))</f>
        <v/>
      </c>
      <c r="F239" t="str">
        <f>IF(D239="","",IFERROR(VLOOKUP(D239,CDP!A:D,4,0),""))</f>
        <v/>
      </c>
      <c r="H239" t="str">
        <f>IF(G239="","",IFERROR(VLOOKUP(G239,TERCEROS!A:C,3,0),""))</f>
        <v/>
      </c>
      <c r="I239" s="35"/>
      <c r="L239" s="35" t="str">
        <f>IF(A239="","",SUMIF(OBLIGACION!C:C,A239,OBLIGACION!H:H))</f>
        <v/>
      </c>
      <c r="M239" s="35" t="str">
        <f t="shared" si="7"/>
        <v/>
      </c>
    </row>
    <row r="240" spans="2:13" x14ac:dyDescent="0.3">
      <c r="B240" s="36"/>
      <c r="C240" t="str">
        <f t="shared" si="6"/>
        <v/>
      </c>
      <c r="E240" t="str">
        <f>IF(D240="","",IFERROR(VLOOKUP(D240,CDP!A:C,3,0),""))</f>
        <v/>
      </c>
      <c r="F240" t="str">
        <f>IF(D240="","",IFERROR(VLOOKUP(D240,CDP!A:D,4,0),""))</f>
        <v/>
      </c>
      <c r="H240" t="str">
        <f>IF(G240="","",IFERROR(VLOOKUP(G240,TERCEROS!A:C,3,0),""))</f>
        <v/>
      </c>
      <c r="I240" s="35"/>
      <c r="L240" s="35" t="str">
        <f>IF(A240="","",SUMIF(OBLIGACION!C:C,A240,OBLIGACION!H:H))</f>
        <v/>
      </c>
      <c r="M240" s="35" t="str">
        <f t="shared" si="7"/>
        <v/>
      </c>
    </row>
    <row r="241" spans="2:13" x14ac:dyDescent="0.3">
      <c r="B241" s="36"/>
      <c r="C241" t="str">
        <f t="shared" si="6"/>
        <v/>
      </c>
      <c r="E241" t="str">
        <f>IF(D241="","",IFERROR(VLOOKUP(D241,CDP!A:C,3,0),""))</f>
        <v/>
      </c>
      <c r="F241" t="str">
        <f>IF(D241="","",IFERROR(VLOOKUP(D241,CDP!A:D,4,0),""))</f>
        <v/>
      </c>
      <c r="H241" t="str">
        <f>IF(G241="","",IFERROR(VLOOKUP(G241,TERCEROS!A:C,3,0),""))</f>
        <v/>
      </c>
      <c r="I241" s="35"/>
      <c r="L241" s="35" t="str">
        <f>IF(A241="","",SUMIF(OBLIGACION!C:C,A241,OBLIGACION!H:H))</f>
        <v/>
      </c>
      <c r="M241" s="35" t="str">
        <f t="shared" si="7"/>
        <v/>
      </c>
    </row>
    <row r="242" spans="2:13" x14ac:dyDescent="0.3">
      <c r="B242" s="36"/>
      <c r="C242" t="str">
        <f t="shared" si="6"/>
        <v/>
      </c>
      <c r="E242" t="str">
        <f>IF(D242="","",IFERROR(VLOOKUP(D242,CDP!A:C,3,0),""))</f>
        <v/>
      </c>
      <c r="F242" t="str">
        <f>IF(D242="","",IFERROR(VLOOKUP(D242,CDP!A:D,4,0),""))</f>
        <v/>
      </c>
      <c r="H242" t="str">
        <f>IF(G242="","",IFERROR(VLOOKUP(G242,TERCEROS!A:C,3,0),""))</f>
        <v/>
      </c>
      <c r="I242" s="35"/>
      <c r="L242" s="35" t="str">
        <f>IF(A242="","",SUMIF(OBLIGACION!C:C,A242,OBLIGACION!H:H))</f>
        <v/>
      </c>
      <c r="M242" s="35" t="str">
        <f t="shared" si="7"/>
        <v/>
      </c>
    </row>
    <row r="243" spans="2:13" x14ac:dyDescent="0.3">
      <c r="B243" s="36"/>
      <c r="C243" t="str">
        <f t="shared" si="6"/>
        <v/>
      </c>
      <c r="E243" t="str">
        <f>IF(D243="","",IFERROR(VLOOKUP(D243,CDP!A:C,3,0),""))</f>
        <v/>
      </c>
      <c r="F243" t="str">
        <f>IF(D243="","",IFERROR(VLOOKUP(D243,CDP!A:D,4,0),""))</f>
        <v/>
      </c>
      <c r="H243" t="str">
        <f>IF(G243="","",IFERROR(VLOOKUP(G243,TERCEROS!A:C,3,0),""))</f>
        <v/>
      </c>
      <c r="I243" s="35"/>
      <c r="L243" s="35" t="str">
        <f>IF(A243="","",SUMIF(OBLIGACION!C:C,A243,OBLIGACION!H:H))</f>
        <v/>
      </c>
      <c r="M243" s="35" t="str">
        <f t="shared" si="7"/>
        <v/>
      </c>
    </row>
    <row r="244" spans="2:13" x14ac:dyDescent="0.3">
      <c r="B244" s="36"/>
      <c r="C244" t="str">
        <f t="shared" si="6"/>
        <v/>
      </c>
      <c r="E244" t="str">
        <f>IF(D244="","",IFERROR(VLOOKUP(D244,CDP!A:C,3,0),""))</f>
        <v/>
      </c>
      <c r="F244" t="str">
        <f>IF(D244="","",IFERROR(VLOOKUP(D244,CDP!A:D,4,0),""))</f>
        <v/>
      </c>
      <c r="H244" t="str">
        <f>IF(G244="","",IFERROR(VLOOKUP(G244,TERCEROS!A:C,3,0),""))</f>
        <v/>
      </c>
      <c r="I244" s="35"/>
      <c r="L244" s="35" t="str">
        <f>IF(A244="","",SUMIF(OBLIGACION!C:C,A244,OBLIGACION!H:H))</f>
        <v/>
      </c>
      <c r="M244" s="35" t="str">
        <f t="shared" si="7"/>
        <v/>
      </c>
    </row>
    <row r="245" spans="2:13" x14ac:dyDescent="0.3">
      <c r="B245" s="36"/>
      <c r="C245" t="str">
        <f t="shared" si="6"/>
        <v/>
      </c>
      <c r="E245" t="str">
        <f>IF(D245="","",IFERROR(VLOOKUP(D245,CDP!A:C,3,0),""))</f>
        <v/>
      </c>
      <c r="F245" t="str">
        <f>IF(D245="","",IFERROR(VLOOKUP(D245,CDP!A:D,4,0),""))</f>
        <v/>
      </c>
      <c r="H245" t="str">
        <f>IF(G245="","",IFERROR(VLOOKUP(G245,TERCEROS!A:C,3,0),""))</f>
        <v/>
      </c>
      <c r="I245" s="35"/>
      <c r="L245" s="35" t="str">
        <f>IF(A245="","",SUMIF(OBLIGACION!C:C,A245,OBLIGACION!H:H))</f>
        <v/>
      </c>
      <c r="M245" s="35" t="str">
        <f t="shared" si="7"/>
        <v/>
      </c>
    </row>
    <row r="246" spans="2:13" x14ac:dyDescent="0.3">
      <c r="B246" s="36"/>
      <c r="C246" t="str">
        <f t="shared" si="6"/>
        <v/>
      </c>
      <c r="E246" t="str">
        <f>IF(D246="","",IFERROR(VLOOKUP(D246,CDP!A:C,3,0),""))</f>
        <v/>
      </c>
      <c r="F246" t="str">
        <f>IF(D246="","",IFERROR(VLOOKUP(D246,CDP!A:D,4,0),""))</f>
        <v/>
      </c>
      <c r="H246" t="str">
        <f>IF(G246="","",IFERROR(VLOOKUP(G246,TERCEROS!A:C,3,0),""))</f>
        <v/>
      </c>
      <c r="I246" s="35"/>
      <c r="L246" s="35" t="str">
        <f>IF(A246="","",SUMIF(OBLIGACION!C:C,A246,OBLIGACION!H:H))</f>
        <v/>
      </c>
      <c r="M246" s="35" t="str">
        <f t="shared" si="7"/>
        <v/>
      </c>
    </row>
    <row r="247" spans="2:13" x14ac:dyDescent="0.3">
      <c r="B247" s="36"/>
      <c r="C247" t="str">
        <f t="shared" si="6"/>
        <v/>
      </c>
      <c r="E247" t="str">
        <f>IF(D247="","",IFERROR(VLOOKUP(D247,CDP!A:C,3,0),""))</f>
        <v/>
      </c>
      <c r="F247" t="str">
        <f>IF(D247="","",IFERROR(VLOOKUP(D247,CDP!A:D,4,0),""))</f>
        <v/>
      </c>
      <c r="H247" t="str">
        <f>IF(G247="","",IFERROR(VLOOKUP(G247,TERCEROS!A:C,3,0),""))</f>
        <v/>
      </c>
      <c r="I247" s="35"/>
      <c r="L247" s="35" t="str">
        <f>IF(A247="","",SUMIF(OBLIGACION!C:C,A247,OBLIGACION!H:H))</f>
        <v/>
      </c>
      <c r="M247" s="35" t="str">
        <f t="shared" si="7"/>
        <v/>
      </c>
    </row>
    <row r="248" spans="2:13" x14ac:dyDescent="0.3">
      <c r="B248" s="36"/>
      <c r="C248" t="str">
        <f t="shared" si="6"/>
        <v/>
      </c>
      <c r="E248" t="str">
        <f>IF(D248="","",IFERROR(VLOOKUP(D248,CDP!A:C,3,0),""))</f>
        <v/>
      </c>
      <c r="F248" t="str">
        <f>IF(D248="","",IFERROR(VLOOKUP(D248,CDP!A:D,4,0),""))</f>
        <v/>
      </c>
      <c r="H248" t="str">
        <f>IF(G248="","",IFERROR(VLOOKUP(G248,TERCEROS!A:C,3,0),""))</f>
        <v/>
      </c>
      <c r="I248" s="35"/>
      <c r="L248" s="35" t="str">
        <f>IF(A248="","",SUMIF(OBLIGACION!C:C,A248,OBLIGACION!H:H))</f>
        <v/>
      </c>
      <c r="M248" s="35" t="str">
        <f t="shared" si="7"/>
        <v/>
      </c>
    </row>
    <row r="249" spans="2:13" x14ac:dyDescent="0.3">
      <c r="B249" s="36"/>
      <c r="C249" t="str">
        <f t="shared" si="6"/>
        <v/>
      </c>
      <c r="E249" t="str">
        <f>IF(D249="","",IFERROR(VLOOKUP(D249,CDP!A:C,3,0),""))</f>
        <v/>
      </c>
      <c r="F249" t="str">
        <f>IF(D249="","",IFERROR(VLOOKUP(D249,CDP!A:D,4,0),""))</f>
        <v/>
      </c>
      <c r="H249" t="str">
        <f>IF(G249="","",IFERROR(VLOOKUP(G249,TERCEROS!A:C,3,0),""))</f>
        <v/>
      </c>
      <c r="I249" s="35"/>
      <c r="L249" s="35" t="str">
        <f>IF(A249="","",SUMIF(OBLIGACION!C:C,A249,OBLIGACION!H:H))</f>
        <v/>
      </c>
      <c r="M249" s="35" t="str">
        <f t="shared" si="7"/>
        <v/>
      </c>
    </row>
    <row r="250" spans="2:13" x14ac:dyDescent="0.3">
      <c r="B250" s="36"/>
      <c r="C250" t="str">
        <f t="shared" si="6"/>
        <v/>
      </c>
      <c r="E250" t="str">
        <f>IF(D250="","",IFERROR(VLOOKUP(D250,CDP!A:C,3,0),""))</f>
        <v/>
      </c>
      <c r="F250" t="str">
        <f>IF(D250="","",IFERROR(VLOOKUP(D250,CDP!A:D,4,0),""))</f>
        <v/>
      </c>
      <c r="H250" t="str">
        <f>IF(G250="","",IFERROR(VLOOKUP(G250,TERCEROS!A:C,3,0),""))</f>
        <v/>
      </c>
      <c r="I250" s="35"/>
      <c r="L250" s="35" t="str">
        <f>IF(A250="","",SUMIF(OBLIGACION!C:C,A250,OBLIGACION!H:H))</f>
        <v/>
      </c>
      <c r="M250" s="35" t="str">
        <f t="shared" si="7"/>
        <v/>
      </c>
    </row>
    <row r="251" spans="2:13" x14ac:dyDescent="0.3">
      <c r="B251" s="36"/>
      <c r="C251" t="str">
        <f t="shared" si="6"/>
        <v/>
      </c>
      <c r="E251" t="str">
        <f>IF(D251="","",IFERROR(VLOOKUP(D251,CDP!A:C,3,0),""))</f>
        <v/>
      </c>
      <c r="F251" t="str">
        <f>IF(D251="","",IFERROR(VLOOKUP(D251,CDP!A:D,4,0),""))</f>
        <v/>
      </c>
      <c r="H251" t="str">
        <f>IF(G251="","",IFERROR(VLOOKUP(G251,TERCEROS!A:C,3,0),""))</f>
        <v/>
      </c>
      <c r="I251" s="35"/>
      <c r="L251" s="35" t="str">
        <f>IF(A251="","",SUMIF(OBLIGACION!C:C,A251,OBLIGACION!H:H))</f>
        <v/>
      </c>
      <c r="M251" s="35" t="str">
        <f t="shared" si="7"/>
        <v/>
      </c>
    </row>
    <row r="252" spans="2:13" x14ac:dyDescent="0.3">
      <c r="B252" s="36"/>
      <c r="C252" t="str">
        <f t="shared" si="6"/>
        <v/>
      </c>
      <c r="E252" t="str">
        <f>IF(D252="","",IFERROR(VLOOKUP(D252,CDP!A:C,3,0),""))</f>
        <v/>
      </c>
      <c r="F252" t="str">
        <f>IF(D252="","",IFERROR(VLOOKUP(D252,CDP!A:D,4,0),""))</f>
        <v/>
      </c>
      <c r="H252" t="str">
        <f>IF(G252="","",IFERROR(VLOOKUP(G252,TERCEROS!A:C,3,0),""))</f>
        <v/>
      </c>
      <c r="I252" s="35"/>
      <c r="L252" s="35" t="str">
        <f>IF(A252="","",SUMIF(OBLIGACION!C:C,A252,OBLIGACION!H:H))</f>
        <v/>
      </c>
      <c r="M252" s="35" t="str">
        <f t="shared" si="7"/>
        <v/>
      </c>
    </row>
    <row r="253" spans="2:13" x14ac:dyDescent="0.3">
      <c r="B253" s="36"/>
      <c r="C253" t="str">
        <f t="shared" si="6"/>
        <v/>
      </c>
      <c r="E253" t="str">
        <f>IF(D253="","",IFERROR(VLOOKUP(D253,CDP!A:C,3,0),""))</f>
        <v/>
      </c>
      <c r="F253" t="str">
        <f>IF(D253="","",IFERROR(VLOOKUP(D253,CDP!A:D,4,0),""))</f>
        <v/>
      </c>
      <c r="H253" t="str">
        <f>IF(G253="","",IFERROR(VLOOKUP(G253,TERCEROS!A:C,3,0),""))</f>
        <v/>
      </c>
      <c r="I253" s="35"/>
      <c r="L253" s="35" t="str">
        <f>IF(A253="","",SUMIF(OBLIGACION!C:C,A253,OBLIGACION!H:H))</f>
        <v/>
      </c>
      <c r="M253" s="35" t="str">
        <f t="shared" si="7"/>
        <v/>
      </c>
    </row>
    <row r="254" spans="2:13" x14ac:dyDescent="0.3">
      <c r="B254" s="36"/>
      <c r="C254" t="str">
        <f t="shared" si="6"/>
        <v/>
      </c>
      <c r="E254" t="str">
        <f>IF(D254="","",IFERROR(VLOOKUP(D254,CDP!A:C,3,0),""))</f>
        <v/>
      </c>
      <c r="F254" t="str">
        <f>IF(D254="","",IFERROR(VLOOKUP(D254,CDP!A:D,4,0),""))</f>
        <v/>
      </c>
      <c r="H254" t="str">
        <f>IF(G254="","",IFERROR(VLOOKUP(G254,TERCEROS!A:C,3,0),""))</f>
        <v/>
      </c>
      <c r="I254" s="35"/>
      <c r="L254" s="35" t="str">
        <f>IF(A254="","",SUMIF(OBLIGACION!C:C,A254,OBLIGACION!H:H))</f>
        <v/>
      </c>
      <c r="M254" s="35" t="str">
        <f t="shared" si="7"/>
        <v/>
      </c>
    </row>
    <row r="255" spans="2:13" x14ac:dyDescent="0.3">
      <c r="B255" s="36"/>
      <c r="C255" t="str">
        <f t="shared" si="6"/>
        <v/>
      </c>
      <c r="E255" t="str">
        <f>IF(D255="","",IFERROR(VLOOKUP(D255,CDP!A:C,3,0),""))</f>
        <v/>
      </c>
      <c r="F255" t="str">
        <f>IF(D255="","",IFERROR(VLOOKUP(D255,CDP!A:D,4,0),""))</f>
        <v/>
      </c>
      <c r="H255" t="str">
        <f>IF(G255="","",IFERROR(VLOOKUP(G255,TERCEROS!A:C,3,0),""))</f>
        <v/>
      </c>
      <c r="I255" s="35"/>
      <c r="L255" s="35" t="str">
        <f>IF(A255="","",SUMIF(OBLIGACION!C:C,A255,OBLIGACION!H:H))</f>
        <v/>
      </c>
      <c r="M255" s="35" t="str">
        <f t="shared" si="7"/>
        <v/>
      </c>
    </row>
    <row r="256" spans="2:13" x14ac:dyDescent="0.3">
      <c r="B256" s="36"/>
      <c r="C256" t="str">
        <f t="shared" si="6"/>
        <v/>
      </c>
      <c r="E256" t="str">
        <f>IF(D256="","",IFERROR(VLOOKUP(D256,CDP!A:C,3,0),""))</f>
        <v/>
      </c>
      <c r="F256" t="str">
        <f>IF(D256="","",IFERROR(VLOOKUP(D256,CDP!A:D,4,0),""))</f>
        <v/>
      </c>
      <c r="H256" t="str">
        <f>IF(G256="","",IFERROR(VLOOKUP(G256,TERCEROS!A:C,3,0),""))</f>
        <v/>
      </c>
      <c r="I256" s="35"/>
      <c r="L256" s="35" t="str">
        <f>IF(A256="","",SUMIF(OBLIGACION!C:C,A256,OBLIGACION!H:H))</f>
        <v/>
      </c>
      <c r="M256" s="35" t="str">
        <f t="shared" si="7"/>
        <v/>
      </c>
    </row>
    <row r="257" spans="2:13" x14ac:dyDescent="0.3">
      <c r="B257" s="36"/>
      <c r="C257" t="str">
        <f t="shared" si="6"/>
        <v/>
      </c>
      <c r="E257" t="str">
        <f>IF(D257="","",IFERROR(VLOOKUP(D257,CDP!A:C,3,0),""))</f>
        <v/>
      </c>
      <c r="F257" t="str">
        <f>IF(D257="","",IFERROR(VLOOKUP(D257,CDP!A:D,4,0),""))</f>
        <v/>
      </c>
      <c r="H257" t="str">
        <f>IF(G257="","",IFERROR(VLOOKUP(G257,TERCEROS!A:C,3,0),""))</f>
        <v/>
      </c>
      <c r="I257" s="35"/>
      <c r="L257" s="35" t="str">
        <f>IF(A257="","",SUMIF(OBLIGACION!C:C,A257,OBLIGACION!H:H))</f>
        <v/>
      </c>
      <c r="M257" s="35" t="str">
        <f t="shared" si="7"/>
        <v/>
      </c>
    </row>
    <row r="258" spans="2:13" x14ac:dyDescent="0.3">
      <c r="B258" s="36"/>
      <c r="C258" t="str">
        <f t="shared" ref="C258:C321" si="8">IF(B258="","",MONTH(B258))</f>
        <v/>
      </c>
      <c r="E258" t="str">
        <f>IF(D258="","",IFERROR(VLOOKUP(D258,CDP!A:C,3,0),""))</f>
        <v/>
      </c>
      <c r="F258" t="str">
        <f>IF(D258="","",IFERROR(VLOOKUP(D258,CDP!A:D,4,0),""))</f>
        <v/>
      </c>
      <c r="H258" t="str">
        <f>IF(G258="","",IFERROR(VLOOKUP(G258,TERCEROS!A:C,3,0),""))</f>
        <v/>
      </c>
      <c r="I258" s="35"/>
      <c r="L258" s="35" t="str">
        <f>IF(A258="","",SUMIF(OBLIGACION!C:C,A258,OBLIGACION!H:H))</f>
        <v/>
      </c>
      <c r="M258" s="35" t="str">
        <f t="shared" ref="M258:M321" si="9">IF(A258="","",I258-L258)</f>
        <v/>
      </c>
    </row>
    <row r="259" spans="2:13" x14ac:dyDescent="0.3">
      <c r="B259" s="36"/>
      <c r="C259" t="str">
        <f t="shared" si="8"/>
        <v/>
      </c>
      <c r="E259" t="str">
        <f>IF(D259="","",IFERROR(VLOOKUP(D259,CDP!A:C,3,0),""))</f>
        <v/>
      </c>
      <c r="F259" t="str">
        <f>IF(D259="","",IFERROR(VLOOKUP(D259,CDP!A:D,4,0),""))</f>
        <v/>
      </c>
      <c r="H259" t="str">
        <f>IF(G259="","",IFERROR(VLOOKUP(G259,TERCEROS!A:C,3,0),""))</f>
        <v/>
      </c>
      <c r="I259" s="35"/>
      <c r="L259" s="35" t="str">
        <f>IF(A259="","",SUMIF(OBLIGACION!C:C,A259,OBLIGACION!H:H))</f>
        <v/>
      </c>
      <c r="M259" s="35" t="str">
        <f t="shared" si="9"/>
        <v/>
      </c>
    </row>
    <row r="260" spans="2:13" x14ac:dyDescent="0.3">
      <c r="B260" s="36"/>
      <c r="C260" t="str">
        <f t="shared" si="8"/>
        <v/>
      </c>
      <c r="E260" t="str">
        <f>IF(D260="","",IFERROR(VLOOKUP(D260,CDP!A:C,3,0),""))</f>
        <v/>
      </c>
      <c r="F260" t="str">
        <f>IF(D260="","",IFERROR(VLOOKUP(D260,CDP!A:D,4,0),""))</f>
        <v/>
      </c>
      <c r="H260" t="str">
        <f>IF(G260="","",IFERROR(VLOOKUP(G260,TERCEROS!A:C,3,0),""))</f>
        <v/>
      </c>
      <c r="I260" s="35"/>
      <c r="L260" s="35" t="str">
        <f>IF(A260="","",SUMIF(OBLIGACION!C:C,A260,OBLIGACION!H:H))</f>
        <v/>
      </c>
      <c r="M260" s="35" t="str">
        <f t="shared" si="9"/>
        <v/>
      </c>
    </row>
    <row r="261" spans="2:13" x14ac:dyDescent="0.3">
      <c r="B261" s="36"/>
      <c r="C261" t="str">
        <f t="shared" si="8"/>
        <v/>
      </c>
      <c r="E261" t="str">
        <f>IF(D261="","",IFERROR(VLOOKUP(D261,CDP!A:C,3,0),""))</f>
        <v/>
      </c>
      <c r="F261" t="str">
        <f>IF(D261="","",IFERROR(VLOOKUP(D261,CDP!A:D,4,0),""))</f>
        <v/>
      </c>
      <c r="H261" t="str">
        <f>IF(G261="","",IFERROR(VLOOKUP(G261,TERCEROS!A:C,3,0),""))</f>
        <v/>
      </c>
      <c r="I261" s="35"/>
      <c r="L261" s="35" t="str">
        <f>IF(A261="","",SUMIF(OBLIGACION!C:C,A261,OBLIGACION!H:H))</f>
        <v/>
      </c>
      <c r="M261" s="35" t="str">
        <f t="shared" si="9"/>
        <v/>
      </c>
    </row>
    <row r="262" spans="2:13" x14ac:dyDescent="0.3">
      <c r="B262" s="36"/>
      <c r="C262" t="str">
        <f t="shared" si="8"/>
        <v/>
      </c>
      <c r="E262" t="str">
        <f>IF(D262="","",IFERROR(VLOOKUP(D262,CDP!A:C,3,0),""))</f>
        <v/>
      </c>
      <c r="F262" t="str">
        <f>IF(D262="","",IFERROR(VLOOKUP(D262,CDP!A:D,4,0),""))</f>
        <v/>
      </c>
      <c r="H262" t="str">
        <f>IF(G262="","",IFERROR(VLOOKUP(G262,TERCEROS!A:C,3,0),""))</f>
        <v/>
      </c>
      <c r="I262" s="35"/>
      <c r="L262" s="35" t="str">
        <f>IF(A262="","",SUMIF(OBLIGACION!C:C,A262,OBLIGACION!H:H))</f>
        <v/>
      </c>
      <c r="M262" s="35" t="str">
        <f t="shared" si="9"/>
        <v/>
      </c>
    </row>
    <row r="263" spans="2:13" x14ac:dyDescent="0.3">
      <c r="B263" s="36"/>
      <c r="C263" t="str">
        <f t="shared" si="8"/>
        <v/>
      </c>
      <c r="E263" t="str">
        <f>IF(D263="","",IFERROR(VLOOKUP(D263,CDP!A:C,3,0),""))</f>
        <v/>
      </c>
      <c r="F263" t="str">
        <f>IF(D263="","",IFERROR(VLOOKUP(D263,CDP!A:D,4,0),""))</f>
        <v/>
      </c>
      <c r="H263" t="str">
        <f>IF(G263="","",IFERROR(VLOOKUP(G263,TERCEROS!A:C,3,0),""))</f>
        <v/>
      </c>
      <c r="I263" s="35"/>
      <c r="L263" s="35" t="str">
        <f>IF(A263="","",SUMIF(OBLIGACION!C:C,A263,OBLIGACION!H:H))</f>
        <v/>
      </c>
      <c r="M263" s="35" t="str">
        <f t="shared" si="9"/>
        <v/>
      </c>
    </row>
    <row r="264" spans="2:13" x14ac:dyDescent="0.3">
      <c r="B264" s="36"/>
      <c r="C264" t="str">
        <f t="shared" si="8"/>
        <v/>
      </c>
      <c r="E264" t="str">
        <f>IF(D264="","",IFERROR(VLOOKUP(D264,CDP!A:C,3,0),""))</f>
        <v/>
      </c>
      <c r="F264" t="str">
        <f>IF(D264="","",IFERROR(VLOOKUP(D264,CDP!A:D,4,0),""))</f>
        <v/>
      </c>
      <c r="H264" t="str">
        <f>IF(G264="","",IFERROR(VLOOKUP(G264,TERCEROS!A:C,3,0),""))</f>
        <v/>
      </c>
      <c r="I264" s="35"/>
      <c r="L264" s="35" t="str">
        <f>IF(A264="","",SUMIF(OBLIGACION!C:C,A264,OBLIGACION!H:H))</f>
        <v/>
      </c>
      <c r="M264" s="35" t="str">
        <f t="shared" si="9"/>
        <v/>
      </c>
    </row>
    <row r="265" spans="2:13" x14ac:dyDescent="0.3">
      <c r="B265" s="36"/>
      <c r="C265" t="str">
        <f t="shared" si="8"/>
        <v/>
      </c>
      <c r="E265" t="str">
        <f>IF(D265="","",IFERROR(VLOOKUP(D265,CDP!A:C,3,0),""))</f>
        <v/>
      </c>
      <c r="F265" t="str">
        <f>IF(D265="","",IFERROR(VLOOKUP(D265,CDP!A:D,4,0),""))</f>
        <v/>
      </c>
      <c r="H265" t="str">
        <f>IF(G265="","",IFERROR(VLOOKUP(G265,TERCEROS!A:C,3,0),""))</f>
        <v/>
      </c>
      <c r="I265" s="35"/>
      <c r="L265" s="35" t="str">
        <f>IF(A265="","",SUMIF(OBLIGACION!C:C,A265,OBLIGACION!H:H))</f>
        <v/>
      </c>
      <c r="M265" s="35" t="str">
        <f t="shared" si="9"/>
        <v/>
      </c>
    </row>
    <row r="266" spans="2:13" x14ac:dyDescent="0.3">
      <c r="B266" s="36"/>
      <c r="C266" t="str">
        <f t="shared" si="8"/>
        <v/>
      </c>
      <c r="E266" t="str">
        <f>IF(D266="","",IFERROR(VLOOKUP(D266,CDP!A:C,3,0),""))</f>
        <v/>
      </c>
      <c r="F266" t="str">
        <f>IF(D266="","",IFERROR(VLOOKUP(D266,CDP!A:D,4,0),""))</f>
        <v/>
      </c>
      <c r="H266" t="str">
        <f>IF(G266="","",IFERROR(VLOOKUP(G266,TERCEROS!A:C,3,0),""))</f>
        <v/>
      </c>
      <c r="I266" s="35"/>
      <c r="L266" s="35" t="str">
        <f>IF(A266="","",SUMIF(OBLIGACION!C:C,A266,OBLIGACION!H:H))</f>
        <v/>
      </c>
      <c r="M266" s="35" t="str">
        <f t="shared" si="9"/>
        <v/>
      </c>
    </row>
    <row r="267" spans="2:13" x14ac:dyDescent="0.3">
      <c r="B267" s="36"/>
      <c r="C267" t="str">
        <f t="shared" si="8"/>
        <v/>
      </c>
      <c r="E267" t="str">
        <f>IF(D267="","",IFERROR(VLOOKUP(D267,CDP!A:C,3,0),""))</f>
        <v/>
      </c>
      <c r="F267" t="str">
        <f>IF(D267="","",IFERROR(VLOOKUP(D267,CDP!A:D,4,0),""))</f>
        <v/>
      </c>
      <c r="H267" t="str">
        <f>IF(G267="","",IFERROR(VLOOKUP(G267,TERCEROS!A:C,3,0),""))</f>
        <v/>
      </c>
      <c r="I267" s="35"/>
      <c r="L267" s="35" t="str">
        <f>IF(A267="","",SUMIF(OBLIGACION!C:C,A267,OBLIGACION!H:H))</f>
        <v/>
      </c>
      <c r="M267" s="35" t="str">
        <f t="shared" si="9"/>
        <v/>
      </c>
    </row>
    <row r="268" spans="2:13" x14ac:dyDescent="0.3">
      <c r="B268" s="36"/>
      <c r="C268" t="str">
        <f t="shared" si="8"/>
        <v/>
      </c>
      <c r="E268" t="str">
        <f>IF(D268="","",IFERROR(VLOOKUP(D268,CDP!A:C,3,0),""))</f>
        <v/>
      </c>
      <c r="F268" t="str">
        <f>IF(D268="","",IFERROR(VLOOKUP(D268,CDP!A:D,4,0),""))</f>
        <v/>
      </c>
      <c r="H268" t="str">
        <f>IF(G268="","",IFERROR(VLOOKUP(G268,TERCEROS!A:C,3,0),""))</f>
        <v/>
      </c>
      <c r="I268" s="35"/>
      <c r="L268" s="35" t="str">
        <f>IF(A268="","",SUMIF(OBLIGACION!C:C,A268,OBLIGACION!H:H))</f>
        <v/>
      </c>
      <c r="M268" s="35" t="str">
        <f t="shared" si="9"/>
        <v/>
      </c>
    </row>
    <row r="269" spans="2:13" x14ac:dyDescent="0.3">
      <c r="B269" s="36"/>
      <c r="C269" t="str">
        <f t="shared" si="8"/>
        <v/>
      </c>
      <c r="E269" t="str">
        <f>IF(D269="","",IFERROR(VLOOKUP(D269,CDP!A:C,3,0),""))</f>
        <v/>
      </c>
      <c r="F269" t="str">
        <f>IF(D269="","",IFERROR(VLOOKUP(D269,CDP!A:D,4,0),""))</f>
        <v/>
      </c>
      <c r="H269" t="str">
        <f>IF(G269="","",IFERROR(VLOOKUP(G269,TERCEROS!A:C,3,0),""))</f>
        <v/>
      </c>
      <c r="I269" s="35"/>
      <c r="L269" s="35" t="str">
        <f>IF(A269="","",SUMIF(OBLIGACION!C:C,A269,OBLIGACION!H:H))</f>
        <v/>
      </c>
      <c r="M269" s="35" t="str">
        <f t="shared" si="9"/>
        <v/>
      </c>
    </row>
    <row r="270" spans="2:13" x14ac:dyDescent="0.3">
      <c r="B270" s="36"/>
      <c r="C270" t="str">
        <f t="shared" si="8"/>
        <v/>
      </c>
      <c r="E270" t="str">
        <f>IF(D270="","",IFERROR(VLOOKUP(D270,CDP!A:C,3,0),""))</f>
        <v/>
      </c>
      <c r="F270" t="str">
        <f>IF(D270="","",IFERROR(VLOOKUP(D270,CDP!A:D,4,0),""))</f>
        <v/>
      </c>
      <c r="H270" t="str">
        <f>IF(G270="","",IFERROR(VLOOKUP(G270,TERCEROS!A:C,3,0),""))</f>
        <v/>
      </c>
      <c r="I270" s="35"/>
      <c r="L270" s="35" t="str">
        <f>IF(A270="","",SUMIF(OBLIGACION!C:C,A270,OBLIGACION!H:H))</f>
        <v/>
      </c>
      <c r="M270" s="35" t="str">
        <f t="shared" si="9"/>
        <v/>
      </c>
    </row>
    <row r="271" spans="2:13" x14ac:dyDescent="0.3">
      <c r="B271" s="36"/>
      <c r="C271" t="str">
        <f t="shared" si="8"/>
        <v/>
      </c>
      <c r="E271" t="str">
        <f>IF(D271="","",IFERROR(VLOOKUP(D271,CDP!A:C,3,0),""))</f>
        <v/>
      </c>
      <c r="F271" t="str">
        <f>IF(D271="","",IFERROR(VLOOKUP(D271,CDP!A:D,4,0),""))</f>
        <v/>
      </c>
      <c r="H271" t="str">
        <f>IF(G271="","",IFERROR(VLOOKUP(G271,TERCEROS!A:C,3,0),""))</f>
        <v/>
      </c>
      <c r="I271" s="35"/>
      <c r="L271" s="35" t="str">
        <f>IF(A271="","",SUMIF(OBLIGACION!C:C,A271,OBLIGACION!H:H))</f>
        <v/>
      </c>
      <c r="M271" s="35" t="str">
        <f t="shared" si="9"/>
        <v/>
      </c>
    </row>
    <row r="272" spans="2:13" x14ac:dyDescent="0.3">
      <c r="B272" s="36"/>
      <c r="C272" t="str">
        <f t="shared" si="8"/>
        <v/>
      </c>
      <c r="E272" t="str">
        <f>IF(D272="","",IFERROR(VLOOKUP(D272,CDP!A:C,3,0),""))</f>
        <v/>
      </c>
      <c r="F272" t="str">
        <f>IF(D272="","",IFERROR(VLOOKUP(D272,CDP!A:D,4,0),""))</f>
        <v/>
      </c>
      <c r="H272" t="str">
        <f>IF(G272="","",IFERROR(VLOOKUP(G272,TERCEROS!A:C,3,0),""))</f>
        <v/>
      </c>
      <c r="I272" s="35"/>
      <c r="L272" s="35" t="str">
        <f>IF(A272="","",SUMIF(OBLIGACION!C:C,A272,OBLIGACION!H:H))</f>
        <v/>
      </c>
      <c r="M272" s="35" t="str">
        <f t="shared" si="9"/>
        <v/>
      </c>
    </row>
    <row r="273" spans="2:13" x14ac:dyDescent="0.3">
      <c r="B273" s="36"/>
      <c r="C273" t="str">
        <f t="shared" si="8"/>
        <v/>
      </c>
      <c r="E273" t="str">
        <f>IF(D273="","",IFERROR(VLOOKUP(D273,CDP!A:C,3,0),""))</f>
        <v/>
      </c>
      <c r="F273" t="str">
        <f>IF(D273="","",IFERROR(VLOOKUP(D273,CDP!A:D,4,0),""))</f>
        <v/>
      </c>
      <c r="H273" t="str">
        <f>IF(G273="","",IFERROR(VLOOKUP(G273,TERCEROS!A:C,3,0),""))</f>
        <v/>
      </c>
      <c r="I273" s="35"/>
      <c r="L273" s="35" t="str">
        <f>IF(A273="","",SUMIF(OBLIGACION!C:C,A273,OBLIGACION!H:H))</f>
        <v/>
      </c>
      <c r="M273" s="35" t="str">
        <f t="shared" si="9"/>
        <v/>
      </c>
    </row>
    <row r="274" spans="2:13" x14ac:dyDescent="0.3">
      <c r="B274" s="36"/>
      <c r="C274" t="str">
        <f t="shared" si="8"/>
        <v/>
      </c>
      <c r="E274" t="str">
        <f>IF(D274="","",IFERROR(VLOOKUP(D274,CDP!A:C,3,0),""))</f>
        <v/>
      </c>
      <c r="F274" t="str">
        <f>IF(D274="","",IFERROR(VLOOKUP(D274,CDP!A:D,4,0),""))</f>
        <v/>
      </c>
      <c r="H274" t="str">
        <f>IF(G274="","",IFERROR(VLOOKUP(G274,TERCEROS!A:C,3,0),""))</f>
        <v/>
      </c>
      <c r="I274" s="35"/>
      <c r="L274" s="35" t="str">
        <f>IF(A274="","",SUMIF(OBLIGACION!C:C,A274,OBLIGACION!H:H))</f>
        <v/>
      </c>
      <c r="M274" s="35" t="str">
        <f t="shared" si="9"/>
        <v/>
      </c>
    </row>
    <row r="275" spans="2:13" x14ac:dyDescent="0.3">
      <c r="B275" s="36"/>
      <c r="C275" t="str">
        <f t="shared" si="8"/>
        <v/>
      </c>
      <c r="E275" t="str">
        <f>IF(D275="","",IFERROR(VLOOKUP(D275,CDP!A:C,3,0),""))</f>
        <v/>
      </c>
      <c r="F275" t="str">
        <f>IF(D275="","",IFERROR(VLOOKUP(D275,CDP!A:D,4,0),""))</f>
        <v/>
      </c>
      <c r="H275" t="str">
        <f>IF(G275="","",IFERROR(VLOOKUP(G275,TERCEROS!A:C,3,0),""))</f>
        <v/>
      </c>
      <c r="I275" s="35"/>
      <c r="L275" s="35" t="str">
        <f>IF(A275="","",SUMIF(OBLIGACION!C:C,A275,OBLIGACION!H:H))</f>
        <v/>
      </c>
      <c r="M275" s="35" t="str">
        <f t="shared" si="9"/>
        <v/>
      </c>
    </row>
    <row r="276" spans="2:13" x14ac:dyDescent="0.3">
      <c r="B276" s="36"/>
      <c r="C276" t="str">
        <f t="shared" si="8"/>
        <v/>
      </c>
      <c r="E276" t="str">
        <f>IF(D276="","",IFERROR(VLOOKUP(D276,CDP!A:C,3,0),""))</f>
        <v/>
      </c>
      <c r="F276" t="str">
        <f>IF(D276="","",IFERROR(VLOOKUP(D276,CDP!A:D,4,0),""))</f>
        <v/>
      </c>
      <c r="H276" t="str">
        <f>IF(G276="","",IFERROR(VLOOKUP(G276,TERCEROS!A:C,3,0),""))</f>
        <v/>
      </c>
      <c r="I276" s="35"/>
      <c r="L276" s="35" t="str">
        <f>IF(A276="","",SUMIF(OBLIGACION!C:C,A276,OBLIGACION!H:H))</f>
        <v/>
      </c>
      <c r="M276" s="35" t="str">
        <f t="shared" si="9"/>
        <v/>
      </c>
    </row>
    <row r="277" spans="2:13" x14ac:dyDescent="0.3">
      <c r="B277" s="36"/>
      <c r="C277" t="str">
        <f t="shared" si="8"/>
        <v/>
      </c>
      <c r="E277" t="str">
        <f>IF(D277="","",IFERROR(VLOOKUP(D277,CDP!A:C,3,0),""))</f>
        <v/>
      </c>
      <c r="F277" t="str">
        <f>IF(D277="","",IFERROR(VLOOKUP(D277,CDP!A:D,4,0),""))</f>
        <v/>
      </c>
      <c r="H277" t="str">
        <f>IF(G277="","",IFERROR(VLOOKUP(G277,TERCEROS!A:C,3,0),""))</f>
        <v/>
      </c>
      <c r="I277" s="35"/>
      <c r="L277" s="35" t="str">
        <f>IF(A277="","",SUMIF(OBLIGACION!C:C,A277,OBLIGACION!H:H))</f>
        <v/>
      </c>
      <c r="M277" s="35" t="str">
        <f t="shared" si="9"/>
        <v/>
      </c>
    </row>
    <row r="278" spans="2:13" x14ac:dyDescent="0.3">
      <c r="B278" s="36"/>
      <c r="C278" t="str">
        <f t="shared" si="8"/>
        <v/>
      </c>
      <c r="E278" t="str">
        <f>IF(D278="","",IFERROR(VLOOKUP(D278,CDP!A:C,3,0),""))</f>
        <v/>
      </c>
      <c r="F278" t="str">
        <f>IF(D278="","",IFERROR(VLOOKUP(D278,CDP!A:D,4,0),""))</f>
        <v/>
      </c>
      <c r="H278" t="str">
        <f>IF(G278="","",IFERROR(VLOOKUP(G278,TERCEROS!A:C,3,0),""))</f>
        <v/>
      </c>
      <c r="I278" s="35"/>
      <c r="L278" s="35" t="str">
        <f>IF(A278="","",SUMIF(OBLIGACION!C:C,A278,OBLIGACION!H:H))</f>
        <v/>
      </c>
      <c r="M278" s="35" t="str">
        <f t="shared" si="9"/>
        <v/>
      </c>
    </row>
    <row r="279" spans="2:13" x14ac:dyDescent="0.3">
      <c r="B279" s="36"/>
      <c r="C279" t="str">
        <f t="shared" si="8"/>
        <v/>
      </c>
      <c r="E279" t="str">
        <f>IF(D279="","",IFERROR(VLOOKUP(D279,CDP!A:C,3,0),""))</f>
        <v/>
      </c>
      <c r="F279" t="str">
        <f>IF(D279="","",IFERROR(VLOOKUP(D279,CDP!A:D,4,0),""))</f>
        <v/>
      </c>
      <c r="H279" t="str">
        <f>IF(G279="","",IFERROR(VLOOKUP(G279,TERCEROS!A:C,3,0),""))</f>
        <v/>
      </c>
      <c r="I279" s="35"/>
      <c r="L279" s="35" t="str">
        <f>IF(A279="","",SUMIF(OBLIGACION!C:C,A279,OBLIGACION!H:H))</f>
        <v/>
      </c>
      <c r="M279" s="35" t="str">
        <f t="shared" si="9"/>
        <v/>
      </c>
    </row>
    <row r="280" spans="2:13" x14ac:dyDescent="0.3">
      <c r="B280" s="36"/>
      <c r="C280" t="str">
        <f t="shared" si="8"/>
        <v/>
      </c>
      <c r="E280" t="str">
        <f>IF(D280="","",IFERROR(VLOOKUP(D280,CDP!A:C,3,0),""))</f>
        <v/>
      </c>
      <c r="F280" t="str">
        <f>IF(D280="","",IFERROR(VLOOKUP(D280,CDP!A:D,4,0),""))</f>
        <v/>
      </c>
      <c r="H280" t="str">
        <f>IF(G280="","",IFERROR(VLOOKUP(G280,TERCEROS!A:C,3,0),""))</f>
        <v/>
      </c>
      <c r="I280" s="35"/>
      <c r="L280" s="35" t="str">
        <f>IF(A280="","",SUMIF(OBLIGACION!C:C,A280,OBLIGACION!H:H))</f>
        <v/>
      </c>
      <c r="M280" s="35" t="str">
        <f t="shared" si="9"/>
        <v/>
      </c>
    </row>
    <row r="281" spans="2:13" x14ac:dyDescent="0.3">
      <c r="B281" s="36"/>
      <c r="C281" t="str">
        <f t="shared" si="8"/>
        <v/>
      </c>
      <c r="E281" t="str">
        <f>IF(D281="","",IFERROR(VLOOKUP(D281,CDP!A:C,3,0),""))</f>
        <v/>
      </c>
      <c r="F281" t="str">
        <f>IF(D281="","",IFERROR(VLOOKUP(D281,CDP!A:D,4,0),""))</f>
        <v/>
      </c>
      <c r="H281" t="str">
        <f>IF(G281="","",IFERROR(VLOOKUP(G281,TERCEROS!A:C,3,0),""))</f>
        <v/>
      </c>
      <c r="I281" s="35"/>
      <c r="L281" s="35" t="str">
        <f>IF(A281="","",SUMIF(OBLIGACION!C:C,A281,OBLIGACION!H:H))</f>
        <v/>
      </c>
      <c r="M281" s="35" t="str">
        <f t="shared" si="9"/>
        <v/>
      </c>
    </row>
    <row r="282" spans="2:13" x14ac:dyDescent="0.3">
      <c r="B282" s="36"/>
      <c r="C282" t="str">
        <f t="shared" si="8"/>
        <v/>
      </c>
      <c r="E282" t="str">
        <f>IF(D282="","",IFERROR(VLOOKUP(D282,CDP!A:C,3,0),""))</f>
        <v/>
      </c>
      <c r="F282" t="str">
        <f>IF(D282="","",IFERROR(VLOOKUP(D282,CDP!A:D,4,0),""))</f>
        <v/>
      </c>
      <c r="H282" t="str">
        <f>IF(G282="","",IFERROR(VLOOKUP(G282,TERCEROS!A:C,3,0),""))</f>
        <v/>
      </c>
      <c r="I282" s="35"/>
      <c r="L282" s="35" t="str">
        <f>IF(A282="","",SUMIF(OBLIGACION!C:C,A282,OBLIGACION!H:H))</f>
        <v/>
      </c>
      <c r="M282" s="35" t="str">
        <f t="shared" si="9"/>
        <v/>
      </c>
    </row>
    <row r="283" spans="2:13" x14ac:dyDescent="0.3">
      <c r="B283" s="36"/>
      <c r="C283" t="str">
        <f t="shared" si="8"/>
        <v/>
      </c>
      <c r="E283" t="str">
        <f>IF(D283="","",IFERROR(VLOOKUP(D283,CDP!A:C,3,0),""))</f>
        <v/>
      </c>
      <c r="F283" t="str">
        <f>IF(D283="","",IFERROR(VLOOKUP(D283,CDP!A:D,4,0),""))</f>
        <v/>
      </c>
      <c r="H283" t="str">
        <f>IF(G283="","",IFERROR(VLOOKUP(G283,TERCEROS!A:C,3,0),""))</f>
        <v/>
      </c>
      <c r="I283" s="35"/>
      <c r="L283" s="35" t="str">
        <f>IF(A283="","",SUMIF(OBLIGACION!C:C,A283,OBLIGACION!H:H))</f>
        <v/>
      </c>
      <c r="M283" s="35" t="str">
        <f t="shared" si="9"/>
        <v/>
      </c>
    </row>
    <row r="284" spans="2:13" x14ac:dyDescent="0.3">
      <c r="B284" s="36"/>
      <c r="C284" t="str">
        <f t="shared" si="8"/>
        <v/>
      </c>
      <c r="E284" t="str">
        <f>IF(D284="","",IFERROR(VLOOKUP(D284,CDP!A:C,3,0),""))</f>
        <v/>
      </c>
      <c r="F284" t="str">
        <f>IF(D284="","",IFERROR(VLOOKUP(D284,CDP!A:D,4,0),""))</f>
        <v/>
      </c>
      <c r="H284" t="str">
        <f>IF(G284="","",IFERROR(VLOOKUP(G284,TERCEROS!A:C,3,0),""))</f>
        <v/>
      </c>
      <c r="I284" s="35"/>
      <c r="L284" s="35" t="str">
        <f>IF(A284="","",SUMIF(OBLIGACION!C:C,A284,OBLIGACION!H:H))</f>
        <v/>
      </c>
      <c r="M284" s="35" t="str">
        <f t="shared" si="9"/>
        <v/>
      </c>
    </row>
    <row r="285" spans="2:13" x14ac:dyDescent="0.3">
      <c r="B285" s="36"/>
      <c r="C285" t="str">
        <f t="shared" si="8"/>
        <v/>
      </c>
      <c r="E285" t="str">
        <f>IF(D285="","",IFERROR(VLOOKUP(D285,CDP!A:C,3,0),""))</f>
        <v/>
      </c>
      <c r="F285" t="str">
        <f>IF(D285="","",IFERROR(VLOOKUP(D285,CDP!A:D,4,0),""))</f>
        <v/>
      </c>
      <c r="H285" t="str">
        <f>IF(G285="","",IFERROR(VLOOKUP(G285,TERCEROS!A:C,3,0),""))</f>
        <v/>
      </c>
      <c r="I285" s="35"/>
      <c r="L285" s="35" t="str">
        <f>IF(A285="","",SUMIF(OBLIGACION!C:C,A285,OBLIGACION!H:H))</f>
        <v/>
      </c>
      <c r="M285" s="35" t="str">
        <f t="shared" si="9"/>
        <v/>
      </c>
    </row>
    <row r="286" spans="2:13" x14ac:dyDescent="0.3">
      <c r="B286" s="36"/>
      <c r="C286" t="str">
        <f t="shared" si="8"/>
        <v/>
      </c>
      <c r="E286" t="str">
        <f>IF(D286="","",IFERROR(VLOOKUP(D286,CDP!A:C,3,0),""))</f>
        <v/>
      </c>
      <c r="F286" t="str">
        <f>IF(D286="","",IFERROR(VLOOKUP(D286,CDP!A:D,4,0),""))</f>
        <v/>
      </c>
      <c r="H286" t="str">
        <f>IF(G286="","",IFERROR(VLOOKUP(G286,TERCEROS!A:C,3,0),""))</f>
        <v/>
      </c>
      <c r="I286" s="35"/>
      <c r="L286" s="35" t="str">
        <f>IF(A286="","",SUMIF(OBLIGACION!C:C,A286,OBLIGACION!H:H))</f>
        <v/>
      </c>
      <c r="M286" s="35" t="str">
        <f t="shared" si="9"/>
        <v/>
      </c>
    </row>
    <row r="287" spans="2:13" x14ac:dyDescent="0.3">
      <c r="B287" s="36"/>
      <c r="C287" t="str">
        <f t="shared" si="8"/>
        <v/>
      </c>
      <c r="E287" t="str">
        <f>IF(D287="","",IFERROR(VLOOKUP(D287,CDP!A:C,3,0),""))</f>
        <v/>
      </c>
      <c r="F287" t="str">
        <f>IF(D287="","",IFERROR(VLOOKUP(D287,CDP!A:D,4,0),""))</f>
        <v/>
      </c>
      <c r="H287" t="str">
        <f>IF(G287="","",IFERROR(VLOOKUP(G287,TERCEROS!A:C,3,0),""))</f>
        <v/>
      </c>
      <c r="I287" s="35"/>
      <c r="L287" s="35" t="str">
        <f>IF(A287="","",SUMIF(OBLIGACION!C:C,A287,OBLIGACION!H:H))</f>
        <v/>
      </c>
      <c r="M287" s="35" t="str">
        <f t="shared" si="9"/>
        <v/>
      </c>
    </row>
    <row r="288" spans="2:13" x14ac:dyDescent="0.3">
      <c r="B288" s="36"/>
      <c r="C288" t="str">
        <f t="shared" si="8"/>
        <v/>
      </c>
      <c r="E288" t="str">
        <f>IF(D288="","",IFERROR(VLOOKUP(D288,CDP!A:C,3,0),""))</f>
        <v/>
      </c>
      <c r="F288" t="str">
        <f>IF(D288="","",IFERROR(VLOOKUP(D288,CDP!A:D,4,0),""))</f>
        <v/>
      </c>
      <c r="H288" t="str">
        <f>IF(G288="","",IFERROR(VLOOKUP(G288,TERCEROS!A:C,3,0),""))</f>
        <v/>
      </c>
      <c r="I288" s="35"/>
      <c r="L288" s="35" t="str">
        <f>IF(A288="","",SUMIF(OBLIGACION!C:C,A288,OBLIGACION!H:H))</f>
        <v/>
      </c>
      <c r="M288" s="35" t="str">
        <f t="shared" si="9"/>
        <v/>
      </c>
    </row>
    <row r="289" spans="2:13" x14ac:dyDescent="0.3">
      <c r="B289" s="36"/>
      <c r="C289" t="str">
        <f t="shared" si="8"/>
        <v/>
      </c>
      <c r="E289" t="str">
        <f>IF(D289="","",IFERROR(VLOOKUP(D289,CDP!A:C,3,0),""))</f>
        <v/>
      </c>
      <c r="F289" t="str">
        <f>IF(D289="","",IFERROR(VLOOKUP(D289,CDP!A:D,4,0),""))</f>
        <v/>
      </c>
      <c r="H289" t="str">
        <f>IF(G289="","",IFERROR(VLOOKUP(G289,TERCEROS!A:C,3,0),""))</f>
        <v/>
      </c>
      <c r="I289" s="35"/>
      <c r="L289" s="35" t="str">
        <f>IF(A289="","",SUMIF(OBLIGACION!C:C,A289,OBLIGACION!H:H))</f>
        <v/>
      </c>
      <c r="M289" s="35" t="str">
        <f t="shared" si="9"/>
        <v/>
      </c>
    </row>
    <row r="290" spans="2:13" x14ac:dyDescent="0.3">
      <c r="B290" s="36"/>
      <c r="C290" t="str">
        <f t="shared" si="8"/>
        <v/>
      </c>
      <c r="E290" t="str">
        <f>IF(D290="","",IFERROR(VLOOKUP(D290,CDP!A:C,3,0),""))</f>
        <v/>
      </c>
      <c r="F290" t="str">
        <f>IF(D290="","",IFERROR(VLOOKUP(D290,CDP!A:D,4,0),""))</f>
        <v/>
      </c>
      <c r="H290" t="str">
        <f>IF(G290="","",IFERROR(VLOOKUP(G290,TERCEROS!A:C,3,0),""))</f>
        <v/>
      </c>
      <c r="I290" s="35"/>
      <c r="L290" s="35" t="str">
        <f>IF(A290="","",SUMIF(OBLIGACION!C:C,A290,OBLIGACION!H:H))</f>
        <v/>
      </c>
      <c r="M290" s="35" t="str">
        <f t="shared" si="9"/>
        <v/>
      </c>
    </row>
    <row r="291" spans="2:13" x14ac:dyDescent="0.3">
      <c r="B291" s="36"/>
      <c r="C291" t="str">
        <f t="shared" si="8"/>
        <v/>
      </c>
      <c r="E291" t="str">
        <f>IF(D291="","",IFERROR(VLOOKUP(D291,CDP!A:C,3,0),""))</f>
        <v/>
      </c>
      <c r="F291" t="str">
        <f>IF(D291="","",IFERROR(VLOOKUP(D291,CDP!A:D,4,0),""))</f>
        <v/>
      </c>
      <c r="H291" t="str">
        <f>IF(G291="","",IFERROR(VLOOKUP(G291,TERCEROS!A:C,3,0),""))</f>
        <v/>
      </c>
      <c r="I291" s="35"/>
      <c r="L291" s="35" t="str">
        <f>IF(A291="","",SUMIF(OBLIGACION!C:C,A291,OBLIGACION!H:H))</f>
        <v/>
      </c>
      <c r="M291" s="35" t="str">
        <f t="shared" si="9"/>
        <v/>
      </c>
    </row>
    <row r="292" spans="2:13" x14ac:dyDescent="0.3">
      <c r="B292" s="36"/>
      <c r="C292" t="str">
        <f t="shared" si="8"/>
        <v/>
      </c>
      <c r="E292" t="str">
        <f>IF(D292="","",IFERROR(VLOOKUP(D292,CDP!A:C,3,0),""))</f>
        <v/>
      </c>
      <c r="F292" t="str">
        <f>IF(D292="","",IFERROR(VLOOKUP(D292,CDP!A:D,4,0),""))</f>
        <v/>
      </c>
      <c r="H292" t="str">
        <f>IF(G292="","",IFERROR(VLOOKUP(G292,TERCEROS!A:C,3,0),""))</f>
        <v/>
      </c>
      <c r="I292" s="35"/>
      <c r="L292" s="35" t="str">
        <f>IF(A292="","",SUMIF(OBLIGACION!C:C,A292,OBLIGACION!H:H))</f>
        <v/>
      </c>
      <c r="M292" s="35" t="str">
        <f t="shared" si="9"/>
        <v/>
      </c>
    </row>
    <row r="293" spans="2:13" x14ac:dyDescent="0.3">
      <c r="B293" s="36"/>
      <c r="C293" t="str">
        <f t="shared" si="8"/>
        <v/>
      </c>
      <c r="E293" t="str">
        <f>IF(D293="","",IFERROR(VLOOKUP(D293,CDP!A:C,3,0),""))</f>
        <v/>
      </c>
      <c r="F293" t="str">
        <f>IF(D293="","",IFERROR(VLOOKUP(D293,CDP!A:D,4,0),""))</f>
        <v/>
      </c>
      <c r="H293" t="str">
        <f>IF(G293="","",IFERROR(VLOOKUP(G293,TERCEROS!A:C,3,0),""))</f>
        <v/>
      </c>
      <c r="I293" s="35"/>
      <c r="L293" s="35" t="str">
        <f>IF(A293="","",SUMIF(OBLIGACION!C:C,A293,OBLIGACION!H:H))</f>
        <v/>
      </c>
      <c r="M293" s="35" t="str">
        <f t="shared" si="9"/>
        <v/>
      </c>
    </row>
    <row r="294" spans="2:13" x14ac:dyDescent="0.3">
      <c r="B294" s="36"/>
      <c r="C294" t="str">
        <f t="shared" si="8"/>
        <v/>
      </c>
      <c r="E294" t="str">
        <f>IF(D294="","",IFERROR(VLOOKUP(D294,CDP!A:C,3,0),""))</f>
        <v/>
      </c>
      <c r="F294" t="str">
        <f>IF(D294="","",IFERROR(VLOOKUP(D294,CDP!A:D,4,0),""))</f>
        <v/>
      </c>
      <c r="H294" t="str">
        <f>IF(G294="","",IFERROR(VLOOKUP(G294,TERCEROS!A:C,3,0),""))</f>
        <v/>
      </c>
      <c r="I294" s="35"/>
      <c r="L294" s="35" t="str">
        <f>IF(A294="","",SUMIF(OBLIGACION!C:C,A294,OBLIGACION!H:H))</f>
        <v/>
      </c>
      <c r="M294" s="35" t="str">
        <f t="shared" si="9"/>
        <v/>
      </c>
    </row>
    <row r="295" spans="2:13" x14ac:dyDescent="0.3">
      <c r="B295" s="36"/>
      <c r="C295" t="str">
        <f t="shared" si="8"/>
        <v/>
      </c>
      <c r="E295" t="str">
        <f>IF(D295="","",IFERROR(VLOOKUP(D295,CDP!A:C,3,0),""))</f>
        <v/>
      </c>
      <c r="F295" t="str">
        <f>IF(D295="","",IFERROR(VLOOKUP(D295,CDP!A:D,4,0),""))</f>
        <v/>
      </c>
      <c r="H295" t="str">
        <f>IF(G295="","",IFERROR(VLOOKUP(G295,TERCEROS!A:C,3,0),""))</f>
        <v/>
      </c>
      <c r="I295" s="35"/>
      <c r="L295" s="35" t="str">
        <f>IF(A295="","",SUMIF(OBLIGACION!C:C,A295,OBLIGACION!H:H))</f>
        <v/>
      </c>
      <c r="M295" s="35" t="str">
        <f t="shared" si="9"/>
        <v/>
      </c>
    </row>
    <row r="296" spans="2:13" x14ac:dyDescent="0.3">
      <c r="B296" s="36"/>
      <c r="C296" t="str">
        <f t="shared" si="8"/>
        <v/>
      </c>
      <c r="E296" t="str">
        <f>IF(D296="","",IFERROR(VLOOKUP(D296,CDP!A:C,3,0),""))</f>
        <v/>
      </c>
      <c r="F296" t="str">
        <f>IF(D296="","",IFERROR(VLOOKUP(D296,CDP!A:D,4,0),""))</f>
        <v/>
      </c>
      <c r="H296" t="str">
        <f>IF(G296="","",IFERROR(VLOOKUP(G296,TERCEROS!A:C,3,0),""))</f>
        <v/>
      </c>
      <c r="I296" s="35"/>
      <c r="L296" s="35" t="str">
        <f>IF(A296="","",SUMIF(OBLIGACION!C:C,A296,OBLIGACION!H:H))</f>
        <v/>
      </c>
      <c r="M296" s="35" t="str">
        <f t="shared" si="9"/>
        <v/>
      </c>
    </row>
    <row r="297" spans="2:13" x14ac:dyDescent="0.3">
      <c r="B297" s="36"/>
      <c r="C297" t="str">
        <f t="shared" si="8"/>
        <v/>
      </c>
      <c r="E297" t="str">
        <f>IF(D297="","",IFERROR(VLOOKUP(D297,CDP!A:C,3,0),""))</f>
        <v/>
      </c>
      <c r="F297" t="str">
        <f>IF(D297="","",IFERROR(VLOOKUP(D297,CDP!A:D,4,0),""))</f>
        <v/>
      </c>
      <c r="H297" t="str">
        <f>IF(G297="","",IFERROR(VLOOKUP(G297,TERCEROS!A:C,3,0),""))</f>
        <v/>
      </c>
      <c r="I297" s="35"/>
      <c r="L297" s="35" t="str">
        <f>IF(A297="","",SUMIF(OBLIGACION!C:C,A297,OBLIGACION!H:H))</f>
        <v/>
      </c>
      <c r="M297" s="35" t="str">
        <f t="shared" si="9"/>
        <v/>
      </c>
    </row>
    <row r="298" spans="2:13" x14ac:dyDescent="0.3">
      <c r="B298" s="36"/>
      <c r="C298" t="str">
        <f t="shared" si="8"/>
        <v/>
      </c>
      <c r="E298" t="str">
        <f>IF(D298="","",IFERROR(VLOOKUP(D298,CDP!A:C,3,0),""))</f>
        <v/>
      </c>
      <c r="F298" t="str">
        <f>IF(D298="","",IFERROR(VLOOKUP(D298,CDP!A:D,4,0),""))</f>
        <v/>
      </c>
      <c r="H298" t="str">
        <f>IF(G298="","",IFERROR(VLOOKUP(G298,TERCEROS!A:C,3,0),""))</f>
        <v/>
      </c>
      <c r="I298" s="35"/>
      <c r="L298" s="35" t="str">
        <f>IF(A298="","",SUMIF(OBLIGACION!C:C,A298,OBLIGACION!H:H))</f>
        <v/>
      </c>
      <c r="M298" s="35" t="str">
        <f t="shared" si="9"/>
        <v/>
      </c>
    </row>
    <row r="299" spans="2:13" x14ac:dyDescent="0.3">
      <c r="B299" s="36"/>
      <c r="C299" t="str">
        <f t="shared" si="8"/>
        <v/>
      </c>
      <c r="E299" t="str">
        <f>IF(D299="","",IFERROR(VLOOKUP(D299,CDP!A:C,3,0),""))</f>
        <v/>
      </c>
      <c r="F299" t="str">
        <f>IF(D299="","",IFERROR(VLOOKUP(D299,CDP!A:D,4,0),""))</f>
        <v/>
      </c>
      <c r="H299" t="str">
        <f>IF(G299="","",IFERROR(VLOOKUP(G299,TERCEROS!A:C,3,0),""))</f>
        <v/>
      </c>
      <c r="I299" s="35"/>
      <c r="L299" s="35" t="str">
        <f>IF(A299="","",SUMIF(OBLIGACION!C:C,A299,OBLIGACION!H:H))</f>
        <v/>
      </c>
      <c r="M299" s="35" t="str">
        <f t="shared" si="9"/>
        <v/>
      </c>
    </row>
    <row r="300" spans="2:13" x14ac:dyDescent="0.3">
      <c r="B300" s="36"/>
      <c r="C300" t="str">
        <f t="shared" si="8"/>
        <v/>
      </c>
      <c r="E300" t="str">
        <f>IF(D300="","",IFERROR(VLOOKUP(D300,CDP!A:C,3,0),""))</f>
        <v/>
      </c>
      <c r="F300" t="str">
        <f>IF(D300="","",IFERROR(VLOOKUP(D300,CDP!A:D,4,0),""))</f>
        <v/>
      </c>
      <c r="H300" t="str">
        <f>IF(G300="","",IFERROR(VLOOKUP(G300,TERCEROS!A:C,3,0),""))</f>
        <v/>
      </c>
      <c r="I300" s="35"/>
      <c r="L300" s="35" t="str">
        <f>IF(A300="","",SUMIF(OBLIGACION!C:C,A300,OBLIGACION!H:H))</f>
        <v/>
      </c>
      <c r="M300" s="35" t="str">
        <f t="shared" si="9"/>
        <v/>
      </c>
    </row>
    <row r="301" spans="2:13" x14ac:dyDescent="0.3">
      <c r="B301" s="36"/>
      <c r="C301" t="str">
        <f t="shared" si="8"/>
        <v/>
      </c>
      <c r="E301" t="str">
        <f>IF(D301="","",IFERROR(VLOOKUP(D301,CDP!A:C,3,0),""))</f>
        <v/>
      </c>
      <c r="F301" t="str">
        <f>IF(D301="","",IFERROR(VLOOKUP(D301,CDP!A:D,4,0),""))</f>
        <v/>
      </c>
      <c r="H301" t="str">
        <f>IF(G301="","",IFERROR(VLOOKUP(G301,TERCEROS!A:C,3,0),""))</f>
        <v/>
      </c>
      <c r="I301" s="35"/>
      <c r="L301" s="35" t="str">
        <f>IF(A301="","",SUMIF(OBLIGACION!C:C,A301,OBLIGACION!H:H))</f>
        <v/>
      </c>
      <c r="M301" s="35" t="str">
        <f t="shared" si="9"/>
        <v/>
      </c>
    </row>
    <row r="302" spans="2:13" x14ac:dyDescent="0.3">
      <c r="B302" s="36"/>
      <c r="C302" t="str">
        <f t="shared" si="8"/>
        <v/>
      </c>
      <c r="E302" t="str">
        <f>IF(D302="","",IFERROR(VLOOKUP(D302,CDP!A:C,3,0),""))</f>
        <v/>
      </c>
      <c r="F302" t="str">
        <f>IF(D302="","",IFERROR(VLOOKUP(D302,CDP!A:D,4,0),""))</f>
        <v/>
      </c>
      <c r="H302" t="str">
        <f>IF(G302="","",IFERROR(VLOOKUP(G302,TERCEROS!A:C,3,0),""))</f>
        <v/>
      </c>
      <c r="I302" s="35"/>
      <c r="L302" s="35" t="str">
        <f>IF(A302="","",SUMIF(OBLIGACION!C:C,A302,OBLIGACION!H:H))</f>
        <v/>
      </c>
      <c r="M302" s="35" t="str">
        <f t="shared" si="9"/>
        <v/>
      </c>
    </row>
    <row r="303" spans="2:13" x14ac:dyDescent="0.3">
      <c r="B303" s="36"/>
      <c r="C303" t="str">
        <f t="shared" si="8"/>
        <v/>
      </c>
      <c r="E303" t="str">
        <f>IF(D303="","",IFERROR(VLOOKUP(D303,CDP!A:C,3,0),""))</f>
        <v/>
      </c>
      <c r="F303" t="str">
        <f>IF(D303="","",IFERROR(VLOOKUP(D303,CDP!A:D,4,0),""))</f>
        <v/>
      </c>
      <c r="H303" t="str">
        <f>IF(G303="","",IFERROR(VLOOKUP(G303,TERCEROS!A:C,3,0),""))</f>
        <v/>
      </c>
      <c r="I303" s="35"/>
      <c r="L303" s="35" t="str">
        <f>IF(A303="","",SUMIF(OBLIGACION!C:C,A303,OBLIGACION!H:H))</f>
        <v/>
      </c>
      <c r="M303" s="35" t="str">
        <f t="shared" si="9"/>
        <v/>
      </c>
    </row>
    <row r="304" spans="2:13" x14ac:dyDescent="0.3">
      <c r="B304" s="36"/>
      <c r="C304" t="str">
        <f t="shared" si="8"/>
        <v/>
      </c>
      <c r="E304" t="str">
        <f>IF(D304="","",IFERROR(VLOOKUP(D304,CDP!A:C,3,0),""))</f>
        <v/>
      </c>
      <c r="F304" t="str">
        <f>IF(D304="","",IFERROR(VLOOKUP(D304,CDP!A:D,4,0),""))</f>
        <v/>
      </c>
      <c r="H304" t="str">
        <f>IF(G304="","",IFERROR(VLOOKUP(G304,TERCEROS!A:C,3,0),""))</f>
        <v/>
      </c>
      <c r="I304" s="35"/>
      <c r="L304" s="35" t="str">
        <f>IF(A304="","",SUMIF(OBLIGACION!C:C,A304,OBLIGACION!H:H))</f>
        <v/>
      </c>
      <c r="M304" s="35" t="str">
        <f t="shared" si="9"/>
        <v/>
      </c>
    </row>
    <row r="305" spans="2:13" x14ac:dyDescent="0.3">
      <c r="B305" s="36"/>
      <c r="C305" t="str">
        <f t="shared" si="8"/>
        <v/>
      </c>
      <c r="E305" t="str">
        <f>IF(D305="","",IFERROR(VLOOKUP(D305,CDP!A:C,3,0),""))</f>
        <v/>
      </c>
      <c r="F305" t="str">
        <f>IF(D305="","",IFERROR(VLOOKUP(D305,CDP!A:D,4,0),""))</f>
        <v/>
      </c>
      <c r="H305" t="str">
        <f>IF(G305="","",IFERROR(VLOOKUP(G305,TERCEROS!A:C,3,0),""))</f>
        <v/>
      </c>
      <c r="I305" s="35"/>
      <c r="L305" s="35" t="str">
        <f>IF(A305="","",SUMIF(OBLIGACION!C:C,A305,OBLIGACION!H:H))</f>
        <v/>
      </c>
      <c r="M305" s="35" t="str">
        <f t="shared" si="9"/>
        <v/>
      </c>
    </row>
    <row r="306" spans="2:13" x14ac:dyDescent="0.3">
      <c r="B306" s="36"/>
      <c r="C306" t="str">
        <f t="shared" si="8"/>
        <v/>
      </c>
      <c r="E306" t="str">
        <f>IF(D306="","",IFERROR(VLOOKUP(D306,CDP!A:C,3,0),""))</f>
        <v/>
      </c>
      <c r="F306" t="str">
        <f>IF(D306="","",IFERROR(VLOOKUP(D306,CDP!A:D,4,0),""))</f>
        <v/>
      </c>
      <c r="H306" t="str">
        <f>IF(G306="","",IFERROR(VLOOKUP(G306,TERCEROS!A:C,3,0),""))</f>
        <v/>
      </c>
      <c r="I306" s="35"/>
      <c r="L306" s="35" t="str">
        <f>IF(A306="","",SUMIF(OBLIGACION!C:C,A306,OBLIGACION!H:H))</f>
        <v/>
      </c>
      <c r="M306" s="35" t="str">
        <f t="shared" si="9"/>
        <v/>
      </c>
    </row>
    <row r="307" spans="2:13" x14ac:dyDescent="0.3">
      <c r="B307" s="36"/>
      <c r="C307" t="str">
        <f t="shared" si="8"/>
        <v/>
      </c>
      <c r="E307" t="str">
        <f>IF(D307="","",IFERROR(VLOOKUP(D307,CDP!A:C,3,0),""))</f>
        <v/>
      </c>
      <c r="F307" t="str">
        <f>IF(D307="","",IFERROR(VLOOKUP(D307,CDP!A:D,4,0),""))</f>
        <v/>
      </c>
      <c r="H307" t="str">
        <f>IF(G307="","",IFERROR(VLOOKUP(G307,TERCEROS!A:C,3,0),""))</f>
        <v/>
      </c>
      <c r="I307" s="35"/>
      <c r="L307" s="35" t="str">
        <f>IF(A307="","",SUMIF(OBLIGACION!C:C,A307,OBLIGACION!H:H))</f>
        <v/>
      </c>
      <c r="M307" s="35" t="str">
        <f t="shared" si="9"/>
        <v/>
      </c>
    </row>
    <row r="308" spans="2:13" x14ac:dyDescent="0.3">
      <c r="B308" s="36"/>
      <c r="C308" t="str">
        <f t="shared" si="8"/>
        <v/>
      </c>
      <c r="E308" t="str">
        <f>IF(D308="","",IFERROR(VLOOKUP(D308,CDP!A:C,3,0),""))</f>
        <v/>
      </c>
      <c r="F308" t="str">
        <f>IF(D308="","",IFERROR(VLOOKUP(D308,CDP!A:D,4,0),""))</f>
        <v/>
      </c>
      <c r="H308" t="str">
        <f>IF(G308="","",IFERROR(VLOOKUP(G308,TERCEROS!A:C,3,0),""))</f>
        <v/>
      </c>
      <c r="I308" s="35"/>
      <c r="L308" s="35" t="str">
        <f>IF(A308="","",SUMIF(OBLIGACION!C:C,A308,OBLIGACION!H:H))</f>
        <v/>
      </c>
      <c r="M308" s="35" t="str">
        <f t="shared" si="9"/>
        <v/>
      </c>
    </row>
    <row r="309" spans="2:13" x14ac:dyDescent="0.3">
      <c r="B309" s="36"/>
      <c r="C309" t="str">
        <f t="shared" si="8"/>
        <v/>
      </c>
      <c r="E309" t="str">
        <f>IF(D309="","",IFERROR(VLOOKUP(D309,CDP!A:C,3,0),""))</f>
        <v/>
      </c>
      <c r="F309" t="str">
        <f>IF(D309="","",IFERROR(VLOOKUP(D309,CDP!A:D,4,0),""))</f>
        <v/>
      </c>
      <c r="H309" t="str">
        <f>IF(G309="","",IFERROR(VLOOKUP(G309,TERCEROS!A:C,3,0),""))</f>
        <v/>
      </c>
      <c r="I309" s="35"/>
      <c r="L309" s="35" t="str">
        <f>IF(A309="","",SUMIF(OBLIGACION!C:C,A309,OBLIGACION!H:H))</f>
        <v/>
      </c>
      <c r="M309" s="35" t="str">
        <f t="shared" si="9"/>
        <v/>
      </c>
    </row>
    <row r="310" spans="2:13" x14ac:dyDescent="0.3">
      <c r="B310" s="36"/>
      <c r="C310" t="str">
        <f t="shared" si="8"/>
        <v/>
      </c>
      <c r="E310" t="str">
        <f>IF(D310="","",IFERROR(VLOOKUP(D310,CDP!A:C,3,0),""))</f>
        <v/>
      </c>
      <c r="F310" t="str">
        <f>IF(D310="","",IFERROR(VLOOKUP(D310,CDP!A:D,4,0),""))</f>
        <v/>
      </c>
      <c r="H310" t="str">
        <f>IF(G310="","",IFERROR(VLOOKUP(G310,TERCEROS!A:C,3,0),""))</f>
        <v/>
      </c>
      <c r="I310" s="35"/>
      <c r="L310" s="35" t="str">
        <f>IF(A310="","",SUMIF(OBLIGACION!C:C,A310,OBLIGACION!H:H))</f>
        <v/>
      </c>
      <c r="M310" s="35" t="str">
        <f t="shared" si="9"/>
        <v/>
      </c>
    </row>
    <row r="311" spans="2:13" x14ac:dyDescent="0.3">
      <c r="B311" s="36"/>
      <c r="C311" t="str">
        <f t="shared" si="8"/>
        <v/>
      </c>
      <c r="E311" t="str">
        <f>IF(D311="","",IFERROR(VLOOKUP(D311,CDP!A:C,3,0),""))</f>
        <v/>
      </c>
      <c r="F311" t="str">
        <f>IF(D311="","",IFERROR(VLOOKUP(D311,CDP!A:D,4,0),""))</f>
        <v/>
      </c>
      <c r="H311" t="str">
        <f>IF(G311="","",IFERROR(VLOOKUP(G311,TERCEROS!A:C,3,0),""))</f>
        <v/>
      </c>
      <c r="I311" s="35"/>
      <c r="L311" s="35" t="str">
        <f>IF(A311="","",SUMIF(OBLIGACION!C:C,A311,OBLIGACION!H:H))</f>
        <v/>
      </c>
      <c r="M311" s="35" t="str">
        <f t="shared" si="9"/>
        <v/>
      </c>
    </row>
    <row r="312" spans="2:13" x14ac:dyDescent="0.3">
      <c r="B312" s="36"/>
      <c r="C312" t="str">
        <f t="shared" si="8"/>
        <v/>
      </c>
      <c r="E312" t="str">
        <f>IF(D312="","",IFERROR(VLOOKUP(D312,CDP!A:C,3,0),""))</f>
        <v/>
      </c>
      <c r="F312" t="str">
        <f>IF(D312="","",IFERROR(VLOOKUP(D312,CDP!A:D,4,0),""))</f>
        <v/>
      </c>
      <c r="H312" t="str">
        <f>IF(G312="","",IFERROR(VLOOKUP(G312,TERCEROS!A:C,3,0),""))</f>
        <v/>
      </c>
      <c r="I312" s="35"/>
      <c r="L312" s="35" t="str">
        <f>IF(A312="","",SUMIF(OBLIGACION!C:C,A312,OBLIGACION!H:H))</f>
        <v/>
      </c>
      <c r="M312" s="35" t="str">
        <f t="shared" si="9"/>
        <v/>
      </c>
    </row>
    <row r="313" spans="2:13" x14ac:dyDescent="0.3">
      <c r="B313" s="36"/>
      <c r="C313" t="str">
        <f t="shared" si="8"/>
        <v/>
      </c>
      <c r="E313" t="str">
        <f>IF(D313="","",IFERROR(VLOOKUP(D313,CDP!A:C,3,0),""))</f>
        <v/>
      </c>
      <c r="F313" t="str">
        <f>IF(D313="","",IFERROR(VLOOKUP(D313,CDP!A:D,4,0),""))</f>
        <v/>
      </c>
      <c r="H313" t="str">
        <f>IF(G313="","",IFERROR(VLOOKUP(G313,TERCEROS!A:C,3,0),""))</f>
        <v/>
      </c>
      <c r="I313" s="35"/>
      <c r="L313" s="35" t="str">
        <f>IF(A313="","",SUMIF(OBLIGACION!C:C,A313,OBLIGACION!H:H))</f>
        <v/>
      </c>
      <c r="M313" s="35" t="str">
        <f t="shared" si="9"/>
        <v/>
      </c>
    </row>
    <row r="314" spans="2:13" x14ac:dyDescent="0.3">
      <c r="B314" s="36"/>
      <c r="C314" t="str">
        <f t="shared" si="8"/>
        <v/>
      </c>
      <c r="E314" t="str">
        <f>IF(D314="","",IFERROR(VLOOKUP(D314,CDP!A:C,3,0),""))</f>
        <v/>
      </c>
      <c r="F314" t="str">
        <f>IF(D314="","",IFERROR(VLOOKUP(D314,CDP!A:D,4,0),""))</f>
        <v/>
      </c>
      <c r="H314" t="str">
        <f>IF(G314="","",IFERROR(VLOOKUP(G314,TERCEROS!A:C,3,0),""))</f>
        <v/>
      </c>
      <c r="I314" s="35"/>
      <c r="L314" s="35" t="str">
        <f>IF(A314="","",SUMIF(OBLIGACION!C:C,A314,OBLIGACION!H:H))</f>
        <v/>
      </c>
      <c r="M314" s="35" t="str">
        <f t="shared" si="9"/>
        <v/>
      </c>
    </row>
    <row r="315" spans="2:13" x14ac:dyDescent="0.3">
      <c r="B315" s="36"/>
      <c r="C315" t="str">
        <f t="shared" si="8"/>
        <v/>
      </c>
      <c r="E315" t="str">
        <f>IF(D315="","",IFERROR(VLOOKUP(D315,CDP!A:C,3,0),""))</f>
        <v/>
      </c>
      <c r="F315" t="str">
        <f>IF(D315="","",IFERROR(VLOOKUP(D315,CDP!A:D,4,0),""))</f>
        <v/>
      </c>
      <c r="H315" t="str">
        <f>IF(G315="","",IFERROR(VLOOKUP(G315,TERCEROS!A:C,3,0),""))</f>
        <v/>
      </c>
      <c r="I315" s="35"/>
      <c r="L315" s="35" t="str">
        <f>IF(A315="","",SUMIF(OBLIGACION!C:C,A315,OBLIGACION!H:H))</f>
        <v/>
      </c>
      <c r="M315" s="35" t="str">
        <f t="shared" si="9"/>
        <v/>
      </c>
    </row>
    <row r="316" spans="2:13" x14ac:dyDescent="0.3">
      <c r="B316" s="36"/>
      <c r="C316" t="str">
        <f t="shared" si="8"/>
        <v/>
      </c>
      <c r="E316" t="str">
        <f>IF(D316="","",IFERROR(VLOOKUP(D316,CDP!A:C,3,0),""))</f>
        <v/>
      </c>
      <c r="F316" t="str">
        <f>IF(D316="","",IFERROR(VLOOKUP(D316,CDP!A:D,4,0),""))</f>
        <v/>
      </c>
      <c r="H316" t="str">
        <f>IF(G316="","",IFERROR(VLOOKUP(G316,TERCEROS!A:C,3,0),""))</f>
        <v/>
      </c>
      <c r="I316" s="35"/>
      <c r="L316" s="35" t="str">
        <f>IF(A316="","",SUMIF(OBLIGACION!C:C,A316,OBLIGACION!H:H))</f>
        <v/>
      </c>
      <c r="M316" s="35" t="str">
        <f t="shared" si="9"/>
        <v/>
      </c>
    </row>
    <row r="317" spans="2:13" x14ac:dyDescent="0.3">
      <c r="B317" s="36"/>
      <c r="C317" t="str">
        <f t="shared" si="8"/>
        <v/>
      </c>
      <c r="E317" t="str">
        <f>IF(D317="","",IFERROR(VLOOKUP(D317,CDP!A:C,3,0),""))</f>
        <v/>
      </c>
      <c r="F317" t="str">
        <f>IF(D317="","",IFERROR(VLOOKUP(D317,CDP!A:D,4,0),""))</f>
        <v/>
      </c>
      <c r="H317" t="str">
        <f>IF(G317="","",IFERROR(VLOOKUP(G317,TERCEROS!A:C,3,0),""))</f>
        <v/>
      </c>
      <c r="I317" s="35"/>
      <c r="L317" s="35" t="str">
        <f>IF(A317="","",SUMIF(OBLIGACION!C:C,A317,OBLIGACION!H:H))</f>
        <v/>
      </c>
      <c r="M317" s="35" t="str">
        <f t="shared" si="9"/>
        <v/>
      </c>
    </row>
    <row r="318" spans="2:13" x14ac:dyDescent="0.3">
      <c r="B318" s="36"/>
      <c r="C318" t="str">
        <f t="shared" si="8"/>
        <v/>
      </c>
      <c r="E318" t="str">
        <f>IF(D318="","",IFERROR(VLOOKUP(D318,CDP!A:C,3,0),""))</f>
        <v/>
      </c>
      <c r="F318" t="str">
        <f>IF(D318="","",IFERROR(VLOOKUP(D318,CDP!A:D,4,0),""))</f>
        <v/>
      </c>
      <c r="H318" t="str">
        <f>IF(G318="","",IFERROR(VLOOKUP(G318,TERCEROS!A:C,3,0),""))</f>
        <v/>
      </c>
      <c r="I318" s="35"/>
      <c r="L318" s="35" t="str">
        <f>IF(A318="","",SUMIF(OBLIGACION!C:C,A318,OBLIGACION!H:H))</f>
        <v/>
      </c>
      <c r="M318" s="35" t="str">
        <f t="shared" si="9"/>
        <v/>
      </c>
    </row>
    <row r="319" spans="2:13" x14ac:dyDescent="0.3">
      <c r="B319" s="36"/>
      <c r="C319" t="str">
        <f t="shared" si="8"/>
        <v/>
      </c>
      <c r="E319" t="str">
        <f>IF(D319="","",IFERROR(VLOOKUP(D319,CDP!A:C,3,0),""))</f>
        <v/>
      </c>
      <c r="F319" t="str">
        <f>IF(D319="","",IFERROR(VLOOKUP(D319,CDP!A:D,4,0),""))</f>
        <v/>
      </c>
      <c r="H319" t="str">
        <f>IF(G319="","",IFERROR(VLOOKUP(G319,TERCEROS!A:C,3,0),""))</f>
        <v/>
      </c>
      <c r="I319" s="35"/>
      <c r="L319" s="35" t="str">
        <f>IF(A319="","",SUMIF(OBLIGACION!C:C,A319,OBLIGACION!H:H))</f>
        <v/>
      </c>
      <c r="M319" s="35" t="str">
        <f t="shared" si="9"/>
        <v/>
      </c>
    </row>
    <row r="320" spans="2:13" x14ac:dyDescent="0.3">
      <c r="B320" s="36"/>
      <c r="C320" t="str">
        <f t="shared" si="8"/>
        <v/>
      </c>
      <c r="E320" t="str">
        <f>IF(D320="","",IFERROR(VLOOKUP(D320,CDP!A:C,3,0),""))</f>
        <v/>
      </c>
      <c r="F320" t="str">
        <f>IF(D320="","",IFERROR(VLOOKUP(D320,CDP!A:D,4,0),""))</f>
        <v/>
      </c>
      <c r="H320" t="str">
        <f>IF(G320="","",IFERROR(VLOOKUP(G320,TERCEROS!A:C,3,0),""))</f>
        <v/>
      </c>
      <c r="I320" s="35"/>
      <c r="L320" s="35" t="str">
        <f>IF(A320="","",SUMIF(OBLIGACION!C:C,A320,OBLIGACION!H:H))</f>
        <v/>
      </c>
      <c r="M320" s="35" t="str">
        <f t="shared" si="9"/>
        <v/>
      </c>
    </row>
    <row r="321" spans="2:13" x14ac:dyDescent="0.3">
      <c r="B321" s="36"/>
      <c r="C321" t="str">
        <f t="shared" si="8"/>
        <v/>
      </c>
      <c r="E321" t="str">
        <f>IF(D321="","",IFERROR(VLOOKUP(D321,CDP!A:C,3,0),""))</f>
        <v/>
      </c>
      <c r="F321" t="str">
        <f>IF(D321="","",IFERROR(VLOOKUP(D321,CDP!A:D,4,0),""))</f>
        <v/>
      </c>
      <c r="H321" t="str">
        <f>IF(G321="","",IFERROR(VLOOKUP(G321,TERCEROS!A:C,3,0),""))</f>
        <v/>
      </c>
      <c r="I321" s="35"/>
      <c r="L321" s="35" t="str">
        <f>IF(A321="","",SUMIF(OBLIGACION!C:C,A321,OBLIGACION!H:H))</f>
        <v/>
      </c>
      <c r="M321" s="35" t="str">
        <f t="shared" si="9"/>
        <v/>
      </c>
    </row>
    <row r="322" spans="2:13" x14ac:dyDescent="0.3">
      <c r="B322" s="36"/>
      <c r="C322" t="str">
        <f t="shared" ref="C322:C385" si="10">IF(B322="","",MONTH(B322))</f>
        <v/>
      </c>
      <c r="E322" t="str">
        <f>IF(D322="","",IFERROR(VLOOKUP(D322,CDP!A:C,3,0),""))</f>
        <v/>
      </c>
      <c r="F322" t="str">
        <f>IF(D322="","",IFERROR(VLOOKUP(D322,CDP!A:D,4,0),""))</f>
        <v/>
      </c>
      <c r="H322" t="str">
        <f>IF(G322="","",IFERROR(VLOOKUP(G322,TERCEROS!A:C,3,0),""))</f>
        <v/>
      </c>
      <c r="I322" s="35"/>
      <c r="L322" s="35" t="str">
        <f>IF(A322="","",SUMIF(OBLIGACION!C:C,A322,OBLIGACION!H:H))</f>
        <v/>
      </c>
      <c r="M322" s="35" t="str">
        <f t="shared" ref="M322:M385" si="11">IF(A322="","",I322-L322)</f>
        <v/>
      </c>
    </row>
    <row r="323" spans="2:13" x14ac:dyDescent="0.3">
      <c r="B323" s="36"/>
      <c r="C323" t="str">
        <f t="shared" si="10"/>
        <v/>
      </c>
      <c r="E323" t="str">
        <f>IF(D323="","",IFERROR(VLOOKUP(D323,CDP!A:C,3,0),""))</f>
        <v/>
      </c>
      <c r="F323" t="str">
        <f>IF(D323="","",IFERROR(VLOOKUP(D323,CDP!A:D,4,0),""))</f>
        <v/>
      </c>
      <c r="H323" t="str">
        <f>IF(G323="","",IFERROR(VLOOKUP(G323,TERCEROS!A:C,3,0),""))</f>
        <v/>
      </c>
      <c r="I323" s="35"/>
      <c r="L323" s="35" t="str">
        <f>IF(A323="","",SUMIF(OBLIGACION!C:C,A323,OBLIGACION!H:H))</f>
        <v/>
      </c>
      <c r="M323" s="35" t="str">
        <f t="shared" si="11"/>
        <v/>
      </c>
    </row>
    <row r="324" spans="2:13" x14ac:dyDescent="0.3">
      <c r="B324" s="36"/>
      <c r="C324" t="str">
        <f t="shared" si="10"/>
        <v/>
      </c>
      <c r="E324" t="str">
        <f>IF(D324="","",IFERROR(VLOOKUP(D324,CDP!A:C,3,0),""))</f>
        <v/>
      </c>
      <c r="F324" t="str">
        <f>IF(D324="","",IFERROR(VLOOKUP(D324,CDP!A:D,4,0),""))</f>
        <v/>
      </c>
      <c r="H324" t="str">
        <f>IF(G324="","",IFERROR(VLOOKUP(G324,TERCEROS!A:C,3,0),""))</f>
        <v/>
      </c>
      <c r="I324" s="35"/>
      <c r="L324" s="35" t="str">
        <f>IF(A324="","",SUMIF(OBLIGACION!C:C,A324,OBLIGACION!H:H))</f>
        <v/>
      </c>
      <c r="M324" s="35" t="str">
        <f t="shared" si="11"/>
        <v/>
      </c>
    </row>
    <row r="325" spans="2:13" x14ac:dyDescent="0.3">
      <c r="B325" s="36"/>
      <c r="C325" t="str">
        <f t="shared" si="10"/>
        <v/>
      </c>
      <c r="E325" t="str">
        <f>IF(D325="","",IFERROR(VLOOKUP(D325,CDP!A:C,3,0),""))</f>
        <v/>
      </c>
      <c r="F325" t="str">
        <f>IF(D325="","",IFERROR(VLOOKUP(D325,CDP!A:D,4,0),""))</f>
        <v/>
      </c>
      <c r="H325" t="str">
        <f>IF(G325="","",IFERROR(VLOOKUP(G325,TERCEROS!A:C,3,0),""))</f>
        <v/>
      </c>
      <c r="I325" s="35"/>
      <c r="L325" s="35" t="str">
        <f>IF(A325="","",SUMIF(OBLIGACION!C:C,A325,OBLIGACION!H:H))</f>
        <v/>
      </c>
      <c r="M325" s="35" t="str">
        <f t="shared" si="11"/>
        <v/>
      </c>
    </row>
    <row r="326" spans="2:13" x14ac:dyDescent="0.3">
      <c r="B326" s="36"/>
      <c r="C326" t="str">
        <f t="shared" si="10"/>
        <v/>
      </c>
      <c r="E326" t="str">
        <f>IF(D326="","",IFERROR(VLOOKUP(D326,CDP!A:C,3,0),""))</f>
        <v/>
      </c>
      <c r="F326" t="str">
        <f>IF(D326="","",IFERROR(VLOOKUP(D326,CDP!A:D,4,0),""))</f>
        <v/>
      </c>
      <c r="H326" t="str">
        <f>IF(G326="","",IFERROR(VLOOKUP(G326,TERCEROS!A:C,3,0),""))</f>
        <v/>
      </c>
      <c r="I326" s="35"/>
      <c r="L326" s="35" t="str">
        <f>IF(A326="","",SUMIF(OBLIGACION!C:C,A326,OBLIGACION!H:H))</f>
        <v/>
      </c>
      <c r="M326" s="35" t="str">
        <f t="shared" si="11"/>
        <v/>
      </c>
    </row>
    <row r="327" spans="2:13" x14ac:dyDescent="0.3">
      <c r="B327" s="36"/>
      <c r="C327" t="str">
        <f t="shared" si="10"/>
        <v/>
      </c>
      <c r="E327" t="str">
        <f>IF(D327="","",IFERROR(VLOOKUP(D327,CDP!A:C,3,0),""))</f>
        <v/>
      </c>
      <c r="F327" t="str">
        <f>IF(D327="","",IFERROR(VLOOKUP(D327,CDP!A:D,4,0),""))</f>
        <v/>
      </c>
      <c r="H327" t="str">
        <f>IF(G327="","",IFERROR(VLOOKUP(G327,TERCEROS!A:C,3,0),""))</f>
        <v/>
      </c>
      <c r="I327" s="35"/>
      <c r="L327" s="35" t="str">
        <f>IF(A327="","",SUMIF(OBLIGACION!C:C,A327,OBLIGACION!H:H))</f>
        <v/>
      </c>
      <c r="M327" s="35" t="str">
        <f t="shared" si="11"/>
        <v/>
      </c>
    </row>
    <row r="328" spans="2:13" x14ac:dyDescent="0.3">
      <c r="B328" s="36"/>
      <c r="C328" t="str">
        <f t="shared" si="10"/>
        <v/>
      </c>
      <c r="E328" t="str">
        <f>IF(D328="","",IFERROR(VLOOKUP(D328,CDP!A:C,3,0),""))</f>
        <v/>
      </c>
      <c r="F328" t="str">
        <f>IF(D328="","",IFERROR(VLOOKUP(D328,CDP!A:D,4,0),""))</f>
        <v/>
      </c>
      <c r="H328" t="str">
        <f>IF(G328="","",IFERROR(VLOOKUP(G328,TERCEROS!A:C,3,0),""))</f>
        <v/>
      </c>
      <c r="I328" s="35"/>
      <c r="L328" s="35" t="str">
        <f>IF(A328="","",SUMIF(OBLIGACION!C:C,A328,OBLIGACION!H:H))</f>
        <v/>
      </c>
      <c r="M328" s="35" t="str">
        <f t="shared" si="11"/>
        <v/>
      </c>
    </row>
    <row r="329" spans="2:13" x14ac:dyDescent="0.3">
      <c r="B329" s="36"/>
      <c r="C329" t="str">
        <f t="shared" si="10"/>
        <v/>
      </c>
      <c r="E329" t="str">
        <f>IF(D329="","",IFERROR(VLOOKUP(D329,CDP!A:C,3,0),""))</f>
        <v/>
      </c>
      <c r="F329" t="str">
        <f>IF(D329="","",IFERROR(VLOOKUP(D329,CDP!A:D,4,0),""))</f>
        <v/>
      </c>
      <c r="H329" t="str">
        <f>IF(G329="","",IFERROR(VLOOKUP(G329,TERCEROS!A:C,3,0),""))</f>
        <v/>
      </c>
      <c r="I329" s="35"/>
      <c r="L329" s="35" t="str">
        <f>IF(A329="","",SUMIF(OBLIGACION!C:C,A329,OBLIGACION!H:H))</f>
        <v/>
      </c>
      <c r="M329" s="35" t="str">
        <f t="shared" si="11"/>
        <v/>
      </c>
    </row>
    <row r="330" spans="2:13" x14ac:dyDescent="0.3">
      <c r="B330" s="36"/>
      <c r="C330" t="str">
        <f t="shared" si="10"/>
        <v/>
      </c>
      <c r="E330" t="str">
        <f>IF(D330="","",IFERROR(VLOOKUP(D330,CDP!A:C,3,0),""))</f>
        <v/>
      </c>
      <c r="F330" t="str">
        <f>IF(D330="","",IFERROR(VLOOKUP(D330,CDP!A:D,4,0),""))</f>
        <v/>
      </c>
      <c r="H330" t="str">
        <f>IF(G330="","",IFERROR(VLOOKUP(G330,TERCEROS!A:C,3,0),""))</f>
        <v/>
      </c>
      <c r="I330" s="35"/>
      <c r="L330" s="35" t="str">
        <f>IF(A330="","",SUMIF(OBLIGACION!C:C,A330,OBLIGACION!H:H))</f>
        <v/>
      </c>
      <c r="M330" s="35" t="str">
        <f t="shared" si="11"/>
        <v/>
      </c>
    </row>
    <row r="331" spans="2:13" x14ac:dyDescent="0.3">
      <c r="B331" s="36"/>
      <c r="C331" t="str">
        <f t="shared" si="10"/>
        <v/>
      </c>
      <c r="E331" t="str">
        <f>IF(D331="","",IFERROR(VLOOKUP(D331,CDP!A:C,3,0),""))</f>
        <v/>
      </c>
      <c r="F331" t="str">
        <f>IF(D331="","",IFERROR(VLOOKUP(D331,CDP!A:D,4,0),""))</f>
        <v/>
      </c>
      <c r="H331" t="str">
        <f>IF(G331="","",IFERROR(VLOOKUP(G331,TERCEROS!A:C,3,0),""))</f>
        <v/>
      </c>
      <c r="I331" s="35"/>
      <c r="L331" s="35" t="str">
        <f>IF(A331="","",SUMIF(OBLIGACION!C:C,A331,OBLIGACION!H:H))</f>
        <v/>
      </c>
      <c r="M331" s="35" t="str">
        <f t="shared" si="11"/>
        <v/>
      </c>
    </row>
    <row r="332" spans="2:13" x14ac:dyDescent="0.3">
      <c r="B332" s="36"/>
      <c r="C332" t="str">
        <f t="shared" si="10"/>
        <v/>
      </c>
      <c r="E332" t="str">
        <f>IF(D332="","",IFERROR(VLOOKUP(D332,CDP!A:C,3,0),""))</f>
        <v/>
      </c>
      <c r="F332" t="str">
        <f>IF(D332="","",IFERROR(VLOOKUP(D332,CDP!A:D,4,0),""))</f>
        <v/>
      </c>
      <c r="H332" t="str">
        <f>IF(G332="","",IFERROR(VLOOKUP(G332,TERCEROS!A:C,3,0),""))</f>
        <v/>
      </c>
      <c r="I332" s="35"/>
      <c r="L332" s="35" t="str">
        <f>IF(A332="","",SUMIF(OBLIGACION!C:C,A332,OBLIGACION!H:H))</f>
        <v/>
      </c>
      <c r="M332" s="35" t="str">
        <f t="shared" si="11"/>
        <v/>
      </c>
    </row>
    <row r="333" spans="2:13" x14ac:dyDescent="0.3">
      <c r="B333" s="36"/>
      <c r="C333" t="str">
        <f t="shared" si="10"/>
        <v/>
      </c>
      <c r="E333" t="str">
        <f>IF(D333="","",IFERROR(VLOOKUP(D333,CDP!A:C,3,0),""))</f>
        <v/>
      </c>
      <c r="F333" t="str">
        <f>IF(D333="","",IFERROR(VLOOKUP(D333,CDP!A:D,4,0),""))</f>
        <v/>
      </c>
      <c r="H333" t="str">
        <f>IF(G333="","",IFERROR(VLOOKUP(G333,TERCEROS!A:C,3,0),""))</f>
        <v/>
      </c>
      <c r="I333" s="35"/>
      <c r="L333" s="35" t="str">
        <f>IF(A333="","",SUMIF(OBLIGACION!C:C,A333,OBLIGACION!H:H))</f>
        <v/>
      </c>
      <c r="M333" s="35" t="str">
        <f t="shared" si="11"/>
        <v/>
      </c>
    </row>
    <row r="334" spans="2:13" x14ac:dyDescent="0.3">
      <c r="B334" s="36"/>
      <c r="C334" t="str">
        <f t="shared" si="10"/>
        <v/>
      </c>
      <c r="E334" t="str">
        <f>IF(D334="","",IFERROR(VLOOKUP(D334,CDP!A:C,3,0),""))</f>
        <v/>
      </c>
      <c r="F334" t="str">
        <f>IF(D334="","",IFERROR(VLOOKUP(D334,CDP!A:D,4,0),""))</f>
        <v/>
      </c>
      <c r="H334" t="str">
        <f>IF(G334="","",IFERROR(VLOOKUP(G334,TERCEROS!A:C,3,0),""))</f>
        <v/>
      </c>
      <c r="I334" s="35"/>
      <c r="L334" s="35" t="str">
        <f>IF(A334="","",SUMIF(OBLIGACION!C:C,A334,OBLIGACION!H:H))</f>
        <v/>
      </c>
      <c r="M334" s="35" t="str">
        <f t="shared" si="11"/>
        <v/>
      </c>
    </row>
    <row r="335" spans="2:13" x14ac:dyDescent="0.3">
      <c r="B335" s="36"/>
      <c r="C335" t="str">
        <f t="shared" si="10"/>
        <v/>
      </c>
      <c r="E335" t="str">
        <f>IF(D335="","",IFERROR(VLOOKUP(D335,CDP!A:C,3,0),""))</f>
        <v/>
      </c>
      <c r="F335" t="str">
        <f>IF(D335="","",IFERROR(VLOOKUP(D335,CDP!A:D,4,0),""))</f>
        <v/>
      </c>
      <c r="H335" t="str">
        <f>IF(G335="","",IFERROR(VLOOKUP(G335,TERCEROS!A:C,3,0),""))</f>
        <v/>
      </c>
      <c r="I335" s="35"/>
      <c r="L335" s="35" t="str">
        <f>IF(A335="","",SUMIF(OBLIGACION!C:C,A335,OBLIGACION!H:H))</f>
        <v/>
      </c>
      <c r="M335" s="35" t="str">
        <f t="shared" si="11"/>
        <v/>
      </c>
    </row>
    <row r="336" spans="2:13" x14ac:dyDescent="0.3">
      <c r="B336" s="36"/>
      <c r="C336" t="str">
        <f t="shared" si="10"/>
        <v/>
      </c>
      <c r="E336" t="str">
        <f>IF(D336="","",IFERROR(VLOOKUP(D336,CDP!A:C,3,0),""))</f>
        <v/>
      </c>
      <c r="F336" t="str">
        <f>IF(D336="","",IFERROR(VLOOKUP(D336,CDP!A:D,4,0),""))</f>
        <v/>
      </c>
      <c r="H336" t="str">
        <f>IF(G336="","",IFERROR(VLOOKUP(G336,TERCEROS!A:C,3,0),""))</f>
        <v/>
      </c>
      <c r="I336" s="35"/>
      <c r="L336" s="35" t="str">
        <f>IF(A336="","",SUMIF(OBLIGACION!C:C,A336,OBLIGACION!H:H))</f>
        <v/>
      </c>
      <c r="M336" s="35" t="str">
        <f t="shared" si="11"/>
        <v/>
      </c>
    </row>
    <row r="337" spans="2:13" x14ac:dyDescent="0.3">
      <c r="B337" s="36"/>
      <c r="C337" t="str">
        <f t="shared" si="10"/>
        <v/>
      </c>
      <c r="E337" t="str">
        <f>IF(D337="","",IFERROR(VLOOKUP(D337,CDP!A:C,3,0),""))</f>
        <v/>
      </c>
      <c r="F337" t="str">
        <f>IF(D337="","",IFERROR(VLOOKUP(D337,CDP!A:D,4,0),""))</f>
        <v/>
      </c>
      <c r="H337" t="str">
        <f>IF(G337="","",IFERROR(VLOOKUP(G337,TERCEROS!A:C,3,0),""))</f>
        <v/>
      </c>
      <c r="I337" s="35"/>
      <c r="L337" s="35" t="str">
        <f>IF(A337="","",SUMIF(OBLIGACION!C:C,A337,OBLIGACION!H:H))</f>
        <v/>
      </c>
      <c r="M337" s="35" t="str">
        <f t="shared" si="11"/>
        <v/>
      </c>
    </row>
    <row r="338" spans="2:13" x14ac:dyDescent="0.3">
      <c r="B338" s="36"/>
      <c r="C338" t="str">
        <f t="shared" si="10"/>
        <v/>
      </c>
      <c r="E338" t="str">
        <f>IF(D338="","",IFERROR(VLOOKUP(D338,CDP!A:C,3,0),""))</f>
        <v/>
      </c>
      <c r="F338" t="str">
        <f>IF(D338="","",IFERROR(VLOOKUP(D338,CDP!A:D,4,0),""))</f>
        <v/>
      </c>
      <c r="H338" t="str">
        <f>IF(G338="","",IFERROR(VLOOKUP(G338,TERCEROS!A:C,3,0),""))</f>
        <v/>
      </c>
      <c r="I338" s="35"/>
      <c r="L338" s="35" t="str">
        <f>IF(A338="","",SUMIF(OBLIGACION!C:C,A338,OBLIGACION!H:H))</f>
        <v/>
      </c>
      <c r="M338" s="35" t="str">
        <f t="shared" si="11"/>
        <v/>
      </c>
    </row>
    <row r="339" spans="2:13" x14ac:dyDescent="0.3">
      <c r="B339" s="36"/>
      <c r="C339" t="str">
        <f t="shared" si="10"/>
        <v/>
      </c>
      <c r="E339" t="str">
        <f>IF(D339="","",IFERROR(VLOOKUP(D339,CDP!A:C,3,0),""))</f>
        <v/>
      </c>
      <c r="F339" t="str">
        <f>IF(D339="","",IFERROR(VLOOKUP(D339,CDP!A:D,4,0),""))</f>
        <v/>
      </c>
      <c r="H339" t="str">
        <f>IF(G339="","",IFERROR(VLOOKUP(G339,TERCEROS!A:C,3,0),""))</f>
        <v/>
      </c>
      <c r="I339" s="35"/>
      <c r="L339" s="35" t="str">
        <f>IF(A339="","",SUMIF(OBLIGACION!C:C,A339,OBLIGACION!H:H))</f>
        <v/>
      </c>
      <c r="M339" s="35" t="str">
        <f t="shared" si="11"/>
        <v/>
      </c>
    </row>
    <row r="340" spans="2:13" x14ac:dyDescent="0.3">
      <c r="B340" s="36"/>
      <c r="C340" t="str">
        <f t="shared" si="10"/>
        <v/>
      </c>
      <c r="E340" t="str">
        <f>IF(D340="","",IFERROR(VLOOKUP(D340,CDP!A:C,3,0),""))</f>
        <v/>
      </c>
      <c r="F340" t="str">
        <f>IF(D340="","",IFERROR(VLOOKUP(D340,CDP!A:D,4,0),""))</f>
        <v/>
      </c>
      <c r="H340" t="str">
        <f>IF(G340="","",IFERROR(VLOOKUP(G340,TERCEROS!A:C,3,0),""))</f>
        <v/>
      </c>
      <c r="I340" s="35"/>
      <c r="L340" s="35" t="str">
        <f>IF(A340="","",SUMIF(OBLIGACION!C:C,A340,OBLIGACION!H:H))</f>
        <v/>
      </c>
      <c r="M340" s="35" t="str">
        <f t="shared" si="11"/>
        <v/>
      </c>
    </row>
    <row r="341" spans="2:13" x14ac:dyDescent="0.3">
      <c r="B341" s="36"/>
      <c r="C341" t="str">
        <f t="shared" si="10"/>
        <v/>
      </c>
      <c r="E341" t="str">
        <f>IF(D341="","",IFERROR(VLOOKUP(D341,CDP!A:C,3,0),""))</f>
        <v/>
      </c>
      <c r="F341" t="str">
        <f>IF(D341="","",IFERROR(VLOOKUP(D341,CDP!A:D,4,0),""))</f>
        <v/>
      </c>
      <c r="H341" t="str">
        <f>IF(G341="","",IFERROR(VLOOKUP(G341,TERCEROS!A:C,3,0),""))</f>
        <v/>
      </c>
      <c r="I341" s="35"/>
      <c r="L341" s="35" t="str">
        <f>IF(A341="","",SUMIF(OBLIGACION!C:C,A341,OBLIGACION!H:H))</f>
        <v/>
      </c>
      <c r="M341" s="35" t="str">
        <f t="shared" si="11"/>
        <v/>
      </c>
    </row>
    <row r="342" spans="2:13" x14ac:dyDescent="0.3">
      <c r="B342" s="36"/>
      <c r="C342" t="str">
        <f t="shared" si="10"/>
        <v/>
      </c>
      <c r="E342" t="str">
        <f>IF(D342="","",IFERROR(VLOOKUP(D342,CDP!A:C,3,0),""))</f>
        <v/>
      </c>
      <c r="F342" t="str">
        <f>IF(D342="","",IFERROR(VLOOKUP(D342,CDP!A:D,4,0),""))</f>
        <v/>
      </c>
      <c r="H342" t="str">
        <f>IF(G342="","",IFERROR(VLOOKUP(G342,TERCEROS!A:C,3,0),""))</f>
        <v/>
      </c>
      <c r="I342" s="35"/>
      <c r="L342" s="35" t="str">
        <f>IF(A342="","",SUMIF(OBLIGACION!C:C,A342,OBLIGACION!H:H))</f>
        <v/>
      </c>
      <c r="M342" s="35" t="str">
        <f t="shared" si="11"/>
        <v/>
      </c>
    </row>
    <row r="343" spans="2:13" x14ac:dyDescent="0.3">
      <c r="B343" s="36"/>
      <c r="C343" t="str">
        <f t="shared" si="10"/>
        <v/>
      </c>
      <c r="E343" t="str">
        <f>IF(D343="","",IFERROR(VLOOKUP(D343,CDP!A:C,3,0),""))</f>
        <v/>
      </c>
      <c r="F343" t="str">
        <f>IF(D343="","",IFERROR(VLOOKUP(D343,CDP!A:D,4,0),""))</f>
        <v/>
      </c>
      <c r="H343" t="str">
        <f>IF(G343="","",IFERROR(VLOOKUP(G343,TERCEROS!A:C,3,0),""))</f>
        <v/>
      </c>
      <c r="I343" s="35"/>
      <c r="L343" s="35" t="str">
        <f>IF(A343="","",SUMIF(OBLIGACION!C:C,A343,OBLIGACION!H:H))</f>
        <v/>
      </c>
      <c r="M343" s="35" t="str">
        <f t="shared" si="11"/>
        <v/>
      </c>
    </row>
    <row r="344" spans="2:13" x14ac:dyDescent="0.3">
      <c r="B344" s="36"/>
      <c r="C344" t="str">
        <f t="shared" si="10"/>
        <v/>
      </c>
      <c r="E344" t="str">
        <f>IF(D344="","",IFERROR(VLOOKUP(D344,CDP!A:C,3,0),""))</f>
        <v/>
      </c>
      <c r="F344" t="str">
        <f>IF(D344="","",IFERROR(VLOOKUP(D344,CDP!A:D,4,0),""))</f>
        <v/>
      </c>
      <c r="H344" t="str">
        <f>IF(G344="","",IFERROR(VLOOKUP(G344,TERCEROS!A:C,3,0),""))</f>
        <v/>
      </c>
      <c r="I344" s="35"/>
      <c r="L344" s="35" t="str">
        <f>IF(A344="","",SUMIF(OBLIGACION!C:C,A344,OBLIGACION!H:H))</f>
        <v/>
      </c>
      <c r="M344" s="35" t="str">
        <f t="shared" si="11"/>
        <v/>
      </c>
    </row>
    <row r="345" spans="2:13" x14ac:dyDescent="0.3">
      <c r="B345" s="36"/>
      <c r="C345" t="str">
        <f t="shared" si="10"/>
        <v/>
      </c>
      <c r="E345" t="str">
        <f>IF(D345="","",IFERROR(VLOOKUP(D345,CDP!A:C,3,0),""))</f>
        <v/>
      </c>
      <c r="F345" t="str">
        <f>IF(D345="","",IFERROR(VLOOKUP(D345,CDP!A:D,4,0),""))</f>
        <v/>
      </c>
      <c r="H345" t="str">
        <f>IF(G345="","",IFERROR(VLOOKUP(G345,TERCEROS!A:C,3,0),""))</f>
        <v/>
      </c>
      <c r="I345" s="35"/>
      <c r="L345" s="35" t="str">
        <f>IF(A345="","",SUMIF(OBLIGACION!C:C,A345,OBLIGACION!H:H))</f>
        <v/>
      </c>
      <c r="M345" s="35" t="str">
        <f t="shared" si="11"/>
        <v/>
      </c>
    </row>
    <row r="346" spans="2:13" x14ac:dyDescent="0.3">
      <c r="B346" s="36"/>
      <c r="C346" t="str">
        <f t="shared" si="10"/>
        <v/>
      </c>
      <c r="E346" t="str">
        <f>IF(D346="","",IFERROR(VLOOKUP(D346,CDP!A:C,3,0),""))</f>
        <v/>
      </c>
      <c r="F346" t="str">
        <f>IF(D346="","",IFERROR(VLOOKUP(D346,CDP!A:D,4,0),""))</f>
        <v/>
      </c>
      <c r="H346" t="str">
        <f>IF(G346="","",IFERROR(VLOOKUP(G346,TERCEROS!A:C,3,0),""))</f>
        <v/>
      </c>
      <c r="I346" s="35"/>
      <c r="L346" s="35" t="str">
        <f>IF(A346="","",SUMIF(OBLIGACION!C:C,A346,OBLIGACION!H:H))</f>
        <v/>
      </c>
      <c r="M346" s="35" t="str">
        <f t="shared" si="11"/>
        <v/>
      </c>
    </row>
    <row r="347" spans="2:13" x14ac:dyDescent="0.3">
      <c r="B347" s="36"/>
      <c r="C347" t="str">
        <f t="shared" si="10"/>
        <v/>
      </c>
      <c r="E347" t="str">
        <f>IF(D347="","",IFERROR(VLOOKUP(D347,CDP!A:C,3,0),""))</f>
        <v/>
      </c>
      <c r="F347" t="str">
        <f>IF(D347="","",IFERROR(VLOOKUP(D347,CDP!A:D,4,0),""))</f>
        <v/>
      </c>
      <c r="H347" t="str">
        <f>IF(G347="","",IFERROR(VLOOKUP(G347,TERCEROS!A:C,3,0),""))</f>
        <v/>
      </c>
      <c r="I347" s="35"/>
      <c r="L347" s="35" t="str">
        <f>IF(A347="","",SUMIF(OBLIGACION!C:C,A347,OBLIGACION!H:H))</f>
        <v/>
      </c>
      <c r="M347" s="35" t="str">
        <f t="shared" si="11"/>
        <v/>
      </c>
    </row>
    <row r="348" spans="2:13" x14ac:dyDescent="0.3">
      <c r="B348" s="36"/>
      <c r="C348" t="str">
        <f t="shared" si="10"/>
        <v/>
      </c>
      <c r="E348" t="str">
        <f>IF(D348="","",IFERROR(VLOOKUP(D348,CDP!A:C,3,0),""))</f>
        <v/>
      </c>
      <c r="F348" t="str">
        <f>IF(D348="","",IFERROR(VLOOKUP(D348,CDP!A:D,4,0),""))</f>
        <v/>
      </c>
      <c r="H348" t="str">
        <f>IF(G348="","",IFERROR(VLOOKUP(G348,TERCEROS!A:C,3,0),""))</f>
        <v/>
      </c>
      <c r="I348" s="35"/>
      <c r="L348" s="35" t="str">
        <f>IF(A348="","",SUMIF(OBLIGACION!C:C,A348,OBLIGACION!H:H))</f>
        <v/>
      </c>
      <c r="M348" s="35" t="str">
        <f t="shared" si="11"/>
        <v/>
      </c>
    </row>
    <row r="349" spans="2:13" x14ac:dyDescent="0.3">
      <c r="B349" s="36"/>
      <c r="C349" t="str">
        <f t="shared" si="10"/>
        <v/>
      </c>
      <c r="E349" t="str">
        <f>IF(D349="","",IFERROR(VLOOKUP(D349,CDP!A:C,3,0),""))</f>
        <v/>
      </c>
      <c r="F349" t="str">
        <f>IF(D349="","",IFERROR(VLOOKUP(D349,CDP!A:D,4,0),""))</f>
        <v/>
      </c>
      <c r="H349" t="str">
        <f>IF(G349="","",IFERROR(VLOOKUP(G349,TERCEROS!A:C,3,0),""))</f>
        <v/>
      </c>
      <c r="I349" s="35"/>
      <c r="L349" s="35" t="str">
        <f>IF(A349="","",SUMIF(OBLIGACION!C:C,A349,OBLIGACION!H:H))</f>
        <v/>
      </c>
      <c r="M349" s="35" t="str">
        <f t="shared" si="11"/>
        <v/>
      </c>
    </row>
    <row r="350" spans="2:13" x14ac:dyDescent="0.3">
      <c r="B350" s="36"/>
      <c r="C350" t="str">
        <f t="shared" si="10"/>
        <v/>
      </c>
      <c r="E350" t="str">
        <f>IF(D350="","",IFERROR(VLOOKUP(D350,CDP!A:C,3,0),""))</f>
        <v/>
      </c>
      <c r="F350" t="str">
        <f>IF(D350="","",IFERROR(VLOOKUP(D350,CDP!A:D,4,0),""))</f>
        <v/>
      </c>
      <c r="H350" t="str">
        <f>IF(G350="","",IFERROR(VLOOKUP(G350,TERCEROS!A:C,3,0),""))</f>
        <v/>
      </c>
      <c r="I350" s="35"/>
      <c r="L350" s="35" t="str">
        <f>IF(A350="","",SUMIF(OBLIGACION!C:C,A350,OBLIGACION!H:H))</f>
        <v/>
      </c>
      <c r="M350" s="35" t="str">
        <f t="shared" si="11"/>
        <v/>
      </c>
    </row>
    <row r="351" spans="2:13" x14ac:dyDescent="0.3">
      <c r="B351" s="36"/>
      <c r="C351" t="str">
        <f t="shared" si="10"/>
        <v/>
      </c>
      <c r="E351" t="str">
        <f>IF(D351="","",IFERROR(VLOOKUP(D351,CDP!A:C,3,0),""))</f>
        <v/>
      </c>
      <c r="F351" t="str">
        <f>IF(D351="","",IFERROR(VLOOKUP(D351,CDP!A:D,4,0),""))</f>
        <v/>
      </c>
      <c r="H351" t="str">
        <f>IF(G351="","",IFERROR(VLOOKUP(G351,TERCEROS!A:C,3,0),""))</f>
        <v/>
      </c>
      <c r="I351" s="35"/>
      <c r="L351" s="35" t="str">
        <f>IF(A351="","",SUMIF(OBLIGACION!C:C,A351,OBLIGACION!H:H))</f>
        <v/>
      </c>
      <c r="M351" s="35" t="str">
        <f t="shared" si="11"/>
        <v/>
      </c>
    </row>
    <row r="352" spans="2:13" x14ac:dyDescent="0.3">
      <c r="B352" s="36"/>
      <c r="C352" t="str">
        <f t="shared" si="10"/>
        <v/>
      </c>
      <c r="E352" t="str">
        <f>IF(D352="","",IFERROR(VLOOKUP(D352,CDP!A:C,3,0),""))</f>
        <v/>
      </c>
      <c r="F352" t="str">
        <f>IF(D352="","",IFERROR(VLOOKUP(D352,CDP!A:D,4,0),""))</f>
        <v/>
      </c>
      <c r="H352" t="str">
        <f>IF(G352="","",IFERROR(VLOOKUP(G352,TERCEROS!A:C,3,0),""))</f>
        <v/>
      </c>
      <c r="I352" s="35"/>
      <c r="L352" s="35" t="str">
        <f>IF(A352="","",SUMIF(OBLIGACION!C:C,A352,OBLIGACION!H:H))</f>
        <v/>
      </c>
      <c r="M352" s="35" t="str">
        <f t="shared" si="11"/>
        <v/>
      </c>
    </row>
    <row r="353" spans="2:13" x14ac:dyDescent="0.3">
      <c r="B353" s="36"/>
      <c r="C353" t="str">
        <f t="shared" si="10"/>
        <v/>
      </c>
      <c r="E353" t="str">
        <f>IF(D353="","",IFERROR(VLOOKUP(D353,CDP!A:C,3,0),""))</f>
        <v/>
      </c>
      <c r="F353" t="str">
        <f>IF(D353="","",IFERROR(VLOOKUP(D353,CDP!A:D,4,0),""))</f>
        <v/>
      </c>
      <c r="H353" t="str">
        <f>IF(G353="","",IFERROR(VLOOKUP(G353,TERCEROS!A:C,3,0),""))</f>
        <v/>
      </c>
      <c r="I353" s="35"/>
      <c r="L353" s="35" t="str">
        <f>IF(A353="","",SUMIF(OBLIGACION!C:C,A353,OBLIGACION!H:H))</f>
        <v/>
      </c>
      <c r="M353" s="35" t="str">
        <f t="shared" si="11"/>
        <v/>
      </c>
    </row>
    <row r="354" spans="2:13" x14ac:dyDescent="0.3">
      <c r="B354" s="36"/>
      <c r="C354" t="str">
        <f t="shared" si="10"/>
        <v/>
      </c>
      <c r="E354" t="str">
        <f>IF(D354="","",IFERROR(VLOOKUP(D354,CDP!A:C,3,0),""))</f>
        <v/>
      </c>
      <c r="F354" t="str">
        <f>IF(D354="","",IFERROR(VLOOKUP(D354,CDP!A:D,4,0),""))</f>
        <v/>
      </c>
      <c r="H354" t="str">
        <f>IF(G354="","",IFERROR(VLOOKUP(G354,TERCEROS!A:C,3,0),""))</f>
        <v/>
      </c>
      <c r="I354" s="35"/>
      <c r="L354" s="35" t="str">
        <f>IF(A354="","",SUMIF(OBLIGACION!C:C,A354,OBLIGACION!H:H))</f>
        <v/>
      </c>
      <c r="M354" s="35" t="str">
        <f t="shared" si="11"/>
        <v/>
      </c>
    </row>
    <row r="355" spans="2:13" x14ac:dyDescent="0.3">
      <c r="B355" s="36"/>
      <c r="C355" t="str">
        <f t="shared" si="10"/>
        <v/>
      </c>
      <c r="E355" t="str">
        <f>IF(D355="","",IFERROR(VLOOKUP(D355,CDP!A:C,3,0),""))</f>
        <v/>
      </c>
      <c r="F355" t="str">
        <f>IF(D355="","",IFERROR(VLOOKUP(D355,CDP!A:D,4,0),""))</f>
        <v/>
      </c>
      <c r="H355" t="str">
        <f>IF(G355="","",IFERROR(VLOOKUP(G355,TERCEROS!A:C,3,0),""))</f>
        <v/>
      </c>
      <c r="I355" s="35"/>
      <c r="L355" s="35" t="str">
        <f>IF(A355="","",SUMIF(OBLIGACION!C:C,A355,OBLIGACION!H:H))</f>
        <v/>
      </c>
      <c r="M355" s="35" t="str">
        <f t="shared" si="11"/>
        <v/>
      </c>
    </row>
    <row r="356" spans="2:13" x14ac:dyDescent="0.3">
      <c r="B356" s="36"/>
      <c r="C356" t="str">
        <f t="shared" si="10"/>
        <v/>
      </c>
      <c r="E356" t="str">
        <f>IF(D356="","",IFERROR(VLOOKUP(D356,CDP!A:C,3,0),""))</f>
        <v/>
      </c>
      <c r="F356" t="str">
        <f>IF(D356="","",IFERROR(VLOOKUP(D356,CDP!A:D,4,0),""))</f>
        <v/>
      </c>
      <c r="H356" t="str">
        <f>IF(G356="","",IFERROR(VLOOKUP(G356,TERCEROS!A:C,3,0),""))</f>
        <v/>
      </c>
      <c r="I356" s="35"/>
      <c r="L356" s="35" t="str">
        <f>IF(A356="","",SUMIF(OBLIGACION!C:C,A356,OBLIGACION!H:H))</f>
        <v/>
      </c>
      <c r="M356" s="35" t="str">
        <f t="shared" si="11"/>
        <v/>
      </c>
    </row>
    <row r="357" spans="2:13" x14ac:dyDescent="0.3">
      <c r="B357" s="36"/>
      <c r="C357" t="str">
        <f t="shared" si="10"/>
        <v/>
      </c>
      <c r="E357" t="str">
        <f>IF(D357="","",IFERROR(VLOOKUP(D357,CDP!A:C,3,0),""))</f>
        <v/>
      </c>
      <c r="F357" t="str">
        <f>IF(D357="","",IFERROR(VLOOKUP(D357,CDP!A:D,4,0),""))</f>
        <v/>
      </c>
      <c r="H357" t="str">
        <f>IF(G357="","",IFERROR(VLOOKUP(G357,TERCEROS!A:C,3,0),""))</f>
        <v/>
      </c>
      <c r="I357" s="35"/>
      <c r="L357" s="35" t="str">
        <f>IF(A357="","",SUMIF(OBLIGACION!C:C,A357,OBLIGACION!H:H))</f>
        <v/>
      </c>
      <c r="M357" s="35" t="str">
        <f t="shared" si="11"/>
        <v/>
      </c>
    </row>
    <row r="358" spans="2:13" x14ac:dyDescent="0.3">
      <c r="B358" s="36"/>
      <c r="C358" t="str">
        <f t="shared" si="10"/>
        <v/>
      </c>
      <c r="E358" t="str">
        <f>IF(D358="","",IFERROR(VLOOKUP(D358,CDP!A:C,3,0),""))</f>
        <v/>
      </c>
      <c r="F358" t="str">
        <f>IF(D358="","",IFERROR(VLOOKUP(D358,CDP!A:D,4,0),""))</f>
        <v/>
      </c>
      <c r="H358" t="str">
        <f>IF(G358="","",IFERROR(VLOOKUP(G358,TERCEROS!A:C,3,0),""))</f>
        <v/>
      </c>
      <c r="I358" s="35"/>
      <c r="L358" s="35" t="str">
        <f>IF(A358="","",SUMIF(OBLIGACION!C:C,A358,OBLIGACION!H:H))</f>
        <v/>
      </c>
      <c r="M358" s="35" t="str">
        <f t="shared" si="11"/>
        <v/>
      </c>
    </row>
    <row r="359" spans="2:13" x14ac:dyDescent="0.3">
      <c r="B359" s="36"/>
      <c r="C359" t="str">
        <f t="shared" si="10"/>
        <v/>
      </c>
      <c r="E359" t="str">
        <f>IF(D359="","",IFERROR(VLOOKUP(D359,CDP!A:C,3,0),""))</f>
        <v/>
      </c>
      <c r="F359" t="str">
        <f>IF(D359="","",IFERROR(VLOOKUP(D359,CDP!A:D,4,0),""))</f>
        <v/>
      </c>
      <c r="H359" t="str">
        <f>IF(G359="","",IFERROR(VLOOKUP(G359,TERCEROS!A:C,3,0),""))</f>
        <v/>
      </c>
      <c r="I359" s="35"/>
      <c r="L359" s="35" t="str">
        <f>IF(A359="","",SUMIF(OBLIGACION!C:C,A359,OBLIGACION!H:H))</f>
        <v/>
      </c>
      <c r="M359" s="35" t="str">
        <f t="shared" si="11"/>
        <v/>
      </c>
    </row>
    <row r="360" spans="2:13" x14ac:dyDescent="0.3">
      <c r="B360" s="36"/>
      <c r="C360" t="str">
        <f t="shared" si="10"/>
        <v/>
      </c>
      <c r="E360" t="str">
        <f>IF(D360="","",IFERROR(VLOOKUP(D360,CDP!A:C,3,0),""))</f>
        <v/>
      </c>
      <c r="F360" t="str">
        <f>IF(D360="","",IFERROR(VLOOKUP(D360,CDP!A:D,4,0),""))</f>
        <v/>
      </c>
      <c r="H360" t="str">
        <f>IF(G360="","",IFERROR(VLOOKUP(G360,TERCEROS!A:C,3,0),""))</f>
        <v/>
      </c>
      <c r="I360" s="35"/>
      <c r="L360" s="35" t="str">
        <f>IF(A360="","",SUMIF(OBLIGACION!C:C,A360,OBLIGACION!H:H))</f>
        <v/>
      </c>
      <c r="M360" s="35" t="str">
        <f t="shared" si="11"/>
        <v/>
      </c>
    </row>
    <row r="361" spans="2:13" x14ac:dyDescent="0.3">
      <c r="B361" s="36"/>
      <c r="C361" t="str">
        <f t="shared" si="10"/>
        <v/>
      </c>
      <c r="E361" t="str">
        <f>IF(D361="","",IFERROR(VLOOKUP(D361,CDP!A:C,3,0),""))</f>
        <v/>
      </c>
      <c r="F361" t="str">
        <f>IF(D361="","",IFERROR(VLOOKUP(D361,CDP!A:D,4,0),""))</f>
        <v/>
      </c>
      <c r="H361" t="str">
        <f>IF(G361="","",IFERROR(VLOOKUP(G361,TERCEROS!A:C,3,0),""))</f>
        <v/>
      </c>
      <c r="I361" s="35"/>
      <c r="L361" s="35" t="str">
        <f>IF(A361="","",SUMIF(OBLIGACION!C:C,A361,OBLIGACION!H:H))</f>
        <v/>
      </c>
      <c r="M361" s="35" t="str">
        <f t="shared" si="11"/>
        <v/>
      </c>
    </row>
    <row r="362" spans="2:13" x14ac:dyDescent="0.3">
      <c r="B362" s="36"/>
      <c r="C362" t="str">
        <f t="shared" si="10"/>
        <v/>
      </c>
      <c r="E362" t="str">
        <f>IF(D362="","",IFERROR(VLOOKUP(D362,CDP!A:C,3,0),""))</f>
        <v/>
      </c>
      <c r="F362" t="str">
        <f>IF(D362="","",IFERROR(VLOOKUP(D362,CDP!A:D,4,0),""))</f>
        <v/>
      </c>
      <c r="H362" t="str">
        <f>IF(G362="","",IFERROR(VLOOKUP(G362,TERCEROS!A:C,3,0),""))</f>
        <v/>
      </c>
      <c r="I362" s="35"/>
      <c r="L362" s="35" t="str">
        <f>IF(A362="","",SUMIF(OBLIGACION!C:C,A362,OBLIGACION!H:H))</f>
        <v/>
      </c>
      <c r="M362" s="35" t="str">
        <f t="shared" si="11"/>
        <v/>
      </c>
    </row>
    <row r="363" spans="2:13" x14ac:dyDescent="0.3">
      <c r="B363" s="36"/>
      <c r="C363" t="str">
        <f t="shared" si="10"/>
        <v/>
      </c>
      <c r="E363" t="str">
        <f>IF(D363="","",IFERROR(VLOOKUP(D363,CDP!A:C,3,0),""))</f>
        <v/>
      </c>
      <c r="F363" t="str">
        <f>IF(D363="","",IFERROR(VLOOKUP(D363,CDP!A:D,4,0),""))</f>
        <v/>
      </c>
      <c r="H363" t="str">
        <f>IF(G363="","",IFERROR(VLOOKUP(G363,TERCEROS!A:C,3,0),""))</f>
        <v/>
      </c>
      <c r="I363" s="35"/>
      <c r="L363" s="35" t="str">
        <f>IF(A363="","",SUMIF(OBLIGACION!C:C,A363,OBLIGACION!H:H))</f>
        <v/>
      </c>
      <c r="M363" s="35" t="str">
        <f t="shared" si="11"/>
        <v/>
      </c>
    </row>
    <row r="364" spans="2:13" x14ac:dyDescent="0.3">
      <c r="B364" s="36"/>
      <c r="C364" t="str">
        <f t="shared" si="10"/>
        <v/>
      </c>
      <c r="E364" t="str">
        <f>IF(D364="","",IFERROR(VLOOKUP(D364,CDP!A:C,3,0),""))</f>
        <v/>
      </c>
      <c r="F364" t="str">
        <f>IF(D364="","",IFERROR(VLOOKUP(D364,CDP!A:D,4,0),""))</f>
        <v/>
      </c>
      <c r="H364" t="str">
        <f>IF(G364="","",IFERROR(VLOOKUP(G364,TERCEROS!A:C,3,0),""))</f>
        <v/>
      </c>
      <c r="I364" s="35"/>
      <c r="L364" s="35" t="str">
        <f>IF(A364="","",SUMIF(OBLIGACION!C:C,A364,OBLIGACION!H:H))</f>
        <v/>
      </c>
      <c r="M364" s="35" t="str">
        <f t="shared" si="11"/>
        <v/>
      </c>
    </row>
    <row r="365" spans="2:13" x14ac:dyDescent="0.3">
      <c r="B365" s="36"/>
      <c r="C365" t="str">
        <f t="shared" si="10"/>
        <v/>
      </c>
      <c r="E365" t="str">
        <f>IF(D365="","",IFERROR(VLOOKUP(D365,CDP!A:C,3,0),""))</f>
        <v/>
      </c>
      <c r="F365" t="str">
        <f>IF(D365="","",IFERROR(VLOOKUP(D365,CDP!A:D,4,0),""))</f>
        <v/>
      </c>
      <c r="H365" t="str">
        <f>IF(G365="","",IFERROR(VLOOKUP(G365,TERCEROS!A:C,3,0),""))</f>
        <v/>
      </c>
      <c r="I365" s="35"/>
      <c r="L365" s="35" t="str">
        <f>IF(A365="","",SUMIF(OBLIGACION!C:C,A365,OBLIGACION!H:H))</f>
        <v/>
      </c>
      <c r="M365" s="35" t="str">
        <f t="shared" si="11"/>
        <v/>
      </c>
    </row>
    <row r="366" spans="2:13" x14ac:dyDescent="0.3">
      <c r="B366" s="36"/>
      <c r="C366" t="str">
        <f t="shared" si="10"/>
        <v/>
      </c>
      <c r="E366" t="str">
        <f>IF(D366="","",IFERROR(VLOOKUP(D366,CDP!A:C,3,0),""))</f>
        <v/>
      </c>
      <c r="F366" t="str">
        <f>IF(D366="","",IFERROR(VLOOKUP(D366,CDP!A:D,4,0),""))</f>
        <v/>
      </c>
      <c r="H366" t="str">
        <f>IF(G366="","",IFERROR(VLOOKUP(G366,TERCEROS!A:C,3,0),""))</f>
        <v/>
      </c>
      <c r="I366" s="35"/>
      <c r="L366" s="35" t="str">
        <f>IF(A366="","",SUMIF(OBLIGACION!C:C,A366,OBLIGACION!H:H))</f>
        <v/>
      </c>
      <c r="M366" s="35" t="str">
        <f t="shared" si="11"/>
        <v/>
      </c>
    </row>
    <row r="367" spans="2:13" x14ac:dyDescent="0.3">
      <c r="B367" s="36"/>
      <c r="C367" t="str">
        <f t="shared" si="10"/>
        <v/>
      </c>
      <c r="E367" t="str">
        <f>IF(D367="","",IFERROR(VLOOKUP(D367,CDP!A:C,3,0),""))</f>
        <v/>
      </c>
      <c r="F367" t="str">
        <f>IF(D367="","",IFERROR(VLOOKUP(D367,CDP!A:D,4,0),""))</f>
        <v/>
      </c>
      <c r="H367" t="str">
        <f>IF(G367="","",IFERROR(VLOOKUP(G367,TERCEROS!A:C,3,0),""))</f>
        <v/>
      </c>
      <c r="I367" s="35"/>
      <c r="L367" s="35" t="str">
        <f>IF(A367="","",SUMIF(OBLIGACION!C:C,A367,OBLIGACION!H:H))</f>
        <v/>
      </c>
      <c r="M367" s="35" t="str">
        <f t="shared" si="11"/>
        <v/>
      </c>
    </row>
    <row r="368" spans="2:13" x14ac:dyDescent="0.3">
      <c r="B368" s="36"/>
      <c r="C368" t="str">
        <f t="shared" si="10"/>
        <v/>
      </c>
      <c r="E368" t="str">
        <f>IF(D368="","",IFERROR(VLOOKUP(D368,CDP!A:C,3,0),""))</f>
        <v/>
      </c>
      <c r="F368" t="str">
        <f>IF(D368="","",IFERROR(VLOOKUP(D368,CDP!A:D,4,0),""))</f>
        <v/>
      </c>
      <c r="H368" t="str">
        <f>IF(G368="","",IFERROR(VLOOKUP(G368,TERCEROS!A:C,3,0),""))</f>
        <v/>
      </c>
      <c r="I368" s="35"/>
      <c r="L368" s="35" t="str">
        <f>IF(A368="","",SUMIF(OBLIGACION!C:C,A368,OBLIGACION!H:H))</f>
        <v/>
      </c>
      <c r="M368" s="35" t="str">
        <f t="shared" si="11"/>
        <v/>
      </c>
    </row>
    <row r="369" spans="2:13" x14ac:dyDescent="0.3">
      <c r="B369" s="36"/>
      <c r="C369" t="str">
        <f t="shared" si="10"/>
        <v/>
      </c>
      <c r="E369" t="str">
        <f>IF(D369="","",IFERROR(VLOOKUP(D369,CDP!A:C,3,0),""))</f>
        <v/>
      </c>
      <c r="F369" t="str">
        <f>IF(D369="","",IFERROR(VLOOKUP(D369,CDP!A:D,4,0),""))</f>
        <v/>
      </c>
      <c r="H369" t="str">
        <f>IF(G369="","",IFERROR(VLOOKUP(G369,TERCEROS!A:C,3,0),""))</f>
        <v/>
      </c>
      <c r="I369" s="35"/>
      <c r="L369" s="35" t="str">
        <f>IF(A369="","",SUMIF(OBLIGACION!C:C,A369,OBLIGACION!H:H))</f>
        <v/>
      </c>
      <c r="M369" s="35" t="str">
        <f t="shared" si="11"/>
        <v/>
      </c>
    </row>
    <row r="370" spans="2:13" x14ac:dyDescent="0.3">
      <c r="B370" s="36"/>
      <c r="C370" t="str">
        <f t="shared" si="10"/>
        <v/>
      </c>
      <c r="E370" t="str">
        <f>IF(D370="","",IFERROR(VLOOKUP(D370,CDP!A:C,3,0),""))</f>
        <v/>
      </c>
      <c r="F370" t="str">
        <f>IF(D370="","",IFERROR(VLOOKUP(D370,CDP!A:D,4,0),""))</f>
        <v/>
      </c>
      <c r="H370" t="str">
        <f>IF(G370="","",IFERROR(VLOOKUP(G370,TERCEROS!A:C,3,0),""))</f>
        <v/>
      </c>
      <c r="I370" s="35"/>
      <c r="L370" s="35" t="str">
        <f>IF(A370="","",SUMIF(OBLIGACION!C:C,A370,OBLIGACION!H:H))</f>
        <v/>
      </c>
      <c r="M370" s="35" t="str">
        <f t="shared" si="11"/>
        <v/>
      </c>
    </row>
    <row r="371" spans="2:13" x14ac:dyDescent="0.3">
      <c r="B371" s="36"/>
      <c r="C371" t="str">
        <f t="shared" si="10"/>
        <v/>
      </c>
      <c r="E371" t="str">
        <f>IF(D371="","",IFERROR(VLOOKUP(D371,CDP!A:C,3,0),""))</f>
        <v/>
      </c>
      <c r="F371" t="str">
        <f>IF(D371="","",IFERROR(VLOOKUP(D371,CDP!A:D,4,0),""))</f>
        <v/>
      </c>
      <c r="H371" t="str">
        <f>IF(G371="","",IFERROR(VLOOKUP(G371,TERCEROS!A:C,3,0),""))</f>
        <v/>
      </c>
      <c r="I371" s="35"/>
      <c r="L371" s="35" t="str">
        <f>IF(A371="","",SUMIF(OBLIGACION!C:C,A371,OBLIGACION!H:H))</f>
        <v/>
      </c>
      <c r="M371" s="35" t="str">
        <f t="shared" si="11"/>
        <v/>
      </c>
    </row>
    <row r="372" spans="2:13" x14ac:dyDescent="0.3">
      <c r="B372" s="36"/>
      <c r="C372" t="str">
        <f t="shared" si="10"/>
        <v/>
      </c>
      <c r="E372" t="str">
        <f>IF(D372="","",IFERROR(VLOOKUP(D372,CDP!A:C,3,0),""))</f>
        <v/>
      </c>
      <c r="F372" t="str">
        <f>IF(D372="","",IFERROR(VLOOKUP(D372,CDP!A:D,4,0),""))</f>
        <v/>
      </c>
      <c r="H372" t="str">
        <f>IF(G372="","",IFERROR(VLOOKUP(G372,TERCEROS!A:C,3,0),""))</f>
        <v/>
      </c>
      <c r="I372" s="35"/>
      <c r="L372" s="35" t="str">
        <f>IF(A372="","",SUMIF(OBLIGACION!C:C,A372,OBLIGACION!H:H))</f>
        <v/>
      </c>
      <c r="M372" s="35" t="str">
        <f t="shared" si="11"/>
        <v/>
      </c>
    </row>
    <row r="373" spans="2:13" x14ac:dyDescent="0.3">
      <c r="B373" s="36"/>
      <c r="C373" t="str">
        <f t="shared" si="10"/>
        <v/>
      </c>
      <c r="E373" t="str">
        <f>IF(D373="","",IFERROR(VLOOKUP(D373,CDP!A:C,3,0),""))</f>
        <v/>
      </c>
      <c r="F373" t="str">
        <f>IF(D373="","",IFERROR(VLOOKUP(D373,CDP!A:D,4,0),""))</f>
        <v/>
      </c>
      <c r="H373" t="str">
        <f>IF(G373="","",IFERROR(VLOOKUP(G373,TERCEROS!A:C,3,0),""))</f>
        <v/>
      </c>
      <c r="I373" s="35"/>
      <c r="L373" s="35" t="str">
        <f>IF(A373="","",SUMIF(OBLIGACION!C:C,A373,OBLIGACION!H:H))</f>
        <v/>
      </c>
      <c r="M373" s="35" t="str">
        <f t="shared" si="11"/>
        <v/>
      </c>
    </row>
    <row r="374" spans="2:13" x14ac:dyDescent="0.3">
      <c r="B374" s="36"/>
      <c r="C374" t="str">
        <f t="shared" si="10"/>
        <v/>
      </c>
      <c r="E374" t="str">
        <f>IF(D374="","",IFERROR(VLOOKUP(D374,CDP!A:C,3,0),""))</f>
        <v/>
      </c>
      <c r="F374" t="str">
        <f>IF(D374="","",IFERROR(VLOOKUP(D374,CDP!A:D,4,0),""))</f>
        <v/>
      </c>
      <c r="H374" t="str">
        <f>IF(G374="","",IFERROR(VLOOKUP(G374,TERCEROS!A:C,3,0),""))</f>
        <v/>
      </c>
      <c r="I374" s="35"/>
      <c r="L374" s="35" t="str">
        <f>IF(A374="","",SUMIF(OBLIGACION!C:C,A374,OBLIGACION!H:H))</f>
        <v/>
      </c>
      <c r="M374" s="35" t="str">
        <f t="shared" si="11"/>
        <v/>
      </c>
    </row>
    <row r="375" spans="2:13" x14ac:dyDescent="0.3">
      <c r="B375" s="36"/>
      <c r="C375" t="str">
        <f t="shared" si="10"/>
        <v/>
      </c>
      <c r="E375" t="str">
        <f>IF(D375="","",IFERROR(VLOOKUP(D375,CDP!A:C,3,0),""))</f>
        <v/>
      </c>
      <c r="F375" t="str">
        <f>IF(D375="","",IFERROR(VLOOKUP(D375,CDP!A:D,4,0),""))</f>
        <v/>
      </c>
      <c r="H375" t="str">
        <f>IF(G375="","",IFERROR(VLOOKUP(G375,TERCEROS!A:C,3,0),""))</f>
        <v/>
      </c>
      <c r="I375" s="35"/>
      <c r="L375" s="35" t="str">
        <f>IF(A375="","",SUMIF(OBLIGACION!C:C,A375,OBLIGACION!H:H))</f>
        <v/>
      </c>
      <c r="M375" s="35" t="str">
        <f t="shared" si="11"/>
        <v/>
      </c>
    </row>
    <row r="376" spans="2:13" x14ac:dyDescent="0.3">
      <c r="B376" s="36"/>
      <c r="C376" t="str">
        <f t="shared" si="10"/>
        <v/>
      </c>
      <c r="E376" t="str">
        <f>IF(D376="","",IFERROR(VLOOKUP(D376,CDP!A:C,3,0),""))</f>
        <v/>
      </c>
      <c r="F376" t="str">
        <f>IF(D376="","",IFERROR(VLOOKUP(D376,CDP!A:D,4,0),""))</f>
        <v/>
      </c>
      <c r="H376" t="str">
        <f>IF(G376="","",IFERROR(VLOOKUP(G376,TERCEROS!A:C,3,0),""))</f>
        <v/>
      </c>
      <c r="I376" s="35"/>
      <c r="L376" s="35" t="str">
        <f>IF(A376="","",SUMIF(OBLIGACION!C:C,A376,OBLIGACION!H:H))</f>
        <v/>
      </c>
      <c r="M376" s="35" t="str">
        <f t="shared" si="11"/>
        <v/>
      </c>
    </row>
    <row r="377" spans="2:13" x14ac:dyDescent="0.3">
      <c r="B377" s="36"/>
      <c r="C377" t="str">
        <f t="shared" si="10"/>
        <v/>
      </c>
      <c r="E377" t="str">
        <f>IF(D377="","",IFERROR(VLOOKUP(D377,CDP!A:C,3,0),""))</f>
        <v/>
      </c>
      <c r="F377" t="str">
        <f>IF(D377="","",IFERROR(VLOOKUP(D377,CDP!A:D,4,0),""))</f>
        <v/>
      </c>
      <c r="H377" t="str">
        <f>IF(G377="","",IFERROR(VLOOKUP(G377,TERCEROS!A:C,3,0),""))</f>
        <v/>
      </c>
      <c r="I377" s="35"/>
      <c r="L377" s="35" t="str">
        <f>IF(A377="","",SUMIF(OBLIGACION!C:C,A377,OBLIGACION!H:H))</f>
        <v/>
      </c>
      <c r="M377" s="35" t="str">
        <f t="shared" si="11"/>
        <v/>
      </c>
    </row>
    <row r="378" spans="2:13" x14ac:dyDescent="0.3">
      <c r="B378" s="36"/>
      <c r="C378" t="str">
        <f t="shared" si="10"/>
        <v/>
      </c>
      <c r="E378" t="str">
        <f>IF(D378="","",IFERROR(VLOOKUP(D378,CDP!A:C,3,0),""))</f>
        <v/>
      </c>
      <c r="F378" t="str">
        <f>IF(D378="","",IFERROR(VLOOKUP(D378,CDP!A:D,4,0),""))</f>
        <v/>
      </c>
      <c r="H378" t="str">
        <f>IF(G378="","",IFERROR(VLOOKUP(G378,TERCEROS!A:C,3,0),""))</f>
        <v/>
      </c>
      <c r="I378" s="35"/>
      <c r="L378" s="35" t="str">
        <f>IF(A378="","",SUMIF(OBLIGACION!C:C,A378,OBLIGACION!H:H))</f>
        <v/>
      </c>
      <c r="M378" s="35" t="str">
        <f t="shared" si="11"/>
        <v/>
      </c>
    </row>
    <row r="379" spans="2:13" x14ac:dyDescent="0.3">
      <c r="B379" s="36"/>
      <c r="C379" t="str">
        <f t="shared" si="10"/>
        <v/>
      </c>
      <c r="E379" t="str">
        <f>IF(D379="","",IFERROR(VLOOKUP(D379,CDP!A:C,3,0),""))</f>
        <v/>
      </c>
      <c r="F379" t="str">
        <f>IF(D379="","",IFERROR(VLOOKUP(D379,CDP!A:D,4,0),""))</f>
        <v/>
      </c>
      <c r="H379" t="str">
        <f>IF(G379="","",IFERROR(VLOOKUP(G379,TERCEROS!A:C,3,0),""))</f>
        <v/>
      </c>
      <c r="I379" s="35"/>
      <c r="L379" s="35" t="str">
        <f>IF(A379="","",SUMIF(OBLIGACION!C:C,A379,OBLIGACION!H:H))</f>
        <v/>
      </c>
      <c r="M379" s="35" t="str">
        <f t="shared" si="11"/>
        <v/>
      </c>
    </row>
    <row r="380" spans="2:13" x14ac:dyDescent="0.3">
      <c r="B380" s="36"/>
      <c r="C380" t="str">
        <f t="shared" si="10"/>
        <v/>
      </c>
      <c r="E380" t="str">
        <f>IF(D380="","",IFERROR(VLOOKUP(D380,CDP!A:C,3,0),""))</f>
        <v/>
      </c>
      <c r="F380" t="str">
        <f>IF(D380="","",IFERROR(VLOOKUP(D380,CDP!A:D,4,0),""))</f>
        <v/>
      </c>
      <c r="H380" t="str">
        <f>IF(G380="","",IFERROR(VLOOKUP(G380,TERCEROS!A:C,3,0),""))</f>
        <v/>
      </c>
      <c r="I380" s="35"/>
      <c r="L380" s="35" t="str">
        <f>IF(A380="","",SUMIF(OBLIGACION!C:C,A380,OBLIGACION!H:H))</f>
        <v/>
      </c>
      <c r="M380" s="35" t="str">
        <f t="shared" si="11"/>
        <v/>
      </c>
    </row>
    <row r="381" spans="2:13" x14ac:dyDescent="0.3">
      <c r="B381" s="36"/>
      <c r="C381" t="str">
        <f t="shared" si="10"/>
        <v/>
      </c>
      <c r="E381" t="str">
        <f>IF(D381="","",IFERROR(VLOOKUP(D381,CDP!A:C,3,0),""))</f>
        <v/>
      </c>
      <c r="F381" t="str">
        <f>IF(D381="","",IFERROR(VLOOKUP(D381,CDP!A:D,4,0),""))</f>
        <v/>
      </c>
      <c r="H381" t="str">
        <f>IF(G381="","",IFERROR(VLOOKUP(G381,TERCEROS!A:C,3,0),""))</f>
        <v/>
      </c>
      <c r="I381" s="35"/>
      <c r="L381" s="35" t="str">
        <f>IF(A381="","",SUMIF(OBLIGACION!C:C,A381,OBLIGACION!H:H))</f>
        <v/>
      </c>
      <c r="M381" s="35" t="str">
        <f t="shared" si="11"/>
        <v/>
      </c>
    </row>
    <row r="382" spans="2:13" x14ac:dyDescent="0.3">
      <c r="B382" s="36"/>
      <c r="C382" t="str">
        <f t="shared" si="10"/>
        <v/>
      </c>
      <c r="E382" t="str">
        <f>IF(D382="","",IFERROR(VLOOKUP(D382,CDP!A:C,3,0),""))</f>
        <v/>
      </c>
      <c r="F382" t="str">
        <f>IF(D382="","",IFERROR(VLOOKUP(D382,CDP!A:D,4,0),""))</f>
        <v/>
      </c>
      <c r="H382" t="str">
        <f>IF(G382="","",IFERROR(VLOOKUP(G382,TERCEROS!A:C,3,0),""))</f>
        <v/>
      </c>
      <c r="I382" s="35"/>
      <c r="L382" s="35" t="str">
        <f>IF(A382="","",SUMIF(OBLIGACION!C:C,A382,OBLIGACION!H:H))</f>
        <v/>
      </c>
      <c r="M382" s="35" t="str">
        <f t="shared" si="11"/>
        <v/>
      </c>
    </row>
    <row r="383" spans="2:13" x14ac:dyDescent="0.3">
      <c r="B383" s="36"/>
      <c r="C383" t="str">
        <f t="shared" si="10"/>
        <v/>
      </c>
      <c r="E383" t="str">
        <f>IF(D383="","",IFERROR(VLOOKUP(D383,CDP!A:C,3,0),""))</f>
        <v/>
      </c>
      <c r="F383" t="str">
        <f>IF(D383="","",IFERROR(VLOOKUP(D383,CDP!A:D,4,0),""))</f>
        <v/>
      </c>
      <c r="H383" t="str">
        <f>IF(G383="","",IFERROR(VLOOKUP(G383,TERCEROS!A:C,3,0),""))</f>
        <v/>
      </c>
      <c r="I383" s="35"/>
      <c r="L383" s="35" t="str">
        <f>IF(A383="","",SUMIF(OBLIGACION!C:C,A383,OBLIGACION!H:H))</f>
        <v/>
      </c>
      <c r="M383" s="35" t="str">
        <f t="shared" si="11"/>
        <v/>
      </c>
    </row>
    <row r="384" spans="2:13" x14ac:dyDescent="0.3">
      <c r="B384" s="36"/>
      <c r="C384" t="str">
        <f t="shared" si="10"/>
        <v/>
      </c>
      <c r="E384" t="str">
        <f>IF(D384="","",IFERROR(VLOOKUP(D384,CDP!A:C,3,0),""))</f>
        <v/>
      </c>
      <c r="F384" t="str">
        <f>IF(D384="","",IFERROR(VLOOKUP(D384,CDP!A:D,4,0),""))</f>
        <v/>
      </c>
      <c r="H384" t="str">
        <f>IF(G384="","",IFERROR(VLOOKUP(G384,TERCEROS!A:C,3,0),""))</f>
        <v/>
      </c>
      <c r="I384" s="35"/>
      <c r="L384" s="35" t="str">
        <f>IF(A384="","",SUMIF(OBLIGACION!C:C,A384,OBLIGACION!H:H))</f>
        <v/>
      </c>
      <c r="M384" s="35" t="str">
        <f t="shared" si="11"/>
        <v/>
      </c>
    </row>
    <row r="385" spans="2:13" x14ac:dyDescent="0.3">
      <c r="B385" s="36"/>
      <c r="C385" t="str">
        <f t="shared" si="10"/>
        <v/>
      </c>
      <c r="E385" t="str">
        <f>IF(D385="","",IFERROR(VLOOKUP(D385,CDP!A:C,3,0),""))</f>
        <v/>
      </c>
      <c r="F385" t="str">
        <f>IF(D385="","",IFERROR(VLOOKUP(D385,CDP!A:D,4,0),""))</f>
        <v/>
      </c>
      <c r="H385" t="str">
        <f>IF(G385="","",IFERROR(VLOOKUP(G385,TERCEROS!A:C,3,0),""))</f>
        <v/>
      </c>
      <c r="I385" s="35"/>
      <c r="L385" s="35" t="str">
        <f>IF(A385="","",SUMIF(OBLIGACION!C:C,A385,OBLIGACION!H:H))</f>
        <v/>
      </c>
      <c r="M385" s="35" t="str">
        <f t="shared" si="11"/>
        <v/>
      </c>
    </row>
    <row r="386" spans="2:13" x14ac:dyDescent="0.3">
      <c r="B386" s="36"/>
      <c r="C386" t="str">
        <f t="shared" ref="C386:C449" si="12">IF(B386="","",MONTH(B386))</f>
        <v/>
      </c>
      <c r="E386" t="str">
        <f>IF(D386="","",IFERROR(VLOOKUP(D386,CDP!A:C,3,0),""))</f>
        <v/>
      </c>
      <c r="F386" t="str">
        <f>IF(D386="","",IFERROR(VLOOKUP(D386,CDP!A:D,4,0),""))</f>
        <v/>
      </c>
      <c r="H386" t="str">
        <f>IF(G386="","",IFERROR(VLOOKUP(G386,TERCEROS!A:C,3,0),""))</f>
        <v/>
      </c>
      <c r="I386" s="35"/>
      <c r="L386" s="35" t="str">
        <f>IF(A386="","",SUMIF(OBLIGACION!C:C,A386,OBLIGACION!H:H))</f>
        <v/>
      </c>
      <c r="M386" s="35" t="str">
        <f t="shared" ref="M386:M449" si="13">IF(A386="","",I386-L386)</f>
        <v/>
      </c>
    </row>
    <row r="387" spans="2:13" x14ac:dyDescent="0.3">
      <c r="B387" s="36"/>
      <c r="C387" t="str">
        <f t="shared" si="12"/>
        <v/>
      </c>
      <c r="E387" t="str">
        <f>IF(D387="","",IFERROR(VLOOKUP(D387,CDP!A:C,3,0),""))</f>
        <v/>
      </c>
      <c r="F387" t="str">
        <f>IF(D387="","",IFERROR(VLOOKUP(D387,CDP!A:D,4,0),""))</f>
        <v/>
      </c>
      <c r="H387" t="str">
        <f>IF(G387="","",IFERROR(VLOOKUP(G387,TERCEROS!A:C,3,0),""))</f>
        <v/>
      </c>
      <c r="I387" s="35"/>
      <c r="L387" s="35" t="str">
        <f>IF(A387="","",SUMIF(OBLIGACION!C:C,A387,OBLIGACION!H:H))</f>
        <v/>
      </c>
      <c r="M387" s="35" t="str">
        <f t="shared" si="13"/>
        <v/>
      </c>
    </row>
    <row r="388" spans="2:13" x14ac:dyDescent="0.3">
      <c r="B388" s="36"/>
      <c r="C388" t="str">
        <f t="shared" si="12"/>
        <v/>
      </c>
      <c r="E388" t="str">
        <f>IF(D388="","",IFERROR(VLOOKUP(D388,CDP!A:C,3,0),""))</f>
        <v/>
      </c>
      <c r="F388" t="str">
        <f>IF(D388="","",IFERROR(VLOOKUP(D388,CDP!A:D,4,0),""))</f>
        <v/>
      </c>
      <c r="H388" t="str">
        <f>IF(G388="","",IFERROR(VLOOKUP(G388,TERCEROS!A:C,3,0),""))</f>
        <v/>
      </c>
      <c r="I388" s="35"/>
      <c r="L388" s="35" t="str">
        <f>IF(A388="","",SUMIF(OBLIGACION!C:C,A388,OBLIGACION!H:H))</f>
        <v/>
      </c>
      <c r="M388" s="35" t="str">
        <f t="shared" si="13"/>
        <v/>
      </c>
    </row>
    <row r="389" spans="2:13" x14ac:dyDescent="0.3">
      <c r="B389" s="36"/>
      <c r="C389" t="str">
        <f t="shared" si="12"/>
        <v/>
      </c>
      <c r="E389" t="str">
        <f>IF(D389="","",IFERROR(VLOOKUP(D389,CDP!A:C,3,0),""))</f>
        <v/>
      </c>
      <c r="F389" t="str">
        <f>IF(D389="","",IFERROR(VLOOKUP(D389,CDP!A:D,4,0),""))</f>
        <v/>
      </c>
      <c r="H389" t="str">
        <f>IF(G389="","",IFERROR(VLOOKUP(G389,TERCEROS!A:C,3,0),""))</f>
        <v/>
      </c>
      <c r="I389" s="35"/>
      <c r="L389" s="35" t="str">
        <f>IF(A389="","",SUMIF(OBLIGACION!C:C,A389,OBLIGACION!H:H))</f>
        <v/>
      </c>
      <c r="M389" s="35" t="str">
        <f t="shared" si="13"/>
        <v/>
      </c>
    </row>
    <row r="390" spans="2:13" x14ac:dyDescent="0.3">
      <c r="B390" s="36"/>
      <c r="C390" t="str">
        <f t="shared" si="12"/>
        <v/>
      </c>
      <c r="E390" t="str">
        <f>IF(D390="","",IFERROR(VLOOKUP(D390,CDP!A:C,3,0),""))</f>
        <v/>
      </c>
      <c r="F390" t="str">
        <f>IF(D390="","",IFERROR(VLOOKUP(D390,CDP!A:D,4,0),""))</f>
        <v/>
      </c>
      <c r="H390" t="str">
        <f>IF(G390="","",IFERROR(VLOOKUP(G390,TERCEROS!A:C,3,0),""))</f>
        <v/>
      </c>
      <c r="I390" s="35"/>
      <c r="L390" s="35" t="str">
        <f>IF(A390="","",SUMIF(OBLIGACION!C:C,A390,OBLIGACION!H:H))</f>
        <v/>
      </c>
      <c r="M390" s="35" t="str">
        <f t="shared" si="13"/>
        <v/>
      </c>
    </row>
    <row r="391" spans="2:13" x14ac:dyDescent="0.3">
      <c r="B391" s="36"/>
      <c r="C391" t="str">
        <f t="shared" si="12"/>
        <v/>
      </c>
      <c r="E391" t="str">
        <f>IF(D391="","",IFERROR(VLOOKUP(D391,CDP!A:C,3,0),""))</f>
        <v/>
      </c>
      <c r="F391" t="str">
        <f>IF(D391="","",IFERROR(VLOOKUP(D391,CDP!A:D,4,0),""))</f>
        <v/>
      </c>
      <c r="H391" t="str">
        <f>IF(G391="","",IFERROR(VLOOKUP(G391,TERCEROS!A:C,3,0),""))</f>
        <v/>
      </c>
      <c r="I391" s="35"/>
      <c r="L391" s="35" t="str">
        <f>IF(A391="","",SUMIF(OBLIGACION!C:C,A391,OBLIGACION!H:H))</f>
        <v/>
      </c>
      <c r="M391" s="35" t="str">
        <f t="shared" si="13"/>
        <v/>
      </c>
    </row>
    <row r="392" spans="2:13" x14ac:dyDescent="0.3">
      <c r="B392" s="36"/>
      <c r="C392" t="str">
        <f t="shared" si="12"/>
        <v/>
      </c>
      <c r="E392" t="str">
        <f>IF(D392="","",IFERROR(VLOOKUP(D392,CDP!A:C,3,0),""))</f>
        <v/>
      </c>
      <c r="F392" t="str">
        <f>IF(D392="","",IFERROR(VLOOKUP(D392,CDP!A:D,4,0),""))</f>
        <v/>
      </c>
      <c r="H392" t="str">
        <f>IF(G392="","",IFERROR(VLOOKUP(G392,TERCEROS!A:C,3,0),""))</f>
        <v/>
      </c>
      <c r="I392" s="35"/>
      <c r="L392" s="35" t="str">
        <f>IF(A392="","",SUMIF(OBLIGACION!C:C,A392,OBLIGACION!H:H))</f>
        <v/>
      </c>
      <c r="M392" s="35" t="str">
        <f t="shared" si="13"/>
        <v/>
      </c>
    </row>
    <row r="393" spans="2:13" x14ac:dyDescent="0.3">
      <c r="B393" s="36"/>
      <c r="C393" t="str">
        <f t="shared" si="12"/>
        <v/>
      </c>
      <c r="E393" t="str">
        <f>IF(D393="","",IFERROR(VLOOKUP(D393,CDP!A:C,3,0),""))</f>
        <v/>
      </c>
      <c r="F393" t="str">
        <f>IF(D393="","",IFERROR(VLOOKUP(D393,CDP!A:D,4,0),""))</f>
        <v/>
      </c>
      <c r="H393" t="str">
        <f>IF(G393="","",IFERROR(VLOOKUP(G393,TERCEROS!A:C,3,0),""))</f>
        <v/>
      </c>
      <c r="I393" s="35"/>
      <c r="L393" s="35" t="str">
        <f>IF(A393="","",SUMIF(OBLIGACION!C:C,A393,OBLIGACION!H:H))</f>
        <v/>
      </c>
      <c r="M393" s="35" t="str">
        <f t="shared" si="13"/>
        <v/>
      </c>
    </row>
    <row r="394" spans="2:13" x14ac:dyDescent="0.3">
      <c r="B394" s="36"/>
      <c r="C394" t="str">
        <f t="shared" si="12"/>
        <v/>
      </c>
      <c r="E394" t="str">
        <f>IF(D394="","",IFERROR(VLOOKUP(D394,CDP!A:C,3,0),""))</f>
        <v/>
      </c>
      <c r="F394" t="str">
        <f>IF(D394="","",IFERROR(VLOOKUP(D394,CDP!A:D,4,0),""))</f>
        <v/>
      </c>
      <c r="H394" t="str">
        <f>IF(G394="","",IFERROR(VLOOKUP(G394,TERCEROS!A:C,3,0),""))</f>
        <v/>
      </c>
      <c r="I394" s="35"/>
      <c r="L394" s="35" t="str">
        <f>IF(A394="","",SUMIF(OBLIGACION!C:C,A394,OBLIGACION!H:H))</f>
        <v/>
      </c>
      <c r="M394" s="35" t="str">
        <f t="shared" si="13"/>
        <v/>
      </c>
    </row>
    <row r="395" spans="2:13" x14ac:dyDescent="0.3">
      <c r="B395" s="36"/>
      <c r="C395" t="str">
        <f t="shared" si="12"/>
        <v/>
      </c>
      <c r="E395" t="str">
        <f>IF(D395="","",IFERROR(VLOOKUP(D395,CDP!A:C,3,0),""))</f>
        <v/>
      </c>
      <c r="F395" t="str">
        <f>IF(D395="","",IFERROR(VLOOKUP(D395,CDP!A:D,4,0),""))</f>
        <v/>
      </c>
      <c r="H395" t="str">
        <f>IF(G395="","",IFERROR(VLOOKUP(G395,TERCEROS!A:C,3,0),""))</f>
        <v/>
      </c>
      <c r="I395" s="35"/>
      <c r="L395" s="35" t="str">
        <f>IF(A395="","",SUMIF(OBLIGACION!C:C,A395,OBLIGACION!H:H))</f>
        <v/>
      </c>
      <c r="M395" s="35" t="str">
        <f t="shared" si="13"/>
        <v/>
      </c>
    </row>
    <row r="396" spans="2:13" x14ac:dyDescent="0.3">
      <c r="B396" s="36"/>
      <c r="C396" t="str">
        <f t="shared" si="12"/>
        <v/>
      </c>
      <c r="E396" t="str">
        <f>IF(D396="","",IFERROR(VLOOKUP(D396,CDP!A:C,3,0),""))</f>
        <v/>
      </c>
      <c r="F396" t="str">
        <f>IF(D396="","",IFERROR(VLOOKUP(D396,CDP!A:D,4,0),""))</f>
        <v/>
      </c>
      <c r="H396" t="str">
        <f>IF(G396="","",IFERROR(VLOOKUP(G396,TERCEROS!A:C,3,0),""))</f>
        <v/>
      </c>
      <c r="I396" s="35"/>
      <c r="L396" s="35" t="str">
        <f>IF(A396="","",SUMIF(OBLIGACION!C:C,A396,OBLIGACION!H:H))</f>
        <v/>
      </c>
      <c r="M396" s="35" t="str">
        <f t="shared" si="13"/>
        <v/>
      </c>
    </row>
    <row r="397" spans="2:13" x14ac:dyDescent="0.3">
      <c r="B397" s="36"/>
      <c r="C397" t="str">
        <f t="shared" si="12"/>
        <v/>
      </c>
      <c r="E397" t="str">
        <f>IF(D397="","",IFERROR(VLOOKUP(D397,CDP!A:C,3,0),""))</f>
        <v/>
      </c>
      <c r="F397" t="str">
        <f>IF(D397="","",IFERROR(VLOOKUP(D397,CDP!A:D,4,0),""))</f>
        <v/>
      </c>
      <c r="H397" t="str">
        <f>IF(G397="","",IFERROR(VLOOKUP(G397,TERCEROS!A:C,3,0),""))</f>
        <v/>
      </c>
      <c r="I397" s="35"/>
      <c r="L397" s="35" t="str">
        <f>IF(A397="","",SUMIF(OBLIGACION!C:C,A397,OBLIGACION!H:H))</f>
        <v/>
      </c>
      <c r="M397" s="35" t="str">
        <f t="shared" si="13"/>
        <v/>
      </c>
    </row>
    <row r="398" spans="2:13" x14ac:dyDescent="0.3">
      <c r="B398" s="36"/>
      <c r="C398" t="str">
        <f t="shared" si="12"/>
        <v/>
      </c>
      <c r="E398" t="str">
        <f>IF(D398="","",IFERROR(VLOOKUP(D398,CDP!A:C,3,0),""))</f>
        <v/>
      </c>
      <c r="F398" t="str">
        <f>IF(D398="","",IFERROR(VLOOKUP(D398,CDP!A:D,4,0),""))</f>
        <v/>
      </c>
      <c r="H398" t="str">
        <f>IF(G398="","",IFERROR(VLOOKUP(G398,TERCEROS!A:C,3,0),""))</f>
        <v/>
      </c>
      <c r="I398" s="35"/>
      <c r="L398" s="35" t="str">
        <f>IF(A398="","",SUMIF(OBLIGACION!C:C,A398,OBLIGACION!H:H))</f>
        <v/>
      </c>
      <c r="M398" s="35" t="str">
        <f t="shared" si="13"/>
        <v/>
      </c>
    </row>
    <row r="399" spans="2:13" x14ac:dyDescent="0.3">
      <c r="B399" s="36"/>
      <c r="C399" t="str">
        <f t="shared" si="12"/>
        <v/>
      </c>
      <c r="E399" t="str">
        <f>IF(D399="","",IFERROR(VLOOKUP(D399,CDP!A:C,3,0),""))</f>
        <v/>
      </c>
      <c r="F399" t="str">
        <f>IF(D399="","",IFERROR(VLOOKUP(D399,CDP!A:D,4,0),""))</f>
        <v/>
      </c>
      <c r="H399" t="str">
        <f>IF(G399="","",IFERROR(VLOOKUP(G399,TERCEROS!A:C,3,0),""))</f>
        <v/>
      </c>
      <c r="I399" s="35"/>
      <c r="L399" s="35" t="str">
        <f>IF(A399="","",SUMIF(OBLIGACION!C:C,A399,OBLIGACION!H:H))</f>
        <v/>
      </c>
      <c r="M399" s="35" t="str">
        <f t="shared" si="13"/>
        <v/>
      </c>
    </row>
    <row r="400" spans="2:13" x14ac:dyDescent="0.3">
      <c r="B400" s="36"/>
      <c r="C400" t="str">
        <f t="shared" si="12"/>
        <v/>
      </c>
      <c r="E400" t="str">
        <f>IF(D400="","",IFERROR(VLOOKUP(D400,CDP!A:C,3,0),""))</f>
        <v/>
      </c>
      <c r="F400" t="str">
        <f>IF(D400="","",IFERROR(VLOOKUP(D400,CDP!A:D,4,0),""))</f>
        <v/>
      </c>
      <c r="H400" t="str">
        <f>IF(G400="","",IFERROR(VLOOKUP(G400,TERCEROS!A:C,3,0),""))</f>
        <v/>
      </c>
      <c r="I400" s="35"/>
      <c r="L400" s="35" t="str">
        <f>IF(A400="","",SUMIF(OBLIGACION!C:C,A400,OBLIGACION!H:H))</f>
        <v/>
      </c>
      <c r="M400" s="35" t="str">
        <f t="shared" si="13"/>
        <v/>
      </c>
    </row>
    <row r="401" spans="2:13" x14ac:dyDescent="0.3">
      <c r="B401" s="36"/>
      <c r="C401" t="str">
        <f t="shared" si="12"/>
        <v/>
      </c>
      <c r="E401" t="str">
        <f>IF(D401="","",IFERROR(VLOOKUP(D401,CDP!A:C,3,0),""))</f>
        <v/>
      </c>
      <c r="F401" t="str">
        <f>IF(D401="","",IFERROR(VLOOKUP(D401,CDP!A:D,4,0),""))</f>
        <v/>
      </c>
      <c r="H401" t="str">
        <f>IF(G401="","",IFERROR(VLOOKUP(G401,TERCEROS!A:C,3,0),""))</f>
        <v/>
      </c>
      <c r="I401" s="35"/>
      <c r="L401" s="35" t="str">
        <f>IF(A401="","",SUMIF(OBLIGACION!C:C,A401,OBLIGACION!H:H))</f>
        <v/>
      </c>
      <c r="M401" s="35" t="str">
        <f t="shared" si="13"/>
        <v/>
      </c>
    </row>
    <row r="402" spans="2:13" x14ac:dyDescent="0.3">
      <c r="B402" s="36"/>
      <c r="C402" t="str">
        <f t="shared" si="12"/>
        <v/>
      </c>
      <c r="E402" t="str">
        <f>IF(D402="","",IFERROR(VLOOKUP(D402,CDP!A:C,3,0),""))</f>
        <v/>
      </c>
      <c r="F402" t="str">
        <f>IF(D402="","",IFERROR(VLOOKUP(D402,CDP!A:D,4,0),""))</f>
        <v/>
      </c>
      <c r="H402" t="str">
        <f>IF(G402="","",IFERROR(VLOOKUP(G402,TERCEROS!A:C,3,0),""))</f>
        <v/>
      </c>
      <c r="I402" s="35"/>
      <c r="L402" s="35" t="str">
        <f>IF(A402="","",SUMIF(OBLIGACION!C:C,A402,OBLIGACION!H:H))</f>
        <v/>
      </c>
      <c r="M402" s="35" t="str">
        <f t="shared" si="13"/>
        <v/>
      </c>
    </row>
    <row r="403" spans="2:13" x14ac:dyDescent="0.3">
      <c r="B403" s="36"/>
      <c r="C403" t="str">
        <f t="shared" si="12"/>
        <v/>
      </c>
      <c r="E403" t="str">
        <f>IF(D403="","",IFERROR(VLOOKUP(D403,CDP!A:C,3,0),""))</f>
        <v/>
      </c>
      <c r="F403" t="str">
        <f>IF(D403="","",IFERROR(VLOOKUP(D403,CDP!A:D,4,0),""))</f>
        <v/>
      </c>
      <c r="H403" t="str">
        <f>IF(G403="","",IFERROR(VLOOKUP(G403,TERCEROS!A:C,3,0),""))</f>
        <v/>
      </c>
      <c r="I403" s="35"/>
      <c r="L403" s="35" t="str">
        <f>IF(A403="","",SUMIF(OBLIGACION!C:C,A403,OBLIGACION!H:H))</f>
        <v/>
      </c>
      <c r="M403" s="35" t="str">
        <f t="shared" si="13"/>
        <v/>
      </c>
    </row>
    <row r="404" spans="2:13" x14ac:dyDescent="0.3">
      <c r="B404" s="36"/>
      <c r="C404" t="str">
        <f t="shared" si="12"/>
        <v/>
      </c>
      <c r="E404" t="str">
        <f>IF(D404="","",IFERROR(VLOOKUP(D404,CDP!A:C,3,0),""))</f>
        <v/>
      </c>
      <c r="F404" t="str">
        <f>IF(D404="","",IFERROR(VLOOKUP(D404,CDP!A:D,4,0),""))</f>
        <v/>
      </c>
      <c r="H404" t="str">
        <f>IF(G404="","",IFERROR(VLOOKUP(G404,TERCEROS!A:C,3,0),""))</f>
        <v/>
      </c>
      <c r="I404" s="35"/>
      <c r="L404" s="35" t="str">
        <f>IF(A404="","",SUMIF(OBLIGACION!C:C,A404,OBLIGACION!H:H))</f>
        <v/>
      </c>
      <c r="M404" s="35" t="str">
        <f t="shared" si="13"/>
        <v/>
      </c>
    </row>
    <row r="405" spans="2:13" x14ac:dyDescent="0.3">
      <c r="B405" s="36"/>
      <c r="C405" t="str">
        <f t="shared" si="12"/>
        <v/>
      </c>
      <c r="E405" t="str">
        <f>IF(D405="","",IFERROR(VLOOKUP(D405,CDP!A:C,3,0),""))</f>
        <v/>
      </c>
      <c r="F405" t="str">
        <f>IF(D405="","",IFERROR(VLOOKUP(D405,CDP!A:D,4,0),""))</f>
        <v/>
      </c>
      <c r="H405" t="str">
        <f>IF(G405="","",IFERROR(VLOOKUP(G405,TERCEROS!A:C,3,0),""))</f>
        <v/>
      </c>
      <c r="I405" s="35"/>
      <c r="L405" s="35" t="str">
        <f>IF(A405="","",SUMIF(OBLIGACION!C:C,A405,OBLIGACION!H:H))</f>
        <v/>
      </c>
      <c r="M405" s="35" t="str">
        <f t="shared" si="13"/>
        <v/>
      </c>
    </row>
    <row r="406" spans="2:13" x14ac:dyDescent="0.3">
      <c r="B406" s="36"/>
      <c r="C406" t="str">
        <f t="shared" si="12"/>
        <v/>
      </c>
      <c r="E406" t="str">
        <f>IF(D406="","",IFERROR(VLOOKUP(D406,CDP!A:C,3,0),""))</f>
        <v/>
      </c>
      <c r="F406" t="str">
        <f>IF(D406="","",IFERROR(VLOOKUP(D406,CDP!A:D,4,0),""))</f>
        <v/>
      </c>
      <c r="H406" t="str">
        <f>IF(G406="","",IFERROR(VLOOKUP(G406,TERCEROS!A:C,3,0),""))</f>
        <v/>
      </c>
      <c r="I406" s="35"/>
      <c r="L406" s="35" t="str">
        <f>IF(A406="","",SUMIF(OBLIGACION!C:C,A406,OBLIGACION!H:H))</f>
        <v/>
      </c>
      <c r="M406" s="35" t="str">
        <f t="shared" si="13"/>
        <v/>
      </c>
    </row>
    <row r="407" spans="2:13" x14ac:dyDescent="0.3">
      <c r="B407" s="36"/>
      <c r="C407" t="str">
        <f t="shared" si="12"/>
        <v/>
      </c>
      <c r="E407" t="str">
        <f>IF(D407="","",IFERROR(VLOOKUP(D407,CDP!A:C,3,0),""))</f>
        <v/>
      </c>
      <c r="F407" t="str">
        <f>IF(D407="","",IFERROR(VLOOKUP(D407,CDP!A:D,4,0),""))</f>
        <v/>
      </c>
      <c r="H407" t="str">
        <f>IF(G407="","",IFERROR(VLOOKUP(G407,TERCEROS!A:C,3,0),""))</f>
        <v/>
      </c>
      <c r="I407" s="35"/>
      <c r="L407" s="35" t="str">
        <f>IF(A407="","",SUMIF(OBLIGACION!C:C,A407,OBLIGACION!H:H))</f>
        <v/>
      </c>
      <c r="M407" s="35" t="str">
        <f t="shared" si="13"/>
        <v/>
      </c>
    </row>
    <row r="408" spans="2:13" x14ac:dyDescent="0.3">
      <c r="B408" s="36"/>
      <c r="C408" t="str">
        <f t="shared" si="12"/>
        <v/>
      </c>
      <c r="E408" t="str">
        <f>IF(D408="","",IFERROR(VLOOKUP(D408,CDP!A:C,3,0),""))</f>
        <v/>
      </c>
      <c r="F408" t="str">
        <f>IF(D408="","",IFERROR(VLOOKUP(D408,CDP!A:D,4,0),""))</f>
        <v/>
      </c>
      <c r="H408" t="str">
        <f>IF(G408="","",IFERROR(VLOOKUP(G408,TERCEROS!A:C,3,0),""))</f>
        <v/>
      </c>
      <c r="I408" s="35"/>
      <c r="L408" s="35" t="str">
        <f>IF(A408="","",SUMIF(OBLIGACION!C:C,A408,OBLIGACION!H:H))</f>
        <v/>
      </c>
      <c r="M408" s="35" t="str">
        <f t="shared" si="13"/>
        <v/>
      </c>
    </row>
    <row r="409" spans="2:13" x14ac:dyDescent="0.3">
      <c r="B409" s="36"/>
      <c r="C409" t="str">
        <f t="shared" si="12"/>
        <v/>
      </c>
      <c r="E409" t="str">
        <f>IF(D409="","",IFERROR(VLOOKUP(D409,CDP!A:C,3,0),""))</f>
        <v/>
      </c>
      <c r="F409" t="str">
        <f>IF(D409="","",IFERROR(VLOOKUP(D409,CDP!A:D,4,0),""))</f>
        <v/>
      </c>
      <c r="H409" t="str">
        <f>IF(G409="","",IFERROR(VLOOKUP(G409,TERCEROS!A:C,3,0),""))</f>
        <v/>
      </c>
      <c r="I409" s="35"/>
      <c r="L409" s="35" t="str">
        <f>IF(A409="","",SUMIF(OBLIGACION!C:C,A409,OBLIGACION!H:H))</f>
        <v/>
      </c>
      <c r="M409" s="35" t="str">
        <f t="shared" si="13"/>
        <v/>
      </c>
    </row>
    <row r="410" spans="2:13" x14ac:dyDescent="0.3">
      <c r="B410" s="36"/>
      <c r="C410" t="str">
        <f t="shared" si="12"/>
        <v/>
      </c>
      <c r="E410" t="str">
        <f>IF(D410="","",IFERROR(VLOOKUP(D410,CDP!A:C,3,0),""))</f>
        <v/>
      </c>
      <c r="F410" t="str">
        <f>IF(D410="","",IFERROR(VLOOKUP(D410,CDP!A:D,4,0),""))</f>
        <v/>
      </c>
      <c r="H410" t="str">
        <f>IF(G410="","",IFERROR(VLOOKUP(G410,TERCEROS!A:C,3,0),""))</f>
        <v/>
      </c>
      <c r="I410" s="35"/>
      <c r="L410" s="35" t="str">
        <f>IF(A410="","",SUMIF(OBLIGACION!C:C,A410,OBLIGACION!H:H))</f>
        <v/>
      </c>
      <c r="M410" s="35" t="str">
        <f t="shared" si="13"/>
        <v/>
      </c>
    </row>
    <row r="411" spans="2:13" x14ac:dyDescent="0.3">
      <c r="B411" s="36"/>
      <c r="C411" t="str">
        <f t="shared" si="12"/>
        <v/>
      </c>
      <c r="E411" t="str">
        <f>IF(D411="","",IFERROR(VLOOKUP(D411,CDP!A:C,3,0),""))</f>
        <v/>
      </c>
      <c r="F411" t="str">
        <f>IF(D411="","",IFERROR(VLOOKUP(D411,CDP!A:D,4,0),""))</f>
        <v/>
      </c>
      <c r="H411" t="str">
        <f>IF(G411="","",IFERROR(VLOOKUP(G411,TERCEROS!A:C,3,0),""))</f>
        <v/>
      </c>
      <c r="I411" s="35"/>
      <c r="L411" s="35" t="str">
        <f>IF(A411="","",SUMIF(OBLIGACION!C:C,A411,OBLIGACION!H:H))</f>
        <v/>
      </c>
      <c r="M411" s="35" t="str">
        <f t="shared" si="13"/>
        <v/>
      </c>
    </row>
    <row r="412" spans="2:13" x14ac:dyDescent="0.3">
      <c r="B412" s="36"/>
      <c r="C412" t="str">
        <f t="shared" si="12"/>
        <v/>
      </c>
      <c r="E412" t="str">
        <f>IF(D412="","",IFERROR(VLOOKUP(D412,CDP!A:C,3,0),""))</f>
        <v/>
      </c>
      <c r="F412" t="str">
        <f>IF(D412="","",IFERROR(VLOOKUP(D412,CDP!A:D,4,0),""))</f>
        <v/>
      </c>
      <c r="H412" t="str">
        <f>IF(G412="","",IFERROR(VLOOKUP(G412,TERCEROS!A:C,3,0),""))</f>
        <v/>
      </c>
      <c r="I412" s="35"/>
      <c r="L412" s="35" t="str">
        <f>IF(A412="","",SUMIF(OBLIGACION!C:C,A412,OBLIGACION!H:H))</f>
        <v/>
      </c>
      <c r="M412" s="35" t="str">
        <f t="shared" si="13"/>
        <v/>
      </c>
    </row>
    <row r="413" spans="2:13" x14ac:dyDescent="0.3">
      <c r="B413" s="36"/>
      <c r="C413" t="str">
        <f t="shared" si="12"/>
        <v/>
      </c>
      <c r="E413" t="str">
        <f>IF(D413="","",IFERROR(VLOOKUP(D413,CDP!A:C,3,0),""))</f>
        <v/>
      </c>
      <c r="F413" t="str">
        <f>IF(D413="","",IFERROR(VLOOKUP(D413,CDP!A:D,4,0),""))</f>
        <v/>
      </c>
      <c r="H413" t="str">
        <f>IF(G413="","",IFERROR(VLOOKUP(G413,TERCEROS!A:C,3,0),""))</f>
        <v/>
      </c>
      <c r="I413" s="35"/>
      <c r="L413" s="35" t="str">
        <f>IF(A413="","",SUMIF(OBLIGACION!C:C,A413,OBLIGACION!H:H))</f>
        <v/>
      </c>
      <c r="M413" s="35" t="str">
        <f t="shared" si="13"/>
        <v/>
      </c>
    </row>
    <row r="414" spans="2:13" x14ac:dyDescent="0.3">
      <c r="B414" s="36"/>
      <c r="C414" t="str">
        <f t="shared" si="12"/>
        <v/>
      </c>
      <c r="E414" t="str">
        <f>IF(D414="","",IFERROR(VLOOKUP(D414,CDP!A:C,3,0),""))</f>
        <v/>
      </c>
      <c r="F414" t="str">
        <f>IF(D414="","",IFERROR(VLOOKUP(D414,CDP!A:D,4,0),""))</f>
        <v/>
      </c>
      <c r="H414" t="str">
        <f>IF(G414="","",IFERROR(VLOOKUP(G414,TERCEROS!A:C,3,0),""))</f>
        <v/>
      </c>
      <c r="I414" s="35"/>
      <c r="L414" s="35" t="str">
        <f>IF(A414="","",SUMIF(OBLIGACION!C:C,A414,OBLIGACION!H:H))</f>
        <v/>
      </c>
      <c r="M414" s="35" t="str">
        <f t="shared" si="13"/>
        <v/>
      </c>
    </row>
    <row r="415" spans="2:13" x14ac:dyDescent="0.3">
      <c r="B415" s="36"/>
      <c r="C415" t="str">
        <f t="shared" si="12"/>
        <v/>
      </c>
      <c r="E415" t="str">
        <f>IF(D415="","",IFERROR(VLOOKUP(D415,CDP!A:C,3,0),""))</f>
        <v/>
      </c>
      <c r="F415" t="str">
        <f>IF(D415="","",IFERROR(VLOOKUP(D415,CDP!A:D,4,0),""))</f>
        <v/>
      </c>
      <c r="H415" t="str">
        <f>IF(G415="","",IFERROR(VLOOKUP(G415,TERCEROS!A:C,3,0),""))</f>
        <v/>
      </c>
      <c r="I415" s="35"/>
      <c r="L415" s="35" t="str">
        <f>IF(A415="","",SUMIF(OBLIGACION!C:C,A415,OBLIGACION!H:H))</f>
        <v/>
      </c>
      <c r="M415" s="35" t="str">
        <f t="shared" si="13"/>
        <v/>
      </c>
    </row>
    <row r="416" spans="2:13" x14ac:dyDescent="0.3">
      <c r="B416" s="36"/>
      <c r="C416" t="str">
        <f t="shared" si="12"/>
        <v/>
      </c>
      <c r="E416" t="str">
        <f>IF(D416="","",IFERROR(VLOOKUP(D416,CDP!A:C,3,0),""))</f>
        <v/>
      </c>
      <c r="F416" t="str">
        <f>IF(D416="","",IFERROR(VLOOKUP(D416,CDP!A:D,4,0),""))</f>
        <v/>
      </c>
      <c r="H416" t="str">
        <f>IF(G416="","",IFERROR(VLOOKUP(G416,TERCEROS!A:C,3,0),""))</f>
        <v/>
      </c>
      <c r="I416" s="35"/>
      <c r="L416" s="35" t="str">
        <f>IF(A416="","",SUMIF(OBLIGACION!C:C,A416,OBLIGACION!H:H))</f>
        <v/>
      </c>
      <c r="M416" s="35" t="str">
        <f t="shared" si="13"/>
        <v/>
      </c>
    </row>
    <row r="417" spans="2:13" x14ac:dyDescent="0.3">
      <c r="B417" s="36"/>
      <c r="C417" t="str">
        <f t="shared" si="12"/>
        <v/>
      </c>
      <c r="E417" t="str">
        <f>IF(D417="","",IFERROR(VLOOKUP(D417,CDP!A:C,3,0),""))</f>
        <v/>
      </c>
      <c r="F417" t="str">
        <f>IF(D417="","",IFERROR(VLOOKUP(D417,CDP!A:D,4,0),""))</f>
        <v/>
      </c>
      <c r="H417" t="str">
        <f>IF(G417="","",IFERROR(VLOOKUP(G417,TERCEROS!A:C,3,0),""))</f>
        <v/>
      </c>
      <c r="I417" s="35"/>
      <c r="L417" s="35" t="str">
        <f>IF(A417="","",SUMIF(OBLIGACION!C:C,A417,OBLIGACION!H:H))</f>
        <v/>
      </c>
      <c r="M417" s="35" t="str">
        <f t="shared" si="13"/>
        <v/>
      </c>
    </row>
    <row r="418" spans="2:13" x14ac:dyDescent="0.3">
      <c r="B418" s="36"/>
      <c r="C418" t="str">
        <f t="shared" si="12"/>
        <v/>
      </c>
      <c r="E418" t="str">
        <f>IF(D418="","",IFERROR(VLOOKUP(D418,CDP!A:C,3,0),""))</f>
        <v/>
      </c>
      <c r="F418" t="str">
        <f>IF(D418="","",IFERROR(VLOOKUP(D418,CDP!A:D,4,0),""))</f>
        <v/>
      </c>
      <c r="H418" t="str">
        <f>IF(G418="","",IFERROR(VLOOKUP(G418,TERCEROS!A:C,3,0),""))</f>
        <v/>
      </c>
      <c r="I418" s="35"/>
      <c r="L418" s="35" t="str">
        <f>IF(A418="","",SUMIF(OBLIGACION!C:C,A418,OBLIGACION!H:H))</f>
        <v/>
      </c>
      <c r="M418" s="35" t="str">
        <f t="shared" si="13"/>
        <v/>
      </c>
    </row>
    <row r="419" spans="2:13" x14ac:dyDescent="0.3">
      <c r="B419" s="36"/>
      <c r="C419" t="str">
        <f t="shared" si="12"/>
        <v/>
      </c>
      <c r="E419" t="str">
        <f>IF(D419="","",IFERROR(VLOOKUP(D419,CDP!A:C,3,0),""))</f>
        <v/>
      </c>
      <c r="F419" t="str">
        <f>IF(D419="","",IFERROR(VLOOKUP(D419,CDP!A:D,4,0),""))</f>
        <v/>
      </c>
      <c r="H419" t="str">
        <f>IF(G419="","",IFERROR(VLOOKUP(G419,TERCEROS!A:C,3,0),""))</f>
        <v/>
      </c>
      <c r="I419" s="35"/>
      <c r="L419" s="35" t="str">
        <f>IF(A419="","",SUMIF(OBLIGACION!C:C,A419,OBLIGACION!H:H))</f>
        <v/>
      </c>
      <c r="M419" s="35" t="str">
        <f t="shared" si="13"/>
        <v/>
      </c>
    </row>
    <row r="420" spans="2:13" x14ac:dyDescent="0.3">
      <c r="B420" s="36"/>
      <c r="C420" t="str">
        <f t="shared" si="12"/>
        <v/>
      </c>
      <c r="E420" t="str">
        <f>IF(D420="","",IFERROR(VLOOKUP(D420,CDP!A:C,3,0),""))</f>
        <v/>
      </c>
      <c r="F420" t="str">
        <f>IF(D420="","",IFERROR(VLOOKUP(D420,CDP!A:D,4,0),""))</f>
        <v/>
      </c>
      <c r="H420" t="str">
        <f>IF(G420="","",IFERROR(VLOOKUP(G420,TERCEROS!A:C,3,0),""))</f>
        <v/>
      </c>
      <c r="I420" s="35"/>
      <c r="L420" s="35" t="str">
        <f>IF(A420="","",SUMIF(OBLIGACION!C:C,A420,OBLIGACION!H:H))</f>
        <v/>
      </c>
      <c r="M420" s="35" t="str">
        <f t="shared" si="13"/>
        <v/>
      </c>
    </row>
    <row r="421" spans="2:13" x14ac:dyDescent="0.3">
      <c r="B421" s="36"/>
      <c r="C421" t="str">
        <f t="shared" si="12"/>
        <v/>
      </c>
      <c r="E421" t="str">
        <f>IF(D421="","",IFERROR(VLOOKUP(D421,CDP!A:C,3,0),""))</f>
        <v/>
      </c>
      <c r="F421" t="str">
        <f>IF(D421="","",IFERROR(VLOOKUP(D421,CDP!A:D,4,0),""))</f>
        <v/>
      </c>
      <c r="H421" t="str">
        <f>IF(G421="","",IFERROR(VLOOKUP(G421,TERCEROS!A:C,3,0),""))</f>
        <v/>
      </c>
      <c r="I421" s="35"/>
      <c r="L421" s="35" t="str">
        <f>IF(A421="","",SUMIF(OBLIGACION!C:C,A421,OBLIGACION!H:H))</f>
        <v/>
      </c>
      <c r="M421" s="35" t="str">
        <f t="shared" si="13"/>
        <v/>
      </c>
    </row>
    <row r="422" spans="2:13" x14ac:dyDescent="0.3">
      <c r="B422" s="36"/>
      <c r="C422" t="str">
        <f t="shared" si="12"/>
        <v/>
      </c>
      <c r="E422" t="str">
        <f>IF(D422="","",IFERROR(VLOOKUP(D422,CDP!A:C,3,0),""))</f>
        <v/>
      </c>
      <c r="F422" t="str">
        <f>IF(D422="","",IFERROR(VLOOKUP(D422,CDP!A:D,4,0),""))</f>
        <v/>
      </c>
      <c r="H422" t="str">
        <f>IF(G422="","",IFERROR(VLOOKUP(G422,TERCEROS!A:C,3,0),""))</f>
        <v/>
      </c>
      <c r="I422" s="35"/>
      <c r="L422" s="35" t="str">
        <f>IF(A422="","",SUMIF(OBLIGACION!C:C,A422,OBLIGACION!H:H))</f>
        <v/>
      </c>
      <c r="M422" s="35" t="str">
        <f t="shared" si="13"/>
        <v/>
      </c>
    </row>
    <row r="423" spans="2:13" x14ac:dyDescent="0.3">
      <c r="B423" s="36"/>
      <c r="C423" t="str">
        <f t="shared" si="12"/>
        <v/>
      </c>
      <c r="E423" t="str">
        <f>IF(D423="","",IFERROR(VLOOKUP(D423,CDP!A:C,3,0),""))</f>
        <v/>
      </c>
      <c r="F423" t="str">
        <f>IF(D423="","",IFERROR(VLOOKUP(D423,CDP!A:D,4,0),""))</f>
        <v/>
      </c>
      <c r="H423" t="str">
        <f>IF(G423="","",IFERROR(VLOOKUP(G423,TERCEROS!A:C,3,0),""))</f>
        <v/>
      </c>
      <c r="I423" s="35"/>
      <c r="L423" s="35" t="str">
        <f>IF(A423="","",SUMIF(OBLIGACION!C:C,A423,OBLIGACION!H:H))</f>
        <v/>
      </c>
      <c r="M423" s="35" t="str">
        <f t="shared" si="13"/>
        <v/>
      </c>
    </row>
    <row r="424" spans="2:13" x14ac:dyDescent="0.3">
      <c r="B424" s="36"/>
      <c r="C424" t="str">
        <f t="shared" si="12"/>
        <v/>
      </c>
      <c r="E424" t="str">
        <f>IF(D424="","",IFERROR(VLOOKUP(D424,CDP!A:C,3,0),""))</f>
        <v/>
      </c>
      <c r="F424" t="str">
        <f>IF(D424="","",IFERROR(VLOOKUP(D424,CDP!A:D,4,0),""))</f>
        <v/>
      </c>
      <c r="H424" t="str">
        <f>IF(G424="","",IFERROR(VLOOKUP(G424,TERCEROS!A:C,3,0),""))</f>
        <v/>
      </c>
      <c r="I424" s="35"/>
      <c r="L424" s="35" t="str">
        <f>IF(A424="","",SUMIF(OBLIGACION!C:C,A424,OBLIGACION!H:H))</f>
        <v/>
      </c>
      <c r="M424" s="35" t="str">
        <f t="shared" si="13"/>
        <v/>
      </c>
    </row>
    <row r="425" spans="2:13" x14ac:dyDescent="0.3">
      <c r="B425" s="36"/>
      <c r="C425" t="str">
        <f t="shared" si="12"/>
        <v/>
      </c>
      <c r="E425" t="str">
        <f>IF(D425="","",IFERROR(VLOOKUP(D425,CDP!A:C,3,0),""))</f>
        <v/>
      </c>
      <c r="F425" t="str">
        <f>IF(D425="","",IFERROR(VLOOKUP(D425,CDP!A:D,4,0),""))</f>
        <v/>
      </c>
      <c r="H425" t="str">
        <f>IF(G425="","",IFERROR(VLOOKUP(G425,TERCEROS!A:C,3,0),""))</f>
        <v/>
      </c>
      <c r="I425" s="35"/>
      <c r="L425" s="35" t="str">
        <f>IF(A425="","",SUMIF(OBLIGACION!C:C,A425,OBLIGACION!H:H))</f>
        <v/>
      </c>
      <c r="M425" s="35" t="str">
        <f t="shared" si="13"/>
        <v/>
      </c>
    </row>
    <row r="426" spans="2:13" x14ac:dyDescent="0.3">
      <c r="B426" s="36"/>
      <c r="C426" t="str">
        <f t="shared" si="12"/>
        <v/>
      </c>
      <c r="E426" t="str">
        <f>IF(D426="","",IFERROR(VLOOKUP(D426,CDP!A:C,3,0),""))</f>
        <v/>
      </c>
      <c r="F426" t="str">
        <f>IF(D426="","",IFERROR(VLOOKUP(D426,CDP!A:D,4,0),""))</f>
        <v/>
      </c>
      <c r="H426" t="str">
        <f>IF(G426="","",IFERROR(VLOOKUP(G426,TERCEROS!A:C,3,0),""))</f>
        <v/>
      </c>
      <c r="I426" s="35"/>
      <c r="L426" s="35" t="str">
        <f>IF(A426="","",SUMIF(OBLIGACION!C:C,A426,OBLIGACION!H:H))</f>
        <v/>
      </c>
      <c r="M426" s="35" t="str">
        <f t="shared" si="13"/>
        <v/>
      </c>
    </row>
    <row r="427" spans="2:13" x14ac:dyDescent="0.3">
      <c r="B427" s="36"/>
      <c r="C427" t="str">
        <f t="shared" si="12"/>
        <v/>
      </c>
      <c r="E427" t="str">
        <f>IF(D427="","",IFERROR(VLOOKUP(D427,CDP!A:C,3,0),""))</f>
        <v/>
      </c>
      <c r="F427" t="str">
        <f>IF(D427="","",IFERROR(VLOOKUP(D427,CDP!A:D,4,0),""))</f>
        <v/>
      </c>
      <c r="H427" t="str">
        <f>IF(G427="","",IFERROR(VLOOKUP(G427,TERCEROS!A:C,3,0),""))</f>
        <v/>
      </c>
      <c r="I427" s="35"/>
      <c r="L427" s="35" t="str">
        <f>IF(A427="","",SUMIF(OBLIGACION!C:C,A427,OBLIGACION!H:H))</f>
        <v/>
      </c>
      <c r="M427" s="35" t="str">
        <f t="shared" si="13"/>
        <v/>
      </c>
    </row>
    <row r="428" spans="2:13" x14ac:dyDescent="0.3">
      <c r="B428" s="36"/>
      <c r="C428" t="str">
        <f t="shared" si="12"/>
        <v/>
      </c>
      <c r="E428" t="str">
        <f>IF(D428="","",IFERROR(VLOOKUP(D428,CDP!A:C,3,0),""))</f>
        <v/>
      </c>
      <c r="F428" t="str">
        <f>IF(D428="","",IFERROR(VLOOKUP(D428,CDP!A:D,4,0),""))</f>
        <v/>
      </c>
      <c r="H428" t="str">
        <f>IF(G428="","",IFERROR(VLOOKUP(G428,TERCEROS!A:C,3,0),""))</f>
        <v/>
      </c>
      <c r="I428" s="35"/>
      <c r="L428" s="35" t="str">
        <f>IF(A428="","",SUMIF(OBLIGACION!C:C,A428,OBLIGACION!H:H))</f>
        <v/>
      </c>
      <c r="M428" s="35" t="str">
        <f t="shared" si="13"/>
        <v/>
      </c>
    </row>
    <row r="429" spans="2:13" x14ac:dyDescent="0.3">
      <c r="B429" s="36"/>
      <c r="C429" t="str">
        <f t="shared" si="12"/>
        <v/>
      </c>
      <c r="E429" t="str">
        <f>IF(D429="","",IFERROR(VLOOKUP(D429,CDP!A:C,3,0),""))</f>
        <v/>
      </c>
      <c r="F429" t="str">
        <f>IF(D429="","",IFERROR(VLOOKUP(D429,CDP!A:D,4,0),""))</f>
        <v/>
      </c>
      <c r="H429" t="str">
        <f>IF(G429="","",IFERROR(VLOOKUP(G429,TERCEROS!A:C,3,0),""))</f>
        <v/>
      </c>
      <c r="I429" s="35"/>
      <c r="L429" s="35" t="str">
        <f>IF(A429="","",SUMIF(OBLIGACION!C:C,A429,OBLIGACION!H:H))</f>
        <v/>
      </c>
      <c r="M429" s="35" t="str">
        <f t="shared" si="13"/>
        <v/>
      </c>
    </row>
    <row r="430" spans="2:13" x14ac:dyDescent="0.3">
      <c r="B430" s="36"/>
      <c r="C430" t="str">
        <f t="shared" si="12"/>
        <v/>
      </c>
      <c r="E430" t="str">
        <f>IF(D430="","",IFERROR(VLOOKUP(D430,CDP!A:C,3,0),""))</f>
        <v/>
      </c>
      <c r="F430" t="str">
        <f>IF(D430="","",IFERROR(VLOOKUP(D430,CDP!A:D,4,0),""))</f>
        <v/>
      </c>
      <c r="H430" t="str">
        <f>IF(G430="","",IFERROR(VLOOKUP(G430,TERCEROS!A:C,3,0),""))</f>
        <v/>
      </c>
      <c r="I430" s="35"/>
      <c r="L430" s="35" t="str">
        <f>IF(A430="","",SUMIF(OBLIGACION!C:C,A430,OBLIGACION!H:H))</f>
        <v/>
      </c>
      <c r="M430" s="35" t="str">
        <f t="shared" si="13"/>
        <v/>
      </c>
    </row>
    <row r="431" spans="2:13" x14ac:dyDescent="0.3">
      <c r="B431" s="36"/>
      <c r="C431" t="str">
        <f t="shared" si="12"/>
        <v/>
      </c>
      <c r="E431" t="str">
        <f>IF(D431="","",IFERROR(VLOOKUP(D431,CDP!A:C,3,0),""))</f>
        <v/>
      </c>
      <c r="F431" t="str">
        <f>IF(D431="","",IFERROR(VLOOKUP(D431,CDP!A:D,4,0),""))</f>
        <v/>
      </c>
      <c r="H431" t="str">
        <f>IF(G431="","",IFERROR(VLOOKUP(G431,TERCEROS!A:C,3,0),""))</f>
        <v/>
      </c>
      <c r="I431" s="35"/>
      <c r="L431" s="35" t="str">
        <f>IF(A431="","",SUMIF(OBLIGACION!C:C,A431,OBLIGACION!H:H))</f>
        <v/>
      </c>
      <c r="M431" s="35" t="str">
        <f t="shared" si="13"/>
        <v/>
      </c>
    </row>
    <row r="432" spans="2:13" x14ac:dyDescent="0.3">
      <c r="B432" s="36"/>
      <c r="C432" t="str">
        <f t="shared" si="12"/>
        <v/>
      </c>
      <c r="E432" t="str">
        <f>IF(D432="","",IFERROR(VLOOKUP(D432,CDP!A:C,3,0),""))</f>
        <v/>
      </c>
      <c r="F432" t="str">
        <f>IF(D432="","",IFERROR(VLOOKUP(D432,CDP!A:D,4,0),""))</f>
        <v/>
      </c>
      <c r="H432" t="str">
        <f>IF(G432="","",IFERROR(VLOOKUP(G432,TERCEROS!A:C,3,0),""))</f>
        <v/>
      </c>
      <c r="I432" s="35"/>
      <c r="L432" s="35" t="str">
        <f>IF(A432="","",SUMIF(OBLIGACION!C:C,A432,OBLIGACION!H:H))</f>
        <v/>
      </c>
      <c r="M432" s="35" t="str">
        <f t="shared" si="13"/>
        <v/>
      </c>
    </row>
    <row r="433" spans="2:13" x14ac:dyDescent="0.3">
      <c r="B433" s="36"/>
      <c r="C433" t="str">
        <f t="shared" si="12"/>
        <v/>
      </c>
      <c r="E433" t="str">
        <f>IF(D433="","",IFERROR(VLOOKUP(D433,CDP!A:C,3,0),""))</f>
        <v/>
      </c>
      <c r="F433" t="str">
        <f>IF(D433="","",IFERROR(VLOOKUP(D433,CDP!A:D,4,0),""))</f>
        <v/>
      </c>
      <c r="H433" t="str">
        <f>IF(G433="","",IFERROR(VLOOKUP(G433,TERCEROS!A:C,3,0),""))</f>
        <v/>
      </c>
      <c r="I433" s="35"/>
      <c r="L433" s="35" t="str">
        <f>IF(A433="","",SUMIF(OBLIGACION!C:C,A433,OBLIGACION!H:H))</f>
        <v/>
      </c>
      <c r="M433" s="35" t="str">
        <f t="shared" si="13"/>
        <v/>
      </c>
    </row>
    <row r="434" spans="2:13" x14ac:dyDescent="0.3">
      <c r="B434" s="36"/>
      <c r="C434" t="str">
        <f t="shared" si="12"/>
        <v/>
      </c>
      <c r="E434" t="str">
        <f>IF(D434="","",IFERROR(VLOOKUP(D434,CDP!A:C,3,0),""))</f>
        <v/>
      </c>
      <c r="F434" t="str">
        <f>IF(D434="","",IFERROR(VLOOKUP(D434,CDP!A:D,4,0),""))</f>
        <v/>
      </c>
      <c r="H434" t="str">
        <f>IF(G434="","",IFERROR(VLOOKUP(G434,TERCEROS!A:C,3,0),""))</f>
        <v/>
      </c>
      <c r="I434" s="35"/>
      <c r="L434" s="35" t="str">
        <f>IF(A434="","",SUMIF(OBLIGACION!C:C,A434,OBLIGACION!H:H))</f>
        <v/>
      </c>
      <c r="M434" s="35" t="str">
        <f t="shared" si="13"/>
        <v/>
      </c>
    </row>
    <row r="435" spans="2:13" x14ac:dyDescent="0.3">
      <c r="B435" s="36"/>
      <c r="C435" t="str">
        <f t="shared" si="12"/>
        <v/>
      </c>
      <c r="E435" t="str">
        <f>IF(D435="","",IFERROR(VLOOKUP(D435,CDP!A:C,3,0),""))</f>
        <v/>
      </c>
      <c r="F435" t="str">
        <f>IF(D435="","",IFERROR(VLOOKUP(D435,CDP!A:D,4,0),""))</f>
        <v/>
      </c>
      <c r="H435" t="str">
        <f>IF(G435="","",IFERROR(VLOOKUP(G435,TERCEROS!A:C,3,0),""))</f>
        <v/>
      </c>
      <c r="I435" s="35"/>
      <c r="L435" s="35" t="str">
        <f>IF(A435="","",SUMIF(OBLIGACION!C:C,A435,OBLIGACION!H:H))</f>
        <v/>
      </c>
      <c r="M435" s="35" t="str">
        <f t="shared" si="13"/>
        <v/>
      </c>
    </row>
    <row r="436" spans="2:13" x14ac:dyDescent="0.3">
      <c r="B436" s="36"/>
      <c r="C436" t="str">
        <f t="shared" si="12"/>
        <v/>
      </c>
      <c r="E436" t="str">
        <f>IF(D436="","",IFERROR(VLOOKUP(D436,CDP!A:C,3,0),""))</f>
        <v/>
      </c>
      <c r="F436" t="str">
        <f>IF(D436="","",IFERROR(VLOOKUP(D436,CDP!A:D,4,0),""))</f>
        <v/>
      </c>
      <c r="H436" t="str">
        <f>IF(G436="","",IFERROR(VLOOKUP(G436,TERCEROS!A:C,3,0),""))</f>
        <v/>
      </c>
      <c r="I436" s="35"/>
      <c r="L436" s="35" t="str">
        <f>IF(A436="","",SUMIF(OBLIGACION!C:C,A436,OBLIGACION!H:H))</f>
        <v/>
      </c>
      <c r="M436" s="35" t="str">
        <f t="shared" si="13"/>
        <v/>
      </c>
    </row>
    <row r="437" spans="2:13" x14ac:dyDescent="0.3">
      <c r="B437" s="36"/>
      <c r="C437" t="str">
        <f t="shared" si="12"/>
        <v/>
      </c>
      <c r="E437" t="str">
        <f>IF(D437="","",IFERROR(VLOOKUP(D437,CDP!A:C,3,0),""))</f>
        <v/>
      </c>
      <c r="F437" t="str">
        <f>IF(D437="","",IFERROR(VLOOKUP(D437,CDP!A:D,4,0),""))</f>
        <v/>
      </c>
      <c r="H437" t="str">
        <f>IF(G437="","",IFERROR(VLOOKUP(G437,TERCEROS!A:C,3,0),""))</f>
        <v/>
      </c>
      <c r="I437" s="35"/>
      <c r="L437" s="35" t="str">
        <f>IF(A437="","",SUMIF(OBLIGACION!C:C,A437,OBLIGACION!H:H))</f>
        <v/>
      </c>
      <c r="M437" s="35" t="str">
        <f t="shared" si="13"/>
        <v/>
      </c>
    </row>
    <row r="438" spans="2:13" x14ac:dyDescent="0.3">
      <c r="B438" s="36"/>
      <c r="C438" t="str">
        <f t="shared" si="12"/>
        <v/>
      </c>
      <c r="E438" t="str">
        <f>IF(D438="","",IFERROR(VLOOKUP(D438,CDP!A:C,3,0),""))</f>
        <v/>
      </c>
      <c r="F438" t="str">
        <f>IF(D438="","",IFERROR(VLOOKUP(D438,CDP!A:D,4,0),""))</f>
        <v/>
      </c>
      <c r="H438" t="str">
        <f>IF(G438="","",IFERROR(VLOOKUP(G438,TERCEROS!A:C,3,0),""))</f>
        <v/>
      </c>
      <c r="I438" s="35"/>
      <c r="L438" s="35" t="str">
        <f>IF(A438="","",SUMIF(OBLIGACION!C:C,A438,OBLIGACION!H:H))</f>
        <v/>
      </c>
      <c r="M438" s="35" t="str">
        <f t="shared" si="13"/>
        <v/>
      </c>
    </row>
    <row r="439" spans="2:13" x14ac:dyDescent="0.3">
      <c r="B439" s="36"/>
      <c r="C439" t="str">
        <f t="shared" si="12"/>
        <v/>
      </c>
      <c r="E439" t="str">
        <f>IF(D439="","",IFERROR(VLOOKUP(D439,CDP!A:C,3,0),""))</f>
        <v/>
      </c>
      <c r="F439" t="str">
        <f>IF(D439="","",IFERROR(VLOOKUP(D439,CDP!A:D,4,0),""))</f>
        <v/>
      </c>
      <c r="H439" t="str">
        <f>IF(G439="","",IFERROR(VLOOKUP(G439,TERCEROS!A:C,3,0),""))</f>
        <v/>
      </c>
      <c r="I439" s="35"/>
      <c r="L439" s="35" t="str">
        <f>IF(A439="","",SUMIF(OBLIGACION!C:C,A439,OBLIGACION!H:H))</f>
        <v/>
      </c>
      <c r="M439" s="35" t="str">
        <f t="shared" si="13"/>
        <v/>
      </c>
    </row>
    <row r="440" spans="2:13" x14ac:dyDescent="0.3">
      <c r="B440" s="36"/>
      <c r="C440" t="str">
        <f t="shared" si="12"/>
        <v/>
      </c>
      <c r="E440" t="str">
        <f>IF(D440="","",IFERROR(VLOOKUP(D440,CDP!A:C,3,0),""))</f>
        <v/>
      </c>
      <c r="F440" t="str">
        <f>IF(D440="","",IFERROR(VLOOKUP(D440,CDP!A:D,4,0),""))</f>
        <v/>
      </c>
      <c r="H440" t="str">
        <f>IF(G440="","",IFERROR(VLOOKUP(G440,TERCEROS!A:C,3,0),""))</f>
        <v/>
      </c>
      <c r="I440" s="35"/>
      <c r="L440" s="35" t="str">
        <f>IF(A440="","",SUMIF(OBLIGACION!C:C,A440,OBLIGACION!H:H))</f>
        <v/>
      </c>
      <c r="M440" s="35" t="str">
        <f t="shared" si="13"/>
        <v/>
      </c>
    </row>
    <row r="441" spans="2:13" x14ac:dyDescent="0.3">
      <c r="B441" s="36"/>
      <c r="C441" t="str">
        <f t="shared" si="12"/>
        <v/>
      </c>
      <c r="E441" t="str">
        <f>IF(D441="","",IFERROR(VLOOKUP(D441,CDP!A:C,3,0),""))</f>
        <v/>
      </c>
      <c r="F441" t="str">
        <f>IF(D441="","",IFERROR(VLOOKUP(D441,CDP!A:D,4,0),""))</f>
        <v/>
      </c>
      <c r="H441" t="str">
        <f>IF(G441="","",IFERROR(VLOOKUP(G441,TERCEROS!A:C,3,0),""))</f>
        <v/>
      </c>
      <c r="I441" s="35"/>
      <c r="L441" s="35" t="str">
        <f>IF(A441="","",SUMIF(OBLIGACION!C:C,A441,OBLIGACION!H:H))</f>
        <v/>
      </c>
      <c r="M441" s="35" t="str">
        <f t="shared" si="13"/>
        <v/>
      </c>
    </row>
    <row r="442" spans="2:13" x14ac:dyDescent="0.3">
      <c r="B442" s="36"/>
      <c r="C442" t="str">
        <f t="shared" si="12"/>
        <v/>
      </c>
      <c r="E442" t="str">
        <f>IF(D442="","",IFERROR(VLOOKUP(D442,CDP!A:C,3,0),""))</f>
        <v/>
      </c>
      <c r="F442" t="str">
        <f>IF(D442="","",IFERROR(VLOOKUP(D442,CDP!A:D,4,0),""))</f>
        <v/>
      </c>
      <c r="H442" t="str">
        <f>IF(G442="","",IFERROR(VLOOKUP(G442,TERCEROS!A:C,3,0),""))</f>
        <v/>
      </c>
      <c r="I442" s="35"/>
      <c r="L442" s="35" t="str">
        <f>IF(A442="","",SUMIF(OBLIGACION!C:C,A442,OBLIGACION!H:H))</f>
        <v/>
      </c>
      <c r="M442" s="35" t="str">
        <f t="shared" si="13"/>
        <v/>
      </c>
    </row>
    <row r="443" spans="2:13" x14ac:dyDescent="0.3">
      <c r="B443" s="36"/>
      <c r="C443" t="str">
        <f t="shared" si="12"/>
        <v/>
      </c>
      <c r="E443" t="str">
        <f>IF(D443="","",IFERROR(VLOOKUP(D443,CDP!A:C,3,0),""))</f>
        <v/>
      </c>
      <c r="F443" t="str">
        <f>IF(D443="","",IFERROR(VLOOKUP(D443,CDP!A:D,4,0),""))</f>
        <v/>
      </c>
      <c r="H443" t="str">
        <f>IF(G443="","",IFERROR(VLOOKUP(G443,TERCEROS!A:C,3,0),""))</f>
        <v/>
      </c>
      <c r="I443" s="35"/>
      <c r="L443" s="35" t="str">
        <f>IF(A443="","",SUMIF(OBLIGACION!C:C,A443,OBLIGACION!H:H))</f>
        <v/>
      </c>
      <c r="M443" s="35" t="str">
        <f t="shared" si="13"/>
        <v/>
      </c>
    </row>
    <row r="444" spans="2:13" x14ac:dyDescent="0.3">
      <c r="B444" s="36"/>
      <c r="C444" t="str">
        <f t="shared" si="12"/>
        <v/>
      </c>
      <c r="E444" t="str">
        <f>IF(D444="","",IFERROR(VLOOKUP(D444,CDP!A:C,3,0),""))</f>
        <v/>
      </c>
      <c r="F444" t="str">
        <f>IF(D444="","",IFERROR(VLOOKUP(D444,CDP!A:D,4,0),""))</f>
        <v/>
      </c>
      <c r="H444" t="str">
        <f>IF(G444="","",IFERROR(VLOOKUP(G444,TERCEROS!A:C,3,0),""))</f>
        <v/>
      </c>
      <c r="I444" s="35"/>
      <c r="L444" s="35" t="str">
        <f>IF(A444="","",SUMIF(OBLIGACION!C:C,A444,OBLIGACION!H:H))</f>
        <v/>
      </c>
      <c r="M444" s="35" t="str">
        <f t="shared" si="13"/>
        <v/>
      </c>
    </row>
    <row r="445" spans="2:13" x14ac:dyDescent="0.3">
      <c r="B445" s="36"/>
      <c r="C445" t="str">
        <f t="shared" si="12"/>
        <v/>
      </c>
      <c r="E445" t="str">
        <f>IF(D445="","",IFERROR(VLOOKUP(D445,CDP!A:C,3,0),""))</f>
        <v/>
      </c>
      <c r="F445" t="str">
        <f>IF(D445="","",IFERROR(VLOOKUP(D445,CDP!A:D,4,0),""))</f>
        <v/>
      </c>
      <c r="H445" t="str">
        <f>IF(G445="","",IFERROR(VLOOKUP(G445,TERCEROS!A:C,3,0),""))</f>
        <v/>
      </c>
      <c r="I445" s="35"/>
      <c r="L445" s="35" t="str">
        <f>IF(A445="","",SUMIF(OBLIGACION!C:C,A445,OBLIGACION!H:H))</f>
        <v/>
      </c>
      <c r="M445" s="35" t="str">
        <f t="shared" si="13"/>
        <v/>
      </c>
    </row>
    <row r="446" spans="2:13" x14ac:dyDescent="0.3">
      <c r="B446" s="36"/>
      <c r="C446" t="str">
        <f t="shared" si="12"/>
        <v/>
      </c>
      <c r="E446" t="str">
        <f>IF(D446="","",IFERROR(VLOOKUP(D446,CDP!A:C,3,0),""))</f>
        <v/>
      </c>
      <c r="F446" t="str">
        <f>IF(D446="","",IFERROR(VLOOKUP(D446,CDP!A:D,4,0),""))</f>
        <v/>
      </c>
      <c r="H446" t="str">
        <f>IF(G446="","",IFERROR(VLOOKUP(G446,TERCEROS!A:C,3,0),""))</f>
        <v/>
      </c>
      <c r="I446" s="35"/>
      <c r="L446" s="35" t="str">
        <f>IF(A446="","",SUMIF(OBLIGACION!C:C,A446,OBLIGACION!H:H))</f>
        <v/>
      </c>
      <c r="M446" s="35" t="str">
        <f t="shared" si="13"/>
        <v/>
      </c>
    </row>
    <row r="447" spans="2:13" x14ac:dyDescent="0.3">
      <c r="B447" s="36"/>
      <c r="C447" t="str">
        <f t="shared" si="12"/>
        <v/>
      </c>
      <c r="E447" t="str">
        <f>IF(D447="","",IFERROR(VLOOKUP(D447,CDP!A:C,3,0),""))</f>
        <v/>
      </c>
      <c r="F447" t="str">
        <f>IF(D447="","",IFERROR(VLOOKUP(D447,CDP!A:D,4,0),""))</f>
        <v/>
      </c>
      <c r="H447" t="str">
        <f>IF(G447="","",IFERROR(VLOOKUP(G447,TERCEROS!A:C,3,0),""))</f>
        <v/>
      </c>
      <c r="I447" s="35"/>
      <c r="L447" s="35" t="str">
        <f>IF(A447="","",SUMIF(OBLIGACION!C:C,A447,OBLIGACION!H:H))</f>
        <v/>
      </c>
      <c r="M447" s="35" t="str">
        <f t="shared" si="13"/>
        <v/>
      </c>
    </row>
    <row r="448" spans="2:13" x14ac:dyDescent="0.3">
      <c r="B448" s="36"/>
      <c r="C448" t="str">
        <f t="shared" si="12"/>
        <v/>
      </c>
      <c r="E448" t="str">
        <f>IF(D448="","",IFERROR(VLOOKUP(D448,CDP!A:C,3,0),""))</f>
        <v/>
      </c>
      <c r="F448" t="str">
        <f>IF(D448="","",IFERROR(VLOOKUP(D448,CDP!A:D,4,0),""))</f>
        <v/>
      </c>
      <c r="H448" t="str">
        <f>IF(G448="","",IFERROR(VLOOKUP(G448,TERCEROS!A:C,3,0),""))</f>
        <v/>
      </c>
      <c r="I448" s="35"/>
      <c r="L448" s="35" t="str">
        <f>IF(A448="","",SUMIF(OBLIGACION!C:C,A448,OBLIGACION!H:H))</f>
        <v/>
      </c>
      <c r="M448" s="35" t="str">
        <f t="shared" si="13"/>
        <v/>
      </c>
    </row>
    <row r="449" spans="2:13" x14ac:dyDescent="0.3">
      <c r="B449" s="36"/>
      <c r="C449" t="str">
        <f t="shared" si="12"/>
        <v/>
      </c>
      <c r="E449" t="str">
        <f>IF(D449="","",IFERROR(VLOOKUP(D449,CDP!A:C,3,0),""))</f>
        <v/>
      </c>
      <c r="F449" t="str">
        <f>IF(D449="","",IFERROR(VLOOKUP(D449,CDP!A:D,4,0),""))</f>
        <v/>
      </c>
      <c r="H449" t="str">
        <f>IF(G449="","",IFERROR(VLOOKUP(G449,TERCEROS!A:C,3,0),""))</f>
        <v/>
      </c>
      <c r="I449" s="35"/>
      <c r="L449" s="35" t="str">
        <f>IF(A449="","",SUMIF(OBLIGACION!C:C,A449,OBLIGACION!H:H))</f>
        <v/>
      </c>
      <c r="M449" s="35" t="str">
        <f t="shared" si="13"/>
        <v/>
      </c>
    </row>
    <row r="450" spans="2:13" x14ac:dyDescent="0.3">
      <c r="B450" s="36"/>
      <c r="C450" t="str">
        <f t="shared" ref="C450:C500" si="14">IF(B450="","",MONTH(B450))</f>
        <v/>
      </c>
      <c r="E450" t="str">
        <f>IF(D450="","",IFERROR(VLOOKUP(D450,CDP!A:C,3,0),""))</f>
        <v/>
      </c>
      <c r="F450" t="str">
        <f>IF(D450="","",IFERROR(VLOOKUP(D450,CDP!A:D,4,0),""))</f>
        <v/>
      </c>
      <c r="H450" t="str">
        <f>IF(G450="","",IFERROR(VLOOKUP(G450,TERCEROS!A:C,3,0),""))</f>
        <v/>
      </c>
      <c r="I450" s="35"/>
      <c r="L450" s="35" t="str">
        <f>IF(A450="","",SUMIF(OBLIGACION!C:C,A450,OBLIGACION!H:H))</f>
        <v/>
      </c>
      <c r="M450" s="35" t="str">
        <f t="shared" ref="M450:M500" si="15">IF(A450="","",I450-L450)</f>
        <v/>
      </c>
    </row>
    <row r="451" spans="2:13" x14ac:dyDescent="0.3">
      <c r="B451" s="36"/>
      <c r="C451" t="str">
        <f t="shared" si="14"/>
        <v/>
      </c>
      <c r="E451" t="str">
        <f>IF(D451="","",IFERROR(VLOOKUP(D451,CDP!A:C,3,0),""))</f>
        <v/>
      </c>
      <c r="F451" t="str">
        <f>IF(D451="","",IFERROR(VLOOKUP(D451,CDP!A:D,4,0),""))</f>
        <v/>
      </c>
      <c r="H451" t="str">
        <f>IF(G451="","",IFERROR(VLOOKUP(G451,TERCEROS!A:C,3,0),""))</f>
        <v/>
      </c>
      <c r="I451" s="35"/>
      <c r="L451" s="35" t="str">
        <f>IF(A451="","",SUMIF(OBLIGACION!C:C,A451,OBLIGACION!H:H))</f>
        <v/>
      </c>
      <c r="M451" s="35" t="str">
        <f t="shared" si="15"/>
        <v/>
      </c>
    </row>
    <row r="452" spans="2:13" x14ac:dyDescent="0.3">
      <c r="B452" s="36"/>
      <c r="C452" t="str">
        <f t="shared" si="14"/>
        <v/>
      </c>
      <c r="E452" t="str">
        <f>IF(D452="","",IFERROR(VLOOKUP(D452,CDP!A:C,3,0),""))</f>
        <v/>
      </c>
      <c r="F452" t="str">
        <f>IF(D452="","",IFERROR(VLOOKUP(D452,CDP!A:D,4,0),""))</f>
        <v/>
      </c>
      <c r="H452" t="str">
        <f>IF(G452="","",IFERROR(VLOOKUP(G452,TERCEROS!A:C,3,0),""))</f>
        <v/>
      </c>
      <c r="I452" s="35"/>
      <c r="L452" s="35" t="str">
        <f>IF(A452="","",SUMIF(OBLIGACION!C:C,A452,OBLIGACION!H:H))</f>
        <v/>
      </c>
      <c r="M452" s="35" t="str">
        <f t="shared" si="15"/>
        <v/>
      </c>
    </row>
    <row r="453" spans="2:13" x14ac:dyDescent="0.3">
      <c r="B453" s="36"/>
      <c r="C453" t="str">
        <f t="shared" si="14"/>
        <v/>
      </c>
      <c r="E453" t="str">
        <f>IF(D453="","",IFERROR(VLOOKUP(D453,CDP!A:C,3,0),""))</f>
        <v/>
      </c>
      <c r="F453" t="str">
        <f>IF(D453="","",IFERROR(VLOOKUP(D453,CDP!A:D,4,0),""))</f>
        <v/>
      </c>
      <c r="H453" t="str">
        <f>IF(G453="","",IFERROR(VLOOKUP(G453,TERCEROS!A:C,3,0),""))</f>
        <v/>
      </c>
      <c r="I453" s="35"/>
      <c r="L453" s="35" t="str">
        <f>IF(A453="","",SUMIF(OBLIGACION!C:C,A453,OBLIGACION!H:H))</f>
        <v/>
      </c>
      <c r="M453" s="35" t="str">
        <f t="shared" si="15"/>
        <v/>
      </c>
    </row>
    <row r="454" spans="2:13" x14ac:dyDescent="0.3">
      <c r="B454" s="36"/>
      <c r="C454" t="str">
        <f t="shared" si="14"/>
        <v/>
      </c>
      <c r="E454" t="str">
        <f>IF(D454="","",IFERROR(VLOOKUP(D454,CDP!A:C,3,0),""))</f>
        <v/>
      </c>
      <c r="F454" t="str">
        <f>IF(D454="","",IFERROR(VLOOKUP(D454,CDP!A:D,4,0),""))</f>
        <v/>
      </c>
      <c r="H454" t="str">
        <f>IF(G454="","",IFERROR(VLOOKUP(G454,TERCEROS!A:C,3,0),""))</f>
        <v/>
      </c>
      <c r="I454" s="35"/>
      <c r="L454" s="35" t="str">
        <f>IF(A454="","",SUMIF(OBLIGACION!C:C,A454,OBLIGACION!H:H))</f>
        <v/>
      </c>
      <c r="M454" s="35" t="str">
        <f t="shared" si="15"/>
        <v/>
      </c>
    </row>
    <row r="455" spans="2:13" x14ac:dyDescent="0.3">
      <c r="B455" s="36"/>
      <c r="C455" t="str">
        <f t="shared" si="14"/>
        <v/>
      </c>
      <c r="E455" t="str">
        <f>IF(D455="","",IFERROR(VLOOKUP(D455,CDP!A:C,3,0),""))</f>
        <v/>
      </c>
      <c r="F455" t="str">
        <f>IF(D455="","",IFERROR(VLOOKUP(D455,CDP!A:D,4,0),""))</f>
        <v/>
      </c>
      <c r="H455" t="str">
        <f>IF(G455="","",IFERROR(VLOOKUP(G455,TERCEROS!A:C,3,0),""))</f>
        <v/>
      </c>
      <c r="I455" s="35"/>
      <c r="L455" s="35" t="str">
        <f>IF(A455="","",SUMIF(OBLIGACION!C:C,A455,OBLIGACION!H:H))</f>
        <v/>
      </c>
      <c r="M455" s="35" t="str">
        <f t="shared" si="15"/>
        <v/>
      </c>
    </row>
    <row r="456" spans="2:13" x14ac:dyDescent="0.3">
      <c r="B456" s="36"/>
      <c r="C456" t="str">
        <f t="shared" si="14"/>
        <v/>
      </c>
      <c r="E456" t="str">
        <f>IF(D456="","",IFERROR(VLOOKUP(D456,CDP!A:C,3,0),""))</f>
        <v/>
      </c>
      <c r="F456" t="str">
        <f>IF(D456="","",IFERROR(VLOOKUP(D456,CDP!A:D,4,0),""))</f>
        <v/>
      </c>
      <c r="H456" t="str">
        <f>IF(G456="","",IFERROR(VLOOKUP(G456,TERCEROS!A:C,3,0),""))</f>
        <v/>
      </c>
      <c r="I456" s="35"/>
      <c r="L456" s="35" t="str">
        <f>IF(A456="","",SUMIF(OBLIGACION!C:C,A456,OBLIGACION!H:H))</f>
        <v/>
      </c>
      <c r="M456" s="35" t="str">
        <f t="shared" si="15"/>
        <v/>
      </c>
    </row>
    <row r="457" spans="2:13" x14ac:dyDescent="0.3">
      <c r="B457" s="36"/>
      <c r="C457" t="str">
        <f t="shared" si="14"/>
        <v/>
      </c>
      <c r="E457" t="str">
        <f>IF(D457="","",IFERROR(VLOOKUP(D457,CDP!A:C,3,0),""))</f>
        <v/>
      </c>
      <c r="F457" t="str">
        <f>IF(D457="","",IFERROR(VLOOKUP(D457,CDP!A:D,4,0),""))</f>
        <v/>
      </c>
      <c r="H457" t="str">
        <f>IF(G457="","",IFERROR(VLOOKUP(G457,TERCEROS!A:C,3,0),""))</f>
        <v/>
      </c>
      <c r="I457" s="35"/>
      <c r="L457" s="35" t="str">
        <f>IF(A457="","",SUMIF(OBLIGACION!C:C,A457,OBLIGACION!H:H))</f>
        <v/>
      </c>
      <c r="M457" s="35" t="str">
        <f t="shared" si="15"/>
        <v/>
      </c>
    </row>
    <row r="458" spans="2:13" x14ac:dyDescent="0.3">
      <c r="B458" s="36"/>
      <c r="C458" t="str">
        <f t="shared" si="14"/>
        <v/>
      </c>
      <c r="E458" t="str">
        <f>IF(D458="","",IFERROR(VLOOKUP(D458,CDP!A:C,3,0),""))</f>
        <v/>
      </c>
      <c r="F458" t="str">
        <f>IF(D458="","",IFERROR(VLOOKUP(D458,CDP!A:D,4,0),""))</f>
        <v/>
      </c>
      <c r="H458" t="str">
        <f>IF(G458="","",IFERROR(VLOOKUP(G458,TERCEROS!A:C,3,0),""))</f>
        <v/>
      </c>
      <c r="I458" s="35"/>
      <c r="L458" s="35" t="str">
        <f>IF(A458="","",SUMIF(OBLIGACION!C:C,A458,OBLIGACION!H:H))</f>
        <v/>
      </c>
      <c r="M458" s="35" t="str">
        <f t="shared" si="15"/>
        <v/>
      </c>
    </row>
    <row r="459" spans="2:13" x14ac:dyDescent="0.3">
      <c r="B459" s="36"/>
      <c r="C459" t="str">
        <f t="shared" si="14"/>
        <v/>
      </c>
      <c r="E459" t="str">
        <f>IF(D459="","",IFERROR(VLOOKUP(D459,CDP!A:C,3,0),""))</f>
        <v/>
      </c>
      <c r="F459" t="str">
        <f>IF(D459="","",IFERROR(VLOOKUP(D459,CDP!A:D,4,0),""))</f>
        <v/>
      </c>
      <c r="H459" t="str">
        <f>IF(G459="","",IFERROR(VLOOKUP(G459,TERCEROS!A:C,3,0),""))</f>
        <v/>
      </c>
      <c r="I459" s="35"/>
      <c r="L459" s="35" t="str">
        <f>IF(A459="","",SUMIF(OBLIGACION!C:C,A459,OBLIGACION!H:H))</f>
        <v/>
      </c>
      <c r="M459" s="35" t="str">
        <f t="shared" si="15"/>
        <v/>
      </c>
    </row>
    <row r="460" spans="2:13" x14ac:dyDescent="0.3">
      <c r="B460" s="36"/>
      <c r="C460" t="str">
        <f t="shared" si="14"/>
        <v/>
      </c>
      <c r="E460" t="str">
        <f>IF(D460="","",IFERROR(VLOOKUP(D460,CDP!A:C,3,0),""))</f>
        <v/>
      </c>
      <c r="F460" t="str">
        <f>IF(D460="","",IFERROR(VLOOKUP(D460,CDP!A:D,4,0),""))</f>
        <v/>
      </c>
      <c r="H460" t="str">
        <f>IF(G460="","",IFERROR(VLOOKUP(G460,TERCEROS!A:C,3,0),""))</f>
        <v/>
      </c>
      <c r="I460" s="35"/>
      <c r="L460" s="35" t="str">
        <f>IF(A460="","",SUMIF(OBLIGACION!C:C,A460,OBLIGACION!H:H))</f>
        <v/>
      </c>
      <c r="M460" s="35" t="str">
        <f t="shared" si="15"/>
        <v/>
      </c>
    </row>
    <row r="461" spans="2:13" x14ac:dyDescent="0.3">
      <c r="B461" s="36"/>
      <c r="C461" t="str">
        <f t="shared" si="14"/>
        <v/>
      </c>
      <c r="E461" t="str">
        <f>IF(D461="","",IFERROR(VLOOKUP(D461,CDP!A:C,3,0),""))</f>
        <v/>
      </c>
      <c r="F461" t="str">
        <f>IF(D461="","",IFERROR(VLOOKUP(D461,CDP!A:D,4,0),""))</f>
        <v/>
      </c>
      <c r="H461" t="str">
        <f>IF(G461="","",IFERROR(VLOOKUP(G461,TERCEROS!A:C,3,0),""))</f>
        <v/>
      </c>
      <c r="I461" s="35"/>
      <c r="L461" s="35" t="str">
        <f>IF(A461="","",SUMIF(OBLIGACION!C:C,A461,OBLIGACION!H:H))</f>
        <v/>
      </c>
      <c r="M461" s="35" t="str">
        <f t="shared" si="15"/>
        <v/>
      </c>
    </row>
    <row r="462" spans="2:13" x14ac:dyDescent="0.3">
      <c r="B462" s="36"/>
      <c r="C462" t="str">
        <f t="shared" si="14"/>
        <v/>
      </c>
      <c r="E462" t="str">
        <f>IF(D462="","",IFERROR(VLOOKUP(D462,CDP!A:C,3,0),""))</f>
        <v/>
      </c>
      <c r="F462" t="str">
        <f>IF(D462="","",IFERROR(VLOOKUP(D462,CDP!A:D,4,0),""))</f>
        <v/>
      </c>
      <c r="H462" t="str">
        <f>IF(G462="","",IFERROR(VLOOKUP(G462,TERCEROS!A:C,3,0),""))</f>
        <v/>
      </c>
      <c r="I462" s="35"/>
      <c r="L462" s="35" t="str">
        <f>IF(A462="","",SUMIF(OBLIGACION!C:C,A462,OBLIGACION!H:H))</f>
        <v/>
      </c>
      <c r="M462" s="35" t="str">
        <f t="shared" si="15"/>
        <v/>
      </c>
    </row>
    <row r="463" spans="2:13" x14ac:dyDescent="0.3">
      <c r="B463" s="36"/>
      <c r="C463" t="str">
        <f t="shared" si="14"/>
        <v/>
      </c>
      <c r="E463" t="str">
        <f>IF(D463="","",IFERROR(VLOOKUP(D463,CDP!A:C,3,0),""))</f>
        <v/>
      </c>
      <c r="F463" t="str">
        <f>IF(D463="","",IFERROR(VLOOKUP(D463,CDP!A:D,4,0),""))</f>
        <v/>
      </c>
      <c r="H463" t="str">
        <f>IF(G463="","",IFERROR(VLOOKUP(G463,TERCEROS!A:C,3,0),""))</f>
        <v/>
      </c>
      <c r="I463" s="35"/>
      <c r="L463" s="35" t="str">
        <f>IF(A463="","",SUMIF(OBLIGACION!C:C,A463,OBLIGACION!H:H))</f>
        <v/>
      </c>
      <c r="M463" s="35" t="str">
        <f t="shared" si="15"/>
        <v/>
      </c>
    </row>
    <row r="464" spans="2:13" x14ac:dyDescent="0.3">
      <c r="B464" s="36"/>
      <c r="C464" t="str">
        <f t="shared" si="14"/>
        <v/>
      </c>
      <c r="E464" t="str">
        <f>IF(D464="","",IFERROR(VLOOKUP(D464,CDP!A:C,3,0),""))</f>
        <v/>
      </c>
      <c r="F464" t="str">
        <f>IF(D464="","",IFERROR(VLOOKUP(D464,CDP!A:D,4,0),""))</f>
        <v/>
      </c>
      <c r="H464" t="str">
        <f>IF(G464="","",IFERROR(VLOOKUP(G464,TERCEROS!A:C,3,0),""))</f>
        <v/>
      </c>
      <c r="I464" s="35"/>
      <c r="L464" s="35" t="str">
        <f>IF(A464="","",SUMIF(OBLIGACION!C:C,A464,OBLIGACION!H:H))</f>
        <v/>
      </c>
      <c r="M464" s="35" t="str">
        <f t="shared" si="15"/>
        <v/>
      </c>
    </row>
    <row r="465" spans="2:13" x14ac:dyDescent="0.3">
      <c r="B465" s="36"/>
      <c r="C465" t="str">
        <f t="shared" si="14"/>
        <v/>
      </c>
      <c r="E465" t="str">
        <f>IF(D465="","",IFERROR(VLOOKUP(D465,CDP!A:C,3,0),""))</f>
        <v/>
      </c>
      <c r="F465" t="str">
        <f>IF(D465="","",IFERROR(VLOOKUP(D465,CDP!A:D,4,0),""))</f>
        <v/>
      </c>
      <c r="H465" t="str">
        <f>IF(G465="","",IFERROR(VLOOKUP(G465,TERCEROS!A:C,3,0),""))</f>
        <v/>
      </c>
      <c r="I465" s="35"/>
      <c r="L465" s="35" t="str">
        <f>IF(A465="","",SUMIF(OBLIGACION!C:C,A465,OBLIGACION!H:H))</f>
        <v/>
      </c>
      <c r="M465" s="35" t="str">
        <f t="shared" si="15"/>
        <v/>
      </c>
    </row>
    <row r="466" spans="2:13" x14ac:dyDescent="0.3">
      <c r="B466" s="36"/>
      <c r="C466" t="str">
        <f t="shared" si="14"/>
        <v/>
      </c>
      <c r="E466" t="str">
        <f>IF(D466="","",IFERROR(VLOOKUP(D466,CDP!A:C,3,0),""))</f>
        <v/>
      </c>
      <c r="F466" t="str">
        <f>IF(D466="","",IFERROR(VLOOKUP(D466,CDP!A:D,4,0),""))</f>
        <v/>
      </c>
      <c r="H466" t="str">
        <f>IF(G466="","",IFERROR(VLOOKUP(G466,TERCEROS!A:C,3,0),""))</f>
        <v/>
      </c>
      <c r="I466" s="35"/>
      <c r="L466" s="35" t="str">
        <f>IF(A466="","",SUMIF(OBLIGACION!C:C,A466,OBLIGACION!H:H))</f>
        <v/>
      </c>
      <c r="M466" s="35" t="str">
        <f t="shared" si="15"/>
        <v/>
      </c>
    </row>
    <row r="467" spans="2:13" x14ac:dyDescent="0.3">
      <c r="B467" s="36"/>
      <c r="C467" t="str">
        <f t="shared" si="14"/>
        <v/>
      </c>
      <c r="E467" t="str">
        <f>IF(D467="","",IFERROR(VLOOKUP(D467,CDP!A:C,3,0),""))</f>
        <v/>
      </c>
      <c r="F467" t="str">
        <f>IF(D467="","",IFERROR(VLOOKUP(D467,CDP!A:D,4,0),""))</f>
        <v/>
      </c>
      <c r="H467" t="str">
        <f>IF(G467="","",IFERROR(VLOOKUP(G467,TERCEROS!A:C,3,0),""))</f>
        <v/>
      </c>
      <c r="I467" s="35"/>
      <c r="L467" s="35" t="str">
        <f>IF(A467="","",SUMIF(OBLIGACION!C:C,A467,OBLIGACION!H:H))</f>
        <v/>
      </c>
      <c r="M467" s="35" t="str">
        <f t="shared" si="15"/>
        <v/>
      </c>
    </row>
    <row r="468" spans="2:13" x14ac:dyDescent="0.3">
      <c r="B468" s="36"/>
      <c r="C468" t="str">
        <f t="shared" si="14"/>
        <v/>
      </c>
      <c r="E468" t="str">
        <f>IF(D468="","",IFERROR(VLOOKUP(D468,CDP!A:C,3,0),""))</f>
        <v/>
      </c>
      <c r="F468" t="str">
        <f>IF(D468="","",IFERROR(VLOOKUP(D468,CDP!A:D,4,0),""))</f>
        <v/>
      </c>
      <c r="H468" t="str">
        <f>IF(G468="","",IFERROR(VLOOKUP(G468,TERCEROS!A:C,3,0),""))</f>
        <v/>
      </c>
      <c r="I468" s="35"/>
      <c r="L468" s="35" t="str">
        <f>IF(A468="","",SUMIF(OBLIGACION!C:C,A468,OBLIGACION!H:H))</f>
        <v/>
      </c>
      <c r="M468" s="35" t="str">
        <f t="shared" si="15"/>
        <v/>
      </c>
    </row>
    <row r="469" spans="2:13" x14ac:dyDescent="0.3">
      <c r="B469" s="36"/>
      <c r="C469" t="str">
        <f t="shared" si="14"/>
        <v/>
      </c>
      <c r="E469" t="str">
        <f>IF(D469="","",IFERROR(VLOOKUP(D469,CDP!A:C,3,0),""))</f>
        <v/>
      </c>
      <c r="F469" t="str">
        <f>IF(D469="","",IFERROR(VLOOKUP(D469,CDP!A:D,4,0),""))</f>
        <v/>
      </c>
      <c r="H469" t="str">
        <f>IF(G469="","",IFERROR(VLOOKUP(G469,TERCEROS!A:C,3,0),""))</f>
        <v/>
      </c>
      <c r="I469" s="35"/>
      <c r="L469" s="35" t="str">
        <f>IF(A469="","",SUMIF(OBLIGACION!C:C,A469,OBLIGACION!H:H))</f>
        <v/>
      </c>
      <c r="M469" s="35" t="str">
        <f t="shared" si="15"/>
        <v/>
      </c>
    </row>
    <row r="470" spans="2:13" x14ac:dyDescent="0.3">
      <c r="B470" s="36"/>
      <c r="C470" t="str">
        <f t="shared" si="14"/>
        <v/>
      </c>
      <c r="E470" t="str">
        <f>IF(D470="","",IFERROR(VLOOKUP(D470,CDP!A:C,3,0),""))</f>
        <v/>
      </c>
      <c r="F470" t="str">
        <f>IF(D470="","",IFERROR(VLOOKUP(D470,CDP!A:D,4,0),""))</f>
        <v/>
      </c>
      <c r="H470" t="str">
        <f>IF(G470="","",IFERROR(VLOOKUP(G470,TERCEROS!A:C,3,0),""))</f>
        <v/>
      </c>
      <c r="I470" s="35"/>
      <c r="L470" s="35" t="str">
        <f>IF(A470="","",SUMIF(OBLIGACION!C:C,A470,OBLIGACION!H:H))</f>
        <v/>
      </c>
      <c r="M470" s="35" t="str">
        <f t="shared" si="15"/>
        <v/>
      </c>
    </row>
    <row r="471" spans="2:13" x14ac:dyDescent="0.3">
      <c r="B471" s="36"/>
      <c r="C471" t="str">
        <f t="shared" si="14"/>
        <v/>
      </c>
      <c r="E471" t="str">
        <f>IF(D471="","",IFERROR(VLOOKUP(D471,CDP!A:C,3,0),""))</f>
        <v/>
      </c>
      <c r="F471" t="str">
        <f>IF(D471="","",IFERROR(VLOOKUP(D471,CDP!A:D,4,0),""))</f>
        <v/>
      </c>
      <c r="H471" t="str">
        <f>IF(G471="","",IFERROR(VLOOKUP(G471,TERCEROS!A:C,3,0),""))</f>
        <v/>
      </c>
      <c r="I471" s="35"/>
      <c r="L471" s="35" t="str">
        <f>IF(A471="","",SUMIF(OBLIGACION!C:C,A471,OBLIGACION!H:H))</f>
        <v/>
      </c>
      <c r="M471" s="35" t="str">
        <f t="shared" si="15"/>
        <v/>
      </c>
    </row>
    <row r="472" spans="2:13" x14ac:dyDescent="0.3">
      <c r="B472" s="36"/>
      <c r="C472" t="str">
        <f t="shared" si="14"/>
        <v/>
      </c>
      <c r="E472" t="str">
        <f>IF(D472="","",IFERROR(VLOOKUP(D472,CDP!A:C,3,0),""))</f>
        <v/>
      </c>
      <c r="F472" t="str">
        <f>IF(D472="","",IFERROR(VLOOKUP(D472,CDP!A:D,4,0),""))</f>
        <v/>
      </c>
      <c r="H472" t="str">
        <f>IF(G472="","",IFERROR(VLOOKUP(G472,TERCEROS!A:C,3,0),""))</f>
        <v/>
      </c>
      <c r="I472" s="35"/>
      <c r="L472" s="35" t="str">
        <f>IF(A472="","",SUMIF(OBLIGACION!C:C,A472,OBLIGACION!H:H))</f>
        <v/>
      </c>
      <c r="M472" s="35" t="str">
        <f t="shared" si="15"/>
        <v/>
      </c>
    </row>
    <row r="473" spans="2:13" x14ac:dyDescent="0.3">
      <c r="B473" s="36"/>
      <c r="C473" t="str">
        <f t="shared" si="14"/>
        <v/>
      </c>
      <c r="E473" t="str">
        <f>IF(D473="","",IFERROR(VLOOKUP(D473,CDP!A:C,3,0),""))</f>
        <v/>
      </c>
      <c r="F473" t="str">
        <f>IF(D473="","",IFERROR(VLOOKUP(D473,CDP!A:D,4,0),""))</f>
        <v/>
      </c>
      <c r="H473" t="str">
        <f>IF(G473="","",IFERROR(VLOOKUP(G473,TERCEROS!A:C,3,0),""))</f>
        <v/>
      </c>
      <c r="I473" s="35"/>
      <c r="L473" s="35" t="str">
        <f>IF(A473="","",SUMIF(OBLIGACION!C:C,A473,OBLIGACION!H:H))</f>
        <v/>
      </c>
      <c r="M473" s="35" t="str">
        <f t="shared" si="15"/>
        <v/>
      </c>
    </row>
    <row r="474" spans="2:13" x14ac:dyDescent="0.3">
      <c r="B474" s="36"/>
      <c r="C474" t="str">
        <f t="shared" si="14"/>
        <v/>
      </c>
      <c r="E474" t="str">
        <f>IF(D474="","",IFERROR(VLOOKUP(D474,CDP!A:C,3,0),""))</f>
        <v/>
      </c>
      <c r="F474" t="str">
        <f>IF(D474="","",IFERROR(VLOOKUP(D474,CDP!A:D,4,0),""))</f>
        <v/>
      </c>
      <c r="H474" t="str">
        <f>IF(G474="","",IFERROR(VLOOKUP(G474,TERCEROS!A:C,3,0),""))</f>
        <v/>
      </c>
      <c r="I474" s="35"/>
      <c r="L474" s="35" t="str">
        <f>IF(A474="","",SUMIF(OBLIGACION!C:C,A474,OBLIGACION!H:H))</f>
        <v/>
      </c>
      <c r="M474" s="35" t="str">
        <f t="shared" si="15"/>
        <v/>
      </c>
    </row>
    <row r="475" spans="2:13" x14ac:dyDescent="0.3">
      <c r="B475" s="36"/>
      <c r="C475" t="str">
        <f t="shared" si="14"/>
        <v/>
      </c>
      <c r="E475" t="str">
        <f>IF(D475="","",IFERROR(VLOOKUP(D475,CDP!A:C,3,0),""))</f>
        <v/>
      </c>
      <c r="F475" t="str">
        <f>IF(D475="","",IFERROR(VLOOKUP(D475,CDP!A:D,4,0),""))</f>
        <v/>
      </c>
      <c r="H475" t="str">
        <f>IF(G475="","",IFERROR(VLOOKUP(G475,TERCEROS!A:C,3,0),""))</f>
        <v/>
      </c>
      <c r="I475" s="35"/>
      <c r="L475" s="35" t="str">
        <f>IF(A475="","",SUMIF(OBLIGACION!C:C,A475,OBLIGACION!H:H))</f>
        <v/>
      </c>
      <c r="M475" s="35" t="str">
        <f t="shared" si="15"/>
        <v/>
      </c>
    </row>
    <row r="476" spans="2:13" x14ac:dyDescent="0.3">
      <c r="B476" s="36"/>
      <c r="C476" t="str">
        <f t="shared" si="14"/>
        <v/>
      </c>
      <c r="E476" t="str">
        <f>IF(D476="","",IFERROR(VLOOKUP(D476,CDP!A:C,3,0),""))</f>
        <v/>
      </c>
      <c r="F476" t="str">
        <f>IF(D476="","",IFERROR(VLOOKUP(D476,CDP!A:D,4,0),""))</f>
        <v/>
      </c>
      <c r="H476" t="str">
        <f>IF(G476="","",IFERROR(VLOOKUP(G476,TERCEROS!A:C,3,0),""))</f>
        <v/>
      </c>
      <c r="I476" s="35"/>
      <c r="L476" s="35" t="str">
        <f>IF(A476="","",SUMIF(OBLIGACION!C:C,A476,OBLIGACION!H:H))</f>
        <v/>
      </c>
      <c r="M476" s="35" t="str">
        <f t="shared" si="15"/>
        <v/>
      </c>
    </row>
    <row r="477" spans="2:13" x14ac:dyDescent="0.3">
      <c r="B477" s="36"/>
      <c r="C477" t="str">
        <f t="shared" si="14"/>
        <v/>
      </c>
      <c r="E477" t="str">
        <f>IF(D477="","",IFERROR(VLOOKUP(D477,CDP!A:C,3,0),""))</f>
        <v/>
      </c>
      <c r="F477" t="str">
        <f>IF(D477="","",IFERROR(VLOOKUP(D477,CDP!A:D,4,0),""))</f>
        <v/>
      </c>
      <c r="H477" t="str">
        <f>IF(G477="","",IFERROR(VLOOKUP(G477,TERCEROS!A:C,3,0),""))</f>
        <v/>
      </c>
      <c r="I477" s="35"/>
      <c r="L477" s="35" t="str">
        <f>IF(A477="","",SUMIF(OBLIGACION!C:C,A477,OBLIGACION!H:H))</f>
        <v/>
      </c>
      <c r="M477" s="35" t="str">
        <f t="shared" si="15"/>
        <v/>
      </c>
    </row>
    <row r="478" spans="2:13" x14ac:dyDescent="0.3">
      <c r="B478" s="36"/>
      <c r="C478" t="str">
        <f t="shared" si="14"/>
        <v/>
      </c>
      <c r="E478" t="str">
        <f>IF(D478="","",IFERROR(VLOOKUP(D478,CDP!A:C,3,0),""))</f>
        <v/>
      </c>
      <c r="F478" t="str">
        <f>IF(D478="","",IFERROR(VLOOKUP(D478,CDP!A:D,4,0),""))</f>
        <v/>
      </c>
      <c r="H478" t="str">
        <f>IF(G478="","",IFERROR(VLOOKUP(G478,TERCEROS!A:C,3,0),""))</f>
        <v/>
      </c>
      <c r="I478" s="35"/>
      <c r="L478" s="35" t="str">
        <f>IF(A478="","",SUMIF(OBLIGACION!C:C,A478,OBLIGACION!H:H))</f>
        <v/>
      </c>
      <c r="M478" s="35" t="str">
        <f t="shared" si="15"/>
        <v/>
      </c>
    </row>
    <row r="479" spans="2:13" x14ac:dyDescent="0.3">
      <c r="B479" s="36"/>
      <c r="C479" t="str">
        <f t="shared" si="14"/>
        <v/>
      </c>
      <c r="E479" t="str">
        <f>IF(D479="","",IFERROR(VLOOKUP(D479,CDP!A:C,3,0),""))</f>
        <v/>
      </c>
      <c r="F479" t="str">
        <f>IF(D479="","",IFERROR(VLOOKUP(D479,CDP!A:D,4,0),""))</f>
        <v/>
      </c>
      <c r="H479" t="str">
        <f>IF(G479="","",IFERROR(VLOOKUP(G479,TERCEROS!A:C,3,0),""))</f>
        <v/>
      </c>
      <c r="I479" s="35"/>
      <c r="L479" s="35" t="str">
        <f>IF(A479="","",SUMIF(OBLIGACION!C:C,A479,OBLIGACION!H:H))</f>
        <v/>
      </c>
      <c r="M479" s="35" t="str">
        <f t="shared" si="15"/>
        <v/>
      </c>
    </row>
    <row r="480" spans="2:13" x14ac:dyDescent="0.3">
      <c r="B480" s="36"/>
      <c r="C480" t="str">
        <f t="shared" si="14"/>
        <v/>
      </c>
      <c r="E480" t="str">
        <f>IF(D480="","",IFERROR(VLOOKUP(D480,CDP!A:C,3,0),""))</f>
        <v/>
      </c>
      <c r="F480" t="str">
        <f>IF(D480="","",IFERROR(VLOOKUP(D480,CDP!A:D,4,0),""))</f>
        <v/>
      </c>
      <c r="H480" t="str">
        <f>IF(G480="","",IFERROR(VLOOKUP(G480,TERCEROS!A:C,3,0),""))</f>
        <v/>
      </c>
      <c r="I480" s="35"/>
      <c r="L480" s="35" t="str">
        <f>IF(A480="","",SUMIF(OBLIGACION!C:C,A480,OBLIGACION!H:H))</f>
        <v/>
      </c>
      <c r="M480" s="35" t="str">
        <f t="shared" si="15"/>
        <v/>
      </c>
    </row>
    <row r="481" spans="2:13" x14ac:dyDescent="0.3">
      <c r="B481" s="36"/>
      <c r="C481" t="str">
        <f t="shared" si="14"/>
        <v/>
      </c>
      <c r="E481" t="str">
        <f>IF(D481="","",IFERROR(VLOOKUP(D481,CDP!A:C,3,0),""))</f>
        <v/>
      </c>
      <c r="F481" t="str">
        <f>IF(D481="","",IFERROR(VLOOKUP(D481,CDP!A:D,4,0),""))</f>
        <v/>
      </c>
      <c r="H481" t="str">
        <f>IF(G481="","",IFERROR(VLOOKUP(G481,TERCEROS!A:C,3,0),""))</f>
        <v/>
      </c>
      <c r="I481" s="35"/>
      <c r="L481" s="35" t="str">
        <f>IF(A481="","",SUMIF(OBLIGACION!C:C,A481,OBLIGACION!H:H))</f>
        <v/>
      </c>
      <c r="M481" s="35" t="str">
        <f t="shared" si="15"/>
        <v/>
      </c>
    </row>
    <row r="482" spans="2:13" x14ac:dyDescent="0.3">
      <c r="B482" s="36"/>
      <c r="C482" t="str">
        <f t="shared" si="14"/>
        <v/>
      </c>
      <c r="E482" t="str">
        <f>IF(D482="","",IFERROR(VLOOKUP(D482,CDP!A:C,3,0),""))</f>
        <v/>
      </c>
      <c r="F482" t="str">
        <f>IF(D482="","",IFERROR(VLOOKUP(D482,CDP!A:D,4,0),""))</f>
        <v/>
      </c>
      <c r="H482" t="str">
        <f>IF(G482="","",IFERROR(VLOOKUP(G482,TERCEROS!A:C,3,0),""))</f>
        <v/>
      </c>
      <c r="I482" s="35"/>
      <c r="L482" s="35" t="str">
        <f>IF(A482="","",SUMIF(OBLIGACION!C:C,A482,OBLIGACION!H:H))</f>
        <v/>
      </c>
      <c r="M482" s="35" t="str">
        <f t="shared" si="15"/>
        <v/>
      </c>
    </row>
    <row r="483" spans="2:13" x14ac:dyDescent="0.3">
      <c r="B483" s="36"/>
      <c r="C483" t="str">
        <f t="shared" si="14"/>
        <v/>
      </c>
      <c r="E483" t="str">
        <f>IF(D483="","",IFERROR(VLOOKUP(D483,CDP!A:C,3,0),""))</f>
        <v/>
      </c>
      <c r="F483" t="str">
        <f>IF(D483="","",IFERROR(VLOOKUP(D483,CDP!A:D,4,0),""))</f>
        <v/>
      </c>
      <c r="H483" t="str">
        <f>IF(G483="","",IFERROR(VLOOKUP(G483,TERCEROS!A:C,3,0),""))</f>
        <v/>
      </c>
      <c r="I483" s="35"/>
      <c r="L483" s="35" t="str">
        <f>IF(A483="","",SUMIF(OBLIGACION!C:C,A483,OBLIGACION!H:H))</f>
        <v/>
      </c>
      <c r="M483" s="35" t="str">
        <f t="shared" si="15"/>
        <v/>
      </c>
    </row>
    <row r="484" spans="2:13" x14ac:dyDescent="0.3">
      <c r="B484" s="36"/>
      <c r="C484" t="str">
        <f t="shared" si="14"/>
        <v/>
      </c>
      <c r="E484" t="str">
        <f>IF(D484="","",IFERROR(VLOOKUP(D484,CDP!A:C,3,0),""))</f>
        <v/>
      </c>
      <c r="F484" t="str">
        <f>IF(D484="","",IFERROR(VLOOKUP(D484,CDP!A:D,4,0),""))</f>
        <v/>
      </c>
      <c r="H484" t="str">
        <f>IF(G484="","",IFERROR(VLOOKUP(G484,TERCEROS!A:C,3,0),""))</f>
        <v/>
      </c>
      <c r="I484" s="35"/>
      <c r="L484" s="35" t="str">
        <f>IF(A484="","",SUMIF(OBLIGACION!C:C,A484,OBLIGACION!H:H))</f>
        <v/>
      </c>
      <c r="M484" s="35" t="str">
        <f t="shared" si="15"/>
        <v/>
      </c>
    </row>
    <row r="485" spans="2:13" x14ac:dyDescent="0.3">
      <c r="B485" s="36"/>
      <c r="C485" t="str">
        <f t="shared" si="14"/>
        <v/>
      </c>
      <c r="E485" t="str">
        <f>IF(D485="","",IFERROR(VLOOKUP(D485,CDP!A:C,3,0),""))</f>
        <v/>
      </c>
      <c r="F485" t="str">
        <f>IF(D485="","",IFERROR(VLOOKUP(D485,CDP!A:D,4,0),""))</f>
        <v/>
      </c>
      <c r="H485" t="str">
        <f>IF(G485="","",IFERROR(VLOOKUP(G485,TERCEROS!A:C,3,0),""))</f>
        <v/>
      </c>
      <c r="I485" s="35"/>
      <c r="L485" s="35" t="str">
        <f>IF(A485="","",SUMIF(OBLIGACION!C:C,A485,OBLIGACION!H:H))</f>
        <v/>
      </c>
      <c r="M485" s="35" t="str">
        <f t="shared" si="15"/>
        <v/>
      </c>
    </row>
    <row r="486" spans="2:13" x14ac:dyDescent="0.3">
      <c r="B486" s="36"/>
      <c r="C486" t="str">
        <f t="shared" si="14"/>
        <v/>
      </c>
      <c r="E486" t="str">
        <f>IF(D486="","",IFERROR(VLOOKUP(D486,CDP!A:C,3,0),""))</f>
        <v/>
      </c>
      <c r="F486" t="str">
        <f>IF(D486="","",IFERROR(VLOOKUP(D486,CDP!A:D,4,0),""))</f>
        <v/>
      </c>
      <c r="H486" t="str">
        <f>IF(G486="","",IFERROR(VLOOKUP(G486,TERCEROS!A:C,3,0),""))</f>
        <v/>
      </c>
      <c r="I486" s="35"/>
      <c r="L486" s="35" t="str">
        <f>IF(A486="","",SUMIF(OBLIGACION!C:C,A486,OBLIGACION!H:H))</f>
        <v/>
      </c>
      <c r="M486" s="35" t="str">
        <f t="shared" si="15"/>
        <v/>
      </c>
    </row>
    <row r="487" spans="2:13" x14ac:dyDescent="0.3">
      <c r="B487" s="36"/>
      <c r="C487" t="str">
        <f t="shared" si="14"/>
        <v/>
      </c>
      <c r="E487" t="str">
        <f>IF(D487="","",IFERROR(VLOOKUP(D487,CDP!A:C,3,0),""))</f>
        <v/>
      </c>
      <c r="F487" t="str">
        <f>IF(D487="","",IFERROR(VLOOKUP(D487,CDP!A:D,4,0),""))</f>
        <v/>
      </c>
      <c r="H487" t="str">
        <f>IF(G487="","",IFERROR(VLOOKUP(G487,TERCEROS!A:C,3,0),""))</f>
        <v/>
      </c>
      <c r="I487" s="35"/>
      <c r="L487" s="35" t="str">
        <f>IF(A487="","",SUMIF(OBLIGACION!C:C,A487,OBLIGACION!H:H))</f>
        <v/>
      </c>
      <c r="M487" s="35" t="str">
        <f t="shared" si="15"/>
        <v/>
      </c>
    </row>
    <row r="488" spans="2:13" x14ac:dyDescent="0.3">
      <c r="B488" s="36"/>
      <c r="C488" t="str">
        <f t="shared" si="14"/>
        <v/>
      </c>
      <c r="E488" t="str">
        <f>IF(D488="","",IFERROR(VLOOKUP(D488,CDP!A:C,3,0),""))</f>
        <v/>
      </c>
      <c r="F488" t="str">
        <f>IF(D488="","",IFERROR(VLOOKUP(D488,CDP!A:D,4,0),""))</f>
        <v/>
      </c>
      <c r="H488" t="str">
        <f>IF(G488="","",IFERROR(VLOOKUP(G488,TERCEROS!A:C,3,0),""))</f>
        <v/>
      </c>
      <c r="I488" s="35"/>
      <c r="L488" s="35" t="str">
        <f>IF(A488="","",SUMIF(OBLIGACION!C:C,A488,OBLIGACION!H:H))</f>
        <v/>
      </c>
      <c r="M488" s="35" t="str">
        <f t="shared" si="15"/>
        <v/>
      </c>
    </row>
    <row r="489" spans="2:13" x14ac:dyDescent="0.3">
      <c r="B489" s="36"/>
      <c r="C489" t="str">
        <f t="shared" si="14"/>
        <v/>
      </c>
      <c r="E489" t="str">
        <f>IF(D489="","",IFERROR(VLOOKUP(D489,CDP!A:C,3,0),""))</f>
        <v/>
      </c>
      <c r="F489" t="str">
        <f>IF(D489="","",IFERROR(VLOOKUP(D489,CDP!A:D,4,0),""))</f>
        <v/>
      </c>
      <c r="H489" t="str">
        <f>IF(G489="","",IFERROR(VLOOKUP(G489,TERCEROS!A:C,3,0),""))</f>
        <v/>
      </c>
      <c r="I489" s="35"/>
      <c r="L489" s="35" t="str">
        <f>IF(A489="","",SUMIF(OBLIGACION!C:C,A489,OBLIGACION!H:H))</f>
        <v/>
      </c>
      <c r="M489" s="35" t="str">
        <f t="shared" si="15"/>
        <v/>
      </c>
    </row>
    <row r="490" spans="2:13" x14ac:dyDescent="0.3">
      <c r="B490" s="36"/>
      <c r="C490" t="str">
        <f t="shared" si="14"/>
        <v/>
      </c>
      <c r="E490" t="str">
        <f>IF(D490="","",IFERROR(VLOOKUP(D490,CDP!A:C,3,0),""))</f>
        <v/>
      </c>
      <c r="F490" t="str">
        <f>IF(D490="","",IFERROR(VLOOKUP(D490,CDP!A:D,4,0),""))</f>
        <v/>
      </c>
      <c r="H490" t="str">
        <f>IF(G490="","",IFERROR(VLOOKUP(G490,TERCEROS!A:C,3,0),""))</f>
        <v/>
      </c>
      <c r="I490" s="35"/>
      <c r="L490" s="35" t="str">
        <f>IF(A490="","",SUMIF(OBLIGACION!C:C,A490,OBLIGACION!H:H))</f>
        <v/>
      </c>
      <c r="M490" s="35" t="str">
        <f t="shared" si="15"/>
        <v/>
      </c>
    </row>
    <row r="491" spans="2:13" x14ac:dyDescent="0.3">
      <c r="B491" s="36"/>
      <c r="C491" t="str">
        <f t="shared" si="14"/>
        <v/>
      </c>
      <c r="E491" t="str">
        <f>IF(D491="","",IFERROR(VLOOKUP(D491,CDP!A:C,3,0),""))</f>
        <v/>
      </c>
      <c r="F491" t="str">
        <f>IF(D491="","",IFERROR(VLOOKUP(D491,CDP!A:D,4,0),""))</f>
        <v/>
      </c>
      <c r="H491" t="str">
        <f>IF(G491="","",IFERROR(VLOOKUP(G491,TERCEROS!A:C,3,0),""))</f>
        <v/>
      </c>
      <c r="I491" s="35"/>
      <c r="L491" s="35" t="str">
        <f>IF(A491="","",SUMIF(OBLIGACION!C:C,A491,OBLIGACION!H:H))</f>
        <v/>
      </c>
      <c r="M491" s="35" t="str">
        <f t="shared" si="15"/>
        <v/>
      </c>
    </row>
    <row r="492" spans="2:13" x14ac:dyDescent="0.3">
      <c r="B492" s="36"/>
      <c r="C492" t="str">
        <f t="shared" si="14"/>
        <v/>
      </c>
      <c r="E492" t="str">
        <f>IF(D492="","",IFERROR(VLOOKUP(D492,CDP!A:C,3,0),""))</f>
        <v/>
      </c>
      <c r="F492" t="str">
        <f>IF(D492="","",IFERROR(VLOOKUP(D492,CDP!A:D,4,0),""))</f>
        <v/>
      </c>
      <c r="H492" t="str">
        <f>IF(G492="","",IFERROR(VLOOKUP(G492,TERCEROS!A:C,3,0),""))</f>
        <v/>
      </c>
      <c r="I492" s="35"/>
      <c r="L492" s="35" t="str">
        <f>IF(A492="","",SUMIF(OBLIGACION!C:C,A492,OBLIGACION!H:H))</f>
        <v/>
      </c>
      <c r="M492" s="35" t="str">
        <f t="shared" si="15"/>
        <v/>
      </c>
    </row>
    <row r="493" spans="2:13" x14ac:dyDescent="0.3">
      <c r="B493" s="36"/>
      <c r="C493" t="str">
        <f t="shared" si="14"/>
        <v/>
      </c>
      <c r="E493" t="str">
        <f>IF(D493="","",IFERROR(VLOOKUP(D493,CDP!A:C,3,0),""))</f>
        <v/>
      </c>
      <c r="F493" t="str">
        <f>IF(D493="","",IFERROR(VLOOKUP(D493,CDP!A:D,4,0),""))</f>
        <v/>
      </c>
      <c r="H493" t="str">
        <f>IF(G493="","",IFERROR(VLOOKUP(G493,TERCEROS!A:C,3,0),""))</f>
        <v/>
      </c>
      <c r="I493" s="35"/>
      <c r="L493" s="35" t="str">
        <f>IF(A493="","",SUMIF(OBLIGACION!C:C,A493,OBLIGACION!H:H))</f>
        <v/>
      </c>
      <c r="M493" s="35" t="str">
        <f t="shared" si="15"/>
        <v/>
      </c>
    </row>
    <row r="494" spans="2:13" x14ac:dyDescent="0.3">
      <c r="B494" s="36"/>
      <c r="C494" t="str">
        <f t="shared" si="14"/>
        <v/>
      </c>
      <c r="E494" t="str">
        <f>IF(D494="","",IFERROR(VLOOKUP(D494,CDP!A:C,3,0),""))</f>
        <v/>
      </c>
      <c r="F494" t="str">
        <f>IF(D494="","",IFERROR(VLOOKUP(D494,CDP!A:D,4,0),""))</f>
        <v/>
      </c>
      <c r="H494" t="str">
        <f>IF(G494="","",IFERROR(VLOOKUP(G494,TERCEROS!A:C,3,0),""))</f>
        <v/>
      </c>
      <c r="I494" s="35"/>
      <c r="L494" s="35" t="str">
        <f>IF(A494="","",SUMIF(OBLIGACION!C:C,A494,OBLIGACION!H:H))</f>
        <v/>
      </c>
      <c r="M494" s="35" t="str">
        <f t="shared" si="15"/>
        <v/>
      </c>
    </row>
    <row r="495" spans="2:13" x14ac:dyDescent="0.3">
      <c r="B495" s="36"/>
      <c r="C495" t="str">
        <f t="shared" si="14"/>
        <v/>
      </c>
      <c r="E495" t="str">
        <f>IF(D495="","",IFERROR(VLOOKUP(D495,CDP!A:C,3,0),""))</f>
        <v/>
      </c>
      <c r="F495" t="str">
        <f>IF(D495="","",IFERROR(VLOOKUP(D495,CDP!A:D,4,0),""))</f>
        <v/>
      </c>
      <c r="H495" t="str">
        <f>IF(G495="","",IFERROR(VLOOKUP(G495,TERCEROS!A:C,3,0),""))</f>
        <v/>
      </c>
      <c r="I495" s="35"/>
      <c r="L495" s="35" t="str">
        <f>IF(A495="","",SUMIF(OBLIGACION!C:C,A495,OBLIGACION!H:H))</f>
        <v/>
      </c>
      <c r="M495" s="35" t="str">
        <f t="shared" si="15"/>
        <v/>
      </c>
    </row>
    <row r="496" spans="2:13" x14ac:dyDescent="0.3">
      <c r="B496" s="36"/>
      <c r="C496" t="str">
        <f t="shared" si="14"/>
        <v/>
      </c>
      <c r="E496" t="str">
        <f>IF(D496="","",IFERROR(VLOOKUP(D496,CDP!A:C,3,0),""))</f>
        <v/>
      </c>
      <c r="F496" t="str">
        <f>IF(D496="","",IFERROR(VLOOKUP(D496,CDP!A:D,4,0),""))</f>
        <v/>
      </c>
      <c r="H496" t="str">
        <f>IF(G496="","",IFERROR(VLOOKUP(G496,TERCEROS!A:C,3,0),""))</f>
        <v/>
      </c>
      <c r="I496" s="35"/>
      <c r="L496" s="35" t="str">
        <f>IF(A496="","",SUMIF(OBLIGACION!C:C,A496,OBLIGACION!H:H))</f>
        <v/>
      </c>
      <c r="M496" s="35" t="str">
        <f t="shared" si="15"/>
        <v/>
      </c>
    </row>
    <row r="497" spans="2:13" x14ac:dyDescent="0.3">
      <c r="B497" s="36"/>
      <c r="C497" t="str">
        <f t="shared" si="14"/>
        <v/>
      </c>
      <c r="E497" t="str">
        <f>IF(D497="","",IFERROR(VLOOKUP(D497,CDP!A:C,3,0),""))</f>
        <v/>
      </c>
      <c r="F497" t="str">
        <f>IF(D497="","",IFERROR(VLOOKUP(D497,CDP!A:D,4,0),""))</f>
        <v/>
      </c>
      <c r="H497" t="str">
        <f>IF(G497="","",IFERROR(VLOOKUP(G497,TERCEROS!A:C,3,0),""))</f>
        <v/>
      </c>
      <c r="I497" s="35"/>
      <c r="L497" s="35" t="str">
        <f>IF(A497="","",SUMIF(OBLIGACION!C:C,A497,OBLIGACION!H:H))</f>
        <v/>
      </c>
      <c r="M497" s="35" t="str">
        <f t="shared" si="15"/>
        <v/>
      </c>
    </row>
    <row r="498" spans="2:13" x14ac:dyDescent="0.3">
      <c r="B498" s="36"/>
      <c r="C498" t="str">
        <f t="shared" si="14"/>
        <v/>
      </c>
      <c r="E498" t="str">
        <f>IF(D498="","",IFERROR(VLOOKUP(D498,CDP!A:C,3,0),""))</f>
        <v/>
      </c>
      <c r="F498" t="str">
        <f>IF(D498="","",IFERROR(VLOOKUP(D498,CDP!A:D,4,0),""))</f>
        <v/>
      </c>
      <c r="H498" t="str">
        <f>IF(G498="","",IFERROR(VLOOKUP(G498,TERCEROS!A:C,3,0),""))</f>
        <v/>
      </c>
      <c r="I498" s="35"/>
      <c r="L498" s="35" t="str">
        <f>IF(A498="","",SUMIF(OBLIGACION!C:C,A498,OBLIGACION!H:H))</f>
        <v/>
      </c>
      <c r="M498" s="35" t="str">
        <f t="shared" si="15"/>
        <v/>
      </c>
    </row>
    <row r="499" spans="2:13" x14ac:dyDescent="0.3">
      <c r="B499" s="36"/>
      <c r="C499" t="str">
        <f t="shared" si="14"/>
        <v/>
      </c>
      <c r="E499" t="str">
        <f>IF(D499="","",IFERROR(VLOOKUP(D499,CDP!A:C,3,0),""))</f>
        <v/>
      </c>
      <c r="F499" t="str">
        <f>IF(D499="","",IFERROR(VLOOKUP(D499,CDP!A:D,4,0),""))</f>
        <v/>
      </c>
      <c r="H499" t="str">
        <f>IF(G499="","",IFERROR(VLOOKUP(G499,TERCEROS!A:C,3,0),""))</f>
        <v/>
      </c>
      <c r="I499" s="35"/>
      <c r="L499" s="35" t="str">
        <f>IF(A499="","",SUMIF(OBLIGACION!C:C,A499,OBLIGACION!H:H))</f>
        <v/>
      </c>
      <c r="M499" s="35" t="str">
        <f t="shared" si="15"/>
        <v/>
      </c>
    </row>
    <row r="500" spans="2:13" x14ac:dyDescent="0.3">
      <c r="B500" s="36"/>
      <c r="C500" t="str">
        <f t="shared" si="14"/>
        <v/>
      </c>
      <c r="E500" t="str">
        <f>IF(D500="","",IFERROR(VLOOKUP(D500,CDP!A:C,3,0),""))</f>
        <v/>
      </c>
      <c r="F500" t="str">
        <f>IF(D500="","",IFERROR(VLOOKUP(D500,CDP!A:D,4,0),""))</f>
        <v/>
      </c>
      <c r="H500" t="str">
        <f>IF(G500="","",IFERROR(VLOOKUP(G500,TERCEROS!A:C,3,0),""))</f>
        <v/>
      </c>
      <c r="I500" s="35"/>
      <c r="L500" s="35" t="str">
        <f>IF(A500="","",SUMIF(OBLIGACION!C:C,A500,OBLIGACION!H:H))</f>
        <v/>
      </c>
      <c r="M500" s="35" t="str">
        <f t="shared" si="15"/>
        <v/>
      </c>
    </row>
    <row r="501" spans="2:13" x14ac:dyDescent="0.3">
      <c r="B501" s="36"/>
      <c r="I501" s="35"/>
      <c r="L501" s="35"/>
      <c r="M501" s="35"/>
    </row>
    <row r="502" spans="2:13" x14ac:dyDescent="0.3">
      <c r="B502" s="36"/>
      <c r="I502" s="35"/>
      <c r="L502" s="35"/>
      <c r="M502" s="35"/>
    </row>
    <row r="503" spans="2:13" x14ac:dyDescent="0.3">
      <c r="B503" s="36"/>
      <c r="I503" s="35"/>
      <c r="L503" s="35"/>
      <c r="M503" s="35"/>
    </row>
    <row r="504" spans="2:13" x14ac:dyDescent="0.3">
      <c r="B504" s="36"/>
      <c r="I504" s="35"/>
      <c r="L504" s="35"/>
      <c r="M504" s="35"/>
    </row>
    <row r="505" spans="2:13" x14ac:dyDescent="0.3">
      <c r="B505" s="36"/>
      <c r="I505" s="35"/>
      <c r="L505" s="35"/>
      <c r="M505" s="35"/>
    </row>
    <row r="506" spans="2:13" x14ac:dyDescent="0.3">
      <c r="B506" s="36"/>
      <c r="I506" s="35"/>
      <c r="L506" s="35"/>
      <c r="M506" s="35"/>
    </row>
    <row r="507" spans="2:13" x14ac:dyDescent="0.3">
      <c r="B507" s="36"/>
      <c r="I507" s="35"/>
      <c r="L507" s="35"/>
      <c r="M507" s="35"/>
    </row>
    <row r="508" spans="2:13" x14ac:dyDescent="0.3">
      <c r="B508" s="36"/>
      <c r="I508" s="35"/>
      <c r="L508" s="35"/>
      <c r="M508" s="35"/>
    </row>
    <row r="509" spans="2:13" x14ac:dyDescent="0.3">
      <c r="B509" s="36"/>
      <c r="I509" s="35"/>
      <c r="L509" s="35"/>
      <c r="M509" s="35"/>
    </row>
    <row r="510" spans="2:13" x14ac:dyDescent="0.3">
      <c r="B510" s="36"/>
      <c r="I510" s="35"/>
      <c r="L510" s="35"/>
      <c r="M510" s="35"/>
    </row>
    <row r="511" spans="2:13" x14ac:dyDescent="0.3">
      <c r="B511" s="36"/>
      <c r="I511" s="35"/>
      <c r="L511" s="35"/>
      <c r="M511" s="35"/>
    </row>
    <row r="512" spans="2:13" x14ac:dyDescent="0.3">
      <c r="B512" s="36"/>
      <c r="I512" s="35"/>
      <c r="L512" s="35"/>
      <c r="M512" s="35"/>
    </row>
    <row r="513" spans="2:13" x14ac:dyDescent="0.3">
      <c r="B513" s="36"/>
      <c r="I513" s="35"/>
      <c r="L513" s="35"/>
      <c r="M513" s="35"/>
    </row>
    <row r="514" spans="2:13" x14ac:dyDescent="0.3">
      <c r="B514" s="36"/>
      <c r="I514" s="35"/>
      <c r="L514" s="35"/>
      <c r="M514" s="35"/>
    </row>
    <row r="515" spans="2:13" x14ac:dyDescent="0.3">
      <c r="B515" s="36"/>
      <c r="I515" s="35"/>
      <c r="L515" s="35"/>
      <c r="M515" s="35"/>
    </row>
    <row r="516" spans="2:13" x14ac:dyDescent="0.3">
      <c r="B516" s="36"/>
      <c r="I516" s="35"/>
      <c r="L516" s="35"/>
      <c r="M516" s="35"/>
    </row>
    <row r="517" spans="2:13" x14ac:dyDescent="0.3">
      <c r="B517" s="36"/>
      <c r="I517" s="35"/>
      <c r="L517" s="35"/>
      <c r="M517" s="35"/>
    </row>
    <row r="518" spans="2:13" x14ac:dyDescent="0.3">
      <c r="B518" s="36"/>
      <c r="I518" s="35"/>
      <c r="L518" s="35"/>
      <c r="M518" s="35"/>
    </row>
    <row r="519" spans="2:13" x14ac:dyDescent="0.3">
      <c r="B519" s="36"/>
      <c r="I519" s="35"/>
      <c r="L519" s="35"/>
      <c r="M519" s="35"/>
    </row>
    <row r="520" spans="2:13" x14ac:dyDescent="0.3">
      <c r="B520" s="36"/>
      <c r="I520" s="35"/>
      <c r="L520" s="35"/>
      <c r="M520" s="35"/>
    </row>
    <row r="521" spans="2:13" x14ac:dyDescent="0.3">
      <c r="B521" s="36"/>
      <c r="I521" s="35"/>
      <c r="L521" s="35"/>
      <c r="M521" s="35"/>
    </row>
    <row r="522" spans="2:13" x14ac:dyDescent="0.3">
      <c r="B522" s="36"/>
      <c r="I522" s="35"/>
      <c r="L522" s="35"/>
      <c r="M522" s="35"/>
    </row>
    <row r="523" spans="2:13" x14ac:dyDescent="0.3">
      <c r="B523" s="36"/>
      <c r="I523" s="35"/>
      <c r="L523" s="35"/>
      <c r="M523" s="35"/>
    </row>
    <row r="524" spans="2:13" x14ac:dyDescent="0.3">
      <c r="B524" s="36"/>
      <c r="I524" s="35"/>
      <c r="L524" s="35"/>
      <c r="M524" s="35"/>
    </row>
    <row r="525" spans="2:13" x14ac:dyDescent="0.3">
      <c r="B525" s="36"/>
      <c r="I525" s="35"/>
      <c r="L525" s="35"/>
      <c r="M525" s="35"/>
    </row>
    <row r="526" spans="2:13" x14ac:dyDescent="0.3">
      <c r="B526" s="36"/>
      <c r="I526" s="35"/>
      <c r="L526" s="35"/>
      <c r="M526" s="35"/>
    </row>
    <row r="527" spans="2:13" x14ac:dyDescent="0.3">
      <c r="B527" s="36"/>
      <c r="I527" s="35"/>
      <c r="L527" s="35"/>
      <c r="M527" s="35"/>
    </row>
    <row r="528" spans="2:13" x14ac:dyDescent="0.3">
      <c r="B528" s="36"/>
      <c r="I528" s="35"/>
      <c r="L528" s="35"/>
      <c r="M528" s="35"/>
    </row>
    <row r="529" spans="2:13" x14ac:dyDescent="0.3">
      <c r="B529" s="36"/>
      <c r="I529" s="35"/>
      <c r="L529" s="35"/>
      <c r="M529" s="35"/>
    </row>
    <row r="530" spans="2:13" x14ac:dyDescent="0.3">
      <c r="B530" s="36"/>
      <c r="I530" s="35"/>
      <c r="L530" s="35"/>
      <c r="M530" s="35"/>
    </row>
    <row r="531" spans="2:13" x14ac:dyDescent="0.3">
      <c r="B531" s="36"/>
      <c r="I531" s="35"/>
      <c r="L531" s="35"/>
      <c r="M531" s="35"/>
    </row>
    <row r="532" spans="2:13" x14ac:dyDescent="0.3">
      <c r="B532" s="36"/>
      <c r="I532" s="35"/>
      <c r="L532" s="35"/>
      <c r="M532" s="35"/>
    </row>
    <row r="533" spans="2:13" x14ac:dyDescent="0.3">
      <c r="B533" s="36"/>
      <c r="I533" s="35"/>
      <c r="L533" s="35"/>
      <c r="M533" s="35"/>
    </row>
    <row r="534" spans="2:13" x14ac:dyDescent="0.3">
      <c r="B534" s="36"/>
      <c r="I534" s="35"/>
      <c r="L534" s="35"/>
      <c r="M534" s="35"/>
    </row>
    <row r="535" spans="2:13" x14ac:dyDescent="0.3">
      <c r="B535" s="36"/>
      <c r="I535" s="35"/>
      <c r="L535" s="35"/>
      <c r="M535" s="35"/>
    </row>
    <row r="536" spans="2:13" x14ac:dyDescent="0.3">
      <c r="B536" s="36"/>
      <c r="I536" s="35"/>
      <c r="L536" s="35"/>
      <c r="M536" s="35"/>
    </row>
    <row r="537" spans="2:13" x14ac:dyDescent="0.3">
      <c r="B537" s="36"/>
      <c r="I537" s="35"/>
      <c r="L537" s="35"/>
      <c r="M537" s="35"/>
    </row>
    <row r="538" spans="2:13" x14ac:dyDescent="0.3">
      <c r="B538" s="36"/>
      <c r="I538" s="35"/>
      <c r="L538" s="35"/>
      <c r="M538" s="35"/>
    </row>
    <row r="539" spans="2:13" x14ac:dyDescent="0.3">
      <c r="B539" s="36"/>
      <c r="I539" s="35"/>
      <c r="L539" s="35"/>
      <c r="M539" s="35"/>
    </row>
    <row r="540" spans="2:13" x14ac:dyDescent="0.3">
      <c r="B540" s="36"/>
      <c r="I540" s="35"/>
      <c r="L540" s="35"/>
      <c r="M540" s="35"/>
    </row>
    <row r="541" spans="2:13" x14ac:dyDescent="0.3">
      <c r="B541" s="36"/>
      <c r="I541" s="35"/>
      <c r="L541" s="35"/>
      <c r="M541" s="35"/>
    </row>
    <row r="542" spans="2:13" x14ac:dyDescent="0.3">
      <c r="B542" s="36"/>
      <c r="I542" s="35"/>
      <c r="L542" s="35"/>
      <c r="M542" s="35"/>
    </row>
    <row r="543" spans="2:13" x14ac:dyDescent="0.3">
      <c r="B543" s="36"/>
      <c r="I543" s="35"/>
      <c r="L543" s="35"/>
      <c r="M543" s="35"/>
    </row>
    <row r="544" spans="2:13" x14ac:dyDescent="0.3">
      <c r="B544" s="36"/>
      <c r="I544" s="35"/>
      <c r="L544" s="35"/>
      <c r="M544" s="35"/>
    </row>
    <row r="545" spans="2:13" x14ac:dyDescent="0.3">
      <c r="B545" s="36"/>
      <c r="I545" s="35"/>
      <c r="L545" s="35"/>
      <c r="M545" s="35"/>
    </row>
    <row r="546" spans="2:13" x14ac:dyDescent="0.3">
      <c r="B546" s="36"/>
      <c r="I546" s="35"/>
      <c r="L546" s="35"/>
      <c r="M546" s="35"/>
    </row>
    <row r="547" spans="2:13" x14ac:dyDescent="0.3">
      <c r="B547" s="36"/>
      <c r="I547" s="35"/>
      <c r="L547" s="35"/>
      <c r="M547" s="35"/>
    </row>
    <row r="548" spans="2:13" x14ac:dyDescent="0.3">
      <c r="B548" s="36"/>
      <c r="I548" s="35"/>
      <c r="L548" s="35"/>
      <c r="M548" s="35"/>
    </row>
    <row r="549" spans="2:13" x14ac:dyDescent="0.3">
      <c r="B549" s="36"/>
      <c r="I549" s="35"/>
      <c r="L549" s="35"/>
      <c r="M549" s="35"/>
    </row>
    <row r="550" spans="2:13" x14ac:dyDescent="0.3">
      <c r="B550" s="36"/>
      <c r="I550" s="35"/>
      <c r="L550" s="35"/>
      <c r="M550" s="35"/>
    </row>
    <row r="551" spans="2:13" x14ac:dyDescent="0.3">
      <c r="B551" s="36"/>
      <c r="I551" s="35"/>
      <c r="L551" s="35"/>
      <c r="M551" s="35"/>
    </row>
    <row r="552" spans="2:13" x14ac:dyDescent="0.3">
      <c r="B552" s="36"/>
      <c r="I552" s="35"/>
      <c r="L552" s="35"/>
      <c r="M552" s="35"/>
    </row>
    <row r="553" spans="2:13" x14ac:dyDescent="0.3">
      <c r="B553" s="36"/>
      <c r="I553" s="35"/>
      <c r="L553" s="35"/>
      <c r="M553" s="35"/>
    </row>
    <row r="554" spans="2:13" x14ac:dyDescent="0.3">
      <c r="B554" s="36"/>
      <c r="I554" s="35"/>
      <c r="L554" s="35"/>
      <c r="M554" s="35"/>
    </row>
    <row r="555" spans="2:13" x14ac:dyDescent="0.3">
      <c r="B555" s="36"/>
      <c r="I555" s="35"/>
      <c r="L555" s="35"/>
      <c r="M555" s="35"/>
    </row>
    <row r="556" spans="2:13" x14ac:dyDescent="0.3">
      <c r="B556" s="36"/>
      <c r="I556" s="35"/>
      <c r="L556" s="35"/>
      <c r="M556" s="35"/>
    </row>
    <row r="557" spans="2:13" x14ac:dyDescent="0.3">
      <c r="B557" s="36"/>
      <c r="I557" s="35"/>
      <c r="L557" s="35"/>
      <c r="M557" s="35"/>
    </row>
    <row r="558" spans="2:13" x14ac:dyDescent="0.3">
      <c r="B558" s="36"/>
      <c r="I558" s="35"/>
      <c r="L558" s="35"/>
      <c r="M558" s="35"/>
    </row>
    <row r="559" spans="2:13" x14ac:dyDescent="0.3">
      <c r="B559" s="36"/>
      <c r="I559" s="35"/>
      <c r="L559" s="35"/>
      <c r="M559" s="35"/>
    </row>
    <row r="560" spans="2:13" x14ac:dyDescent="0.3">
      <c r="B560" s="36"/>
      <c r="I560" s="35"/>
      <c r="L560" s="35"/>
      <c r="M560" s="35"/>
    </row>
    <row r="561" spans="2:13" x14ac:dyDescent="0.3">
      <c r="B561" s="36"/>
      <c r="I561" s="35"/>
      <c r="L561" s="35"/>
      <c r="M561" s="35"/>
    </row>
    <row r="562" spans="2:13" x14ac:dyDescent="0.3">
      <c r="B562" s="36"/>
      <c r="I562" s="35"/>
      <c r="L562" s="35"/>
      <c r="M562" s="35"/>
    </row>
    <row r="563" spans="2:13" x14ac:dyDescent="0.3">
      <c r="B563" s="36"/>
      <c r="I563" s="35"/>
      <c r="L563" s="35"/>
      <c r="M563" s="35"/>
    </row>
    <row r="564" spans="2:13" x14ac:dyDescent="0.3">
      <c r="B564" s="36"/>
      <c r="I564" s="35"/>
      <c r="L564" s="35"/>
      <c r="M564" s="35"/>
    </row>
    <row r="565" spans="2:13" x14ac:dyDescent="0.3">
      <c r="B565" s="36"/>
      <c r="I565" s="35"/>
      <c r="L565" s="35"/>
      <c r="M565" s="35"/>
    </row>
    <row r="566" spans="2:13" x14ac:dyDescent="0.3">
      <c r="B566" s="36"/>
      <c r="I566" s="35"/>
      <c r="L566" s="35"/>
      <c r="M566" s="35"/>
    </row>
    <row r="567" spans="2:13" x14ac:dyDescent="0.3">
      <c r="B567" s="36"/>
      <c r="I567" s="35"/>
      <c r="L567" s="35"/>
      <c r="M567" s="35"/>
    </row>
    <row r="568" spans="2:13" x14ac:dyDescent="0.3">
      <c r="B568" s="36"/>
      <c r="I568" s="35"/>
      <c r="L568" s="35"/>
      <c r="M568" s="35"/>
    </row>
    <row r="569" spans="2:13" x14ac:dyDescent="0.3">
      <c r="B569" s="36"/>
      <c r="I569" s="35"/>
      <c r="L569" s="35"/>
      <c r="M569" s="35"/>
    </row>
    <row r="570" spans="2:13" x14ac:dyDescent="0.3">
      <c r="B570" s="36"/>
      <c r="I570" s="35"/>
      <c r="L570" s="35"/>
      <c r="M570" s="35"/>
    </row>
    <row r="571" spans="2:13" x14ac:dyDescent="0.3">
      <c r="B571" s="36"/>
      <c r="I571" s="35"/>
      <c r="L571" s="35"/>
      <c r="M571" s="35"/>
    </row>
    <row r="572" spans="2:13" x14ac:dyDescent="0.3">
      <c r="B572" s="36"/>
      <c r="I572" s="35"/>
      <c r="L572" s="35"/>
      <c r="M572" s="35"/>
    </row>
    <row r="573" spans="2:13" x14ac:dyDescent="0.3">
      <c r="B573" s="36"/>
      <c r="I573" s="35"/>
      <c r="L573" s="35"/>
      <c r="M573" s="35"/>
    </row>
    <row r="574" spans="2:13" x14ac:dyDescent="0.3">
      <c r="B574" s="36"/>
      <c r="I574" s="35"/>
      <c r="L574" s="35"/>
      <c r="M574" s="35"/>
    </row>
    <row r="575" spans="2:13" x14ac:dyDescent="0.3">
      <c r="B575" s="36"/>
      <c r="I575" s="35"/>
      <c r="L575" s="35"/>
      <c r="M575" s="35"/>
    </row>
    <row r="576" spans="2:13" x14ac:dyDescent="0.3">
      <c r="B576" s="36"/>
      <c r="I576" s="35"/>
      <c r="L576" s="35"/>
      <c r="M576" s="35"/>
    </row>
    <row r="577" spans="2:13" x14ac:dyDescent="0.3">
      <c r="B577" s="36"/>
      <c r="I577" s="35"/>
      <c r="L577" s="35"/>
      <c r="M577" s="35"/>
    </row>
    <row r="578" spans="2:13" x14ac:dyDescent="0.3">
      <c r="B578" s="36"/>
      <c r="I578" s="35"/>
      <c r="L578" s="35"/>
      <c r="M578" s="35"/>
    </row>
    <row r="579" spans="2:13" x14ac:dyDescent="0.3">
      <c r="B579" s="36"/>
      <c r="I579" s="35"/>
      <c r="L579" s="35"/>
      <c r="M579" s="35"/>
    </row>
    <row r="580" spans="2:13" x14ac:dyDescent="0.3">
      <c r="B580" s="36"/>
      <c r="I580" s="35"/>
      <c r="L580" s="35"/>
      <c r="M580" s="35"/>
    </row>
    <row r="581" spans="2:13" x14ac:dyDescent="0.3">
      <c r="B581" s="36"/>
      <c r="I581" s="35"/>
      <c r="L581" s="35"/>
      <c r="M581" s="35"/>
    </row>
    <row r="582" spans="2:13" x14ac:dyDescent="0.3">
      <c r="B582" s="36"/>
      <c r="I582" s="35"/>
      <c r="L582" s="35"/>
      <c r="M582" s="35"/>
    </row>
    <row r="583" spans="2:13" x14ac:dyDescent="0.3">
      <c r="B583" s="36"/>
      <c r="I583" s="35"/>
      <c r="L583" s="35"/>
      <c r="M583" s="35"/>
    </row>
    <row r="584" spans="2:13" x14ac:dyDescent="0.3">
      <c r="B584" s="36"/>
      <c r="I584" s="35"/>
      <c r="L584" s="35"/>
      <c r="M584" s="35"/>
    </row>
    <row r="585" spans="2:13" x14ac:dyDescent="0.3">
      <c r="B585" s="36"/>
      <c r="I585" s="35"/>
      <c r="L585" s="35"/>
      <c r="M585" s="35"/>
    </row>
    <row r="586" spans="2:13" x14ac:dyDescent="0.3">
      <c r="B586" s="36"/>
      <c r="I586" s="35"/>
      <c r="L586" s="35"/>
      <c r="M586" s="35"/>
    </row>
    <row r="587" spans="2:13" x14ac:dyDescent="0.3">
      <c r="B587" s="36"/>
      <c r="I587" s="35"/>
      <c r="L587" s="35"/>
      <c r="M587" s="35"/>
    </row>
    <row r="588" spans="2:13" x14ac:dyDescent="0.3">
      <c r="B588" s="36"/>
      <c r="I588" s="35"/>
      <c r="L588" s="35"/>
      <c r="M588" s="35"/>
    </row>
    <row r="589" spans="2:13" x14ac:dyDescent="0.3">
      <c r="B589" s="36"/>
      <c r="I589" s="35"/>
      <c r="L589" s="35"/>
      <c r="M589" s="35"/>
    </row>
    <row r="590" spans="2:13" x14ac:dyDescent="0.3">
      <c r="B590" s="36"/>
      <c r="I590" s="35"/>
      <c r="L590" s="35"/>
      <c r="M590" s="35"/>
    </row>
    <row r="591" spans="2:13" x14ac:dyDescent="0.3">
      <c r="B591" s="36"/>
      <c r="I591" s="35"/>
      <c r="L591" s="35"/>
      <c r="M591" s="35"/>
    </row>
    <row r="592" spans="2:13" x14ac:dyDescent="0.3">
      <c r="B592" s="36"/>
      <c r="I592" s="35"/>
      <c r="L592" s="35"/>
      <c r="M592" s="35"/>
    </row>
    <row r="593" spans="2:13" x14ac:dyDescent="0.3">
      <c r="B593" s="36"/>
      <c r="I593" s="35"/>
      <c r="L593" s="35"/>
      <c r="M593" s="35"/>
    </row>
    <row r="594" spans="2:13" x14ac:dyDescent="0.3">
      <c r="B594" s="36"/>
      <c r="I594" s="35"/>
      <c r="L594" s="35"/>
      <c r="M594" s="35"/>
    </row>
    <row r="595" spans="2:13" x14ac:dyDescent="0.3">
      <c r="B595" s="36"/>
      <c r="I595" s="35"/>
      <c r="L595" s="35"/>
      <c r="M595" s="35"/>
    </row>
    <row r="596" spans="2:13" x14ac:dyDescent="0.3">
      <c r="B596" s="36"/>
      <c r="I596" s="35"/>
      <c r="L596" s="35"/>
      <c r="M596" s="35"/>
    </row>
    <row r="597" spans="2:13" x14ac:dyDescent="0.3">
      <c r="B597" s="36"/>
      <c r="I597" s="35"/>
      <c r="L597" s="35"/>
      <c r="M597" s="35"/>
    </row>
    <row r="598" spans="2:13" x14ac:dyDescent="0.3">
      <c r="B598" s="36"/>
      <c r="I598" s="35"/>
      <c r="L598" s="35"/>
      <c r="M598" s="35"/>
    </row>
    <row r="599" spans="2:13" x14ac:dyDescent="0.3">
      <c r="B599" s="36"/>
      <c r="I599" s="35"/>
      <c r="L599" s="35"/>
      <c r="M599" s="35"/>
    </row>
    <row r="600" spans="2:13" x14ac:dyDescent="0.3">
      <c r="B600" s="36"/>
      <c r="I600" s="35"/>
      <c r="L600" s="35"/>
      <c r="M600" s="35"/>
    </row>
    <row r="601" spans="2:13" x14ac:dyDescent="0.3">
      <c r="B601" s="36"/>
      <c r="I601" s="35"/>
      <c r="L601" s="35"/>
      <c r="M601" s="35"/>
    </row>
    <row r="602" spans="2:13" x14ac:dyDescent="0.3">
      <c r="B602" s="36"/>
      <c r="I602" s="35"/>
      <c r="L602" s="35"/>
      <c r="M602" s="35"/>
    </row>
    <row r="603" spans="2:13" x14ac:dyDescent="0.3">
      <c r="B603" s="36"/>
      <c r="I603" s="35"/>
      <c r="L603" s="35"/>
      <c r="M603" s="35"/>
    </row>
    <row r="604" spans="2:13" x14ac:dyDescent="0.3">
      <c r="B604" s="36"/>
      <c r="I604" s="35"/>
      <c r="L604" s="35"/>
      <c r="M604" s="35"/>
    </row>
    <row r="605" spans="2:13" x14ac:dyDescent="0.3">
      <c r="B605" s="36"/>
      <c r="I605" s="35"/>
      <c r="L605" s="35"/>
      <c r="M605" s="35"/>
    </row>
    <row r="606" spans="2:13" x14ac:dyDescent="0.3">
      <c r="B606" s="36"/>
      <c r="I606" s="35"/>
      <c r="L606" s="35"/>
      <c r="M606" s="35"/>
    </row>
    <row r="607" spans="2:13" x14ac:dyDescent="0.3">
      <c r="B607" s="36"/>
      <c r="I607" s="35"/>
      <c r="L607" s="35"/>
      <c r="M607" s="35"/>
    </row>
    <row r="608" spans="2:13" x14ac:dyDescent="0.3">
      <c r="B608" s="36"/>
      <c r="I608" s="35"/>
      <c r="L608" s="35"/>
      <c r="M608" s="35"/>
    </row>
    <row r="609" spans="2:13" x14ac:dyDescent="0.3">
      <c r="B609" s="36"/>
      <c r="I609" s="35"/>
      <c r="L609" s="35"/>
      <c r="M609" s="35"/>
    </row>
    <row r="610" spans="2:13" x14ac:dyDescent="0.3">
      <c r="B610" s="36"/>
      <c r="I610" s="35"/>
      <c r="L610" s="35"/>
      <c r="M610" s="35"/>
    </row>
    <row r="611" spans="2:13" x14ac:dyDescent="0.3">
      <c r="B611" s="36"/>
      <c r="I611" s="35"/>
      <c r="L611" s="35"/>
      <c r="M611" s="35"/>
    </row>
    <row r="612" spans="2:13" x14ac:dyDescent="0.3">
      <c r="B612" s="36"/>
      <c r="I612" s="35"/>
      <c r="L612" s="35"/>
      <c r="M612" s="35"/>
    </row>
    <row r="613" spans="2:13" x14ac:dyDescent="0.3">
      <c r="B613" s="36"/>
      <c r="I613" s="35"/>
      <c r="L613" s="35"/>
      <c r="M613" s="35"/>
    </row>
    <row r="614" spans="2:13" x14ac:dyDescent="0.3">
      <c r="B614" s="36"/>
      <c r="I614" s="35"/>
      <c r="L614" s="35"/>
      <c r="M614" s="35"/>
    </row>
    <row r="615" spans="2:13" x14ac:dyDescent="0.3">
      <c r="B615" s="36"/>
      <c r="I615" s="35"/>
      <c r="L615" s="35"/>
      <c r="M615" s="35"/>
    </row>
    <row r="616" spans="2:13" x14ac:dyDescent="0.3">
      <c r="B616" s="36"/>
      <c r="I616" s="35"/>
      <c r="L616" s="35"/>
      <c r="M616" s="35"/>
    </row>
    <row r="617" spans="2:13" x14ac:dyDescent="0.3">
      <c r="B617" s="36"/>
      <c r="I617" s="35"/>
      <c r="L617" s="35"/>
      <c r="M617" s="35"/>
    </row>
    <row r="618" spans="2:13" x14ac:dyDescent="0.3">
      <c r="B618" s="36"/>
      <c r="I618" s="35"/>
      <c r="L618" s="35"/>
      <c r="M618" s="35"/>
    </row>
    <row r="619" spans="2:13" x14ac:dyDescent="0.3">
      <c r="B619" s="36"/>
      <c r="I619" s="35"/>
      <c r="L619" s="35"/>
      <c r="M619" s="35"/>
    </row>
    <row r="620" spans="2:13" x14ac:dyDescent="0.3">
      <c r="B620" s="36"/>
      <c r="I620" s="35"/>
      <c r="L620" s="35"/>
      <c r="M620" s="35"/>
    </row>
    <row r="621" spans="2:13" x14ac:dyDescent="0.3">
      <c r="B621" s="36"/>
      <c r="I621" s="35"/>
      <c r="L621" s="35"/>
      <c r="M621" s="35"/>
    </row>
    <row r="622" spans="2:13" x14ac:dyDescent="0.3">
      <c r="B622" s="36"/>
      <c r="I622" s="35"/>
      <c r="L622" s="35"/>
      <c r="M622" s="35"/>
    </row>
    <row r="623" spans="2:13" x14ac:dyDescent="0.3">
      <c r="B623" s="36"/>
      <c r="I623" s="35"/>
      <c r="L623" s="35"/>
      <c r="M623" s="35"/>
    </row>
    <row r="624" spans="2:13" x14ac:dyDescent="0.3">
      <c r="B624" s="36"/>
      <c r="I624" s="35"/>
      <c r="L624" s="35"/>
      <c r="M624" s="35"/>
    </row>
    <row r="625" spans="2:13" x14ac:dyDescent="0.3">
      <c r="B625" s="36"/>
      <c r="I625" s="35"/>
      <c r="L625" s="35"/>
      <c r="M625" s="35"/>
    </row>
    <row r="626" spans="2:13" x14ac:dyDescent="0.3">
      <c r="B626" s="36"/>
      <c r="I626" s="35"/>
      <c r="L626" s="35"/>
      <c r="M626" s="35"/>
    </row>
    <row r="627" spans="2:13" x14ac:dyDescent="0.3">
      <c r="B627" s="36"/>
      <c r="I627" s="35"/>
      <c r="L627" s="35"/>
      <c r="M627" s="35"/>
    </row>
    <row r="628" spans="2:13" x14ac:dyDescent="0.3">
      <c r="B628" s="36"/>
      <c r="I628" s="35"/>
      <c r="L628" s="35"/>
      <c r="M628" s="35"/>
    </row>
    <row r="629" spans="2:13" x14ac:dyDescent="0.3">
      <c r="B629" s="36"/>
      <c r="I629" s="35"/>
      <c r="L629" s="35"/>
      <c r="M629" s="35"/>
    </row>
    <row r="630" spans="2:13" x14ac:dyDescent="0.3">
      <c r="B630" s="36"/>
      <c r="I630" s="35"/>
      <c r="L630" s="35"/>
      <c r="M630" s="35"/>
    </row>
    <row r="631" spans="2:13" x14ac:dyDescent="0.3">
      <c r="B631" s="36"/>
      <c r="I631" s="35"/>
      <c r="L631" s="35"/>
      <c r="M631" s="35"/>
    </row>
    <row r="632" spans="2:13" x14ac:dyDescent="0.3">
      <c r="B632" s="36"/>
      <c r="I632" s="35"/>
      <c r="L632" s="35"/>
      <c r="M632" s="35"/>
    </row>
    <row r="633" spans="2:13" x14ac:dyDescent="0.3">
      <c r="B633" s="36"/>
      <c r="I633" s="35"/>
      <c r="L633" s="35"/>
      <c r="M633" s="35"/>
    </row>
    <row r="634" spans="2:13" x14ac:dyDescent="0.3">
      <c r="B634" s="36"/>
      <c r="I634" s="35"/>
      <c r="L634" s="35"/>
      <c r="M634" s="35"/>
    </row>
    <row r="635" spans="2:13" x14ac:dyDescent="0.3">
      <c r="B635" s="36"/>
      <c r="I635" s="35"/>
      <c r="L635" s="35"/>
      <c r="M635" s="35"/>
    </row>
    <row r="636" spans="2:13" x14ac:dyDescent="0.3">
      <c r="B636" s="36"/>
      <c r="I636" s="35"/>
      <c r="L636" s="35"/>
      <c r="M636" s="35"/>
    </row>
    <row r="637" spans="2:13" x14ac:dyDescent="0.3">
      <c r="B637" s="36"/>
      <c r="I637" s="35"/>
      <c r="L637" s="35"/>
      <c r="M637" s="35"/>
    </row>
    <row r="638" spans="2:13" x14ac:dyDescent="0.3">
      <c r="B638" s="36"/>
      <c r="I638" s="35"/>
      <c r="L638" s="35"/>
      <c r="M638" s="35"/>
    </row>
    <row r="639" spans="2:13" x14ac:dyDescent="0.3">
      <c r="B639" s="36"/>
      <c r="I639" s="35"/>
      <c r="L639" s="35"/>
      <c r="M639" s="35"/>
    </row>
    <row r="640" spans="2:13" x14ac:dyDescent="0.3">
      <c r="B640" s="36"/>
      <c r="I640" s="35"/>
      <c r="L640" s="35"/>
      <c r="M640" s="35"/>
    </row>
    <row r="641" spans="2:13" x14ac:dyDescent="0.3">
      <c r="B641" s="36"/>
      <c r="I641" s="35"/>
      <c r="L641" s="35"/>
      <c r="M641" s="35"/>
    </row>
    <row r="642" spans="2:13" x14ac:dyDescent="0.3">
      <c r="B642" s="36"/>
      <c r="I642" s="35"/>
      <c r="L642" s="35"/>
      <c r="M642" s="35"/>
    </row>
    <row r="643" spans="2:13" x14ac:dyDescent="0.3">
      <c r="B643" s="36"/>
      <c r="I643" s="35"/>
      <c r="L643" s="35"/>
      <c r="M643" s="35"/>
    </row>
    <row r="644" spans="2:13" x14ac:dyDescent="0.3">
      <c r="B644" s="36"/>
      <c r="I644" s="35"/>
      <c r="L644" s="35"/>
      <c r="M644" s="35"/>
    </row>
    <row r="645" spans="2:13" x14ac:dyDescent="0.3">
      <c r="B645" s="36"/>
      <c r="I645" s="35"/>
      <c r="L645" s="35"/>
      <c r="M645" s="35"/>
    </row>
    <row r="646" spans="2:13" x14ac:dyDescent="0.3">
      <c r="B646" s="36"/>
      <c r="I646" s="35"/>
      <c r="L646" s="35"/>
      <c r="M646" s="35"/>
    </row>
    <row r="647" spans="2:13" x14ac:dyDescent="0.3">
      <c r="B647" s="36"/>
      <c r="I647" s="35"/>
      <c r="L647" s="35"/>
      <c r="M647" s="35"/>
    </row>
    <row r="648" spans="2:13" x14ac:dyDescent="0.3">
      <c r="B648" s="36"/>
      <c r="I648" s="35"/>
      <c r="L648" s="35"/>
      <c r="M648" s="35"/>
    </row>
    <row r="649" spans="2:13" x14ac:dyDescent="0.3">
      <c r="B649" s="36"/>
      <c r="I649" s="35"/>
      <c r="L649" s="35"/>
      <c r="M649" s="35"/>
    </row>
    <row r="650" spans="2:13" x14ac:dyDescent="0.3">
      <c r="B650" s="36"/>
      <c r="I650" s="35"/>
      <c r="L650" s="35"/>
      <c r="M650" s="35"/>
    </row>
    <row r="651" spans="2:13" x14ac:dyDescent="0.3">
      <c r="B651" s="36"/>
      <c r="I651" s="35"/>
      <c r="L651" s="35"/>
      <c r="M651" s="35"/>
    </row>
    <row r="652" spans="2:13" x14ac:dyDescent="0.3">
      <c r="B652" s="36"/>
      <c r="I652" s="35"/>
      <c r="L652" s="35"/>
      <c r="M652" s="35"/>
    </row>
    <row r="653" spans="2:13" x14ac:dyDescent="0.3">
      <c r="B653" s="36"/>
      <c r="I653" s="35"/>
      <c r="L653" s="35"/>
      <c r="M653" s="35"/>
    </row>
    <row r="654" spans="2:13" x14ac:dyDescent="0.3">
      <c r="B654" s="36"/>
      <c r="I654" s="35"/>
      <c r="L654" s="35"/>
      <c r="M654" s="35"/>
    </row>
    <row r="655" spans="2:13" x14ac:dyDescent="0.3">
      <c r="B655" s="36"/>
      <c r="I655" s="35"/>
      <c r="L655" s="35"/>
      <c r="M655" s="35"/>
    </row>
    <row r="656" spans="2:13" x14ac:dyDescent="0.3">
      <c r="B656" s="36"/>
      <c r="I656" s="35"/>
      <c r="L656" s="35"/>
      <c r="M656" s="35"/>
    </row>
    <row r="657" spans="2:13" x14ac:dyDescent="0.3">
      <c r="B657" s="36"/>
      <c r="I657" s="35"/>
      <c r="L657" s="35"/>
      <c r="M657" s="35"/>
    </row>
    <row r="658" spans="2:13" x14ac:dyDescent="0.3">
      <c r="B658" s="36"/>
      <c r="I658" s="35"/>
      <c r="L658" s="35"/>
      <c r="M658" s="35"/>
    </row>
    <row r="659" spans="2:13" x14ac:dyDescent="0.3">
      <c r="B659" s="36"/>
      <c r="I659" s="35"/>
      <c r="L659" s="35"/>
      <c r="M659" s="35"/>
    </row>
    <row r="660" spans="2:13" x14ac:dyDescent="0.3">
      <c r="B660" s="36"/>
      <c r="I660" s="35"/>
      <c r="L660" s="35"/>
      <c r="M660" s="35"/>
    </row>
    <row r="661" spans="2:13" x14ac:dyDescent="0.3">
      <c r="B661" s="36"/>
      <c r="I661" s="35"/>
      <c r="L661" s="35"/>
      <c r="M661" s="35"/>
    </row>
    <row r="662" spans="2:13" x14ac:dyDescent="0.3">
      <c r="B662" s="36"/>
      <c r="I662" s="35"/>
      <c r="L662" s="35"/>
      <c r="M662" s="35"/>
    </row>
    <row r="663" spans="2:13" x14ac:dyDescent="0.3">
      <c r="B663" s="36"/>
      <c r="I663" s="35"/>
      <c r="L663" s="35"/>
      <c r="M663" s="35"/>
    </row>
    <row r="664" spans="2:13" x14ac:dyDescent="0.3">
      <c r="B664" s="36"/>
      <c r="I664" s="35"/>
      <c r="L664" s="35"/>
      <c r="M664" s="35"/>
    </row>
    <row r="665" spans="2:13" x14ac:dyDescent="0.3">
      <c r="B665" s="36"/>
      <c r="I665" s="35"/>
      <c r="L665" s="35"/>
      <c r="M665" s="35"/>
    </row>
    <row r="666" spans="2:13" x14ac:dyDescent="0.3">
      <c r="B666" s="36"/>
      <c r="I666" s="35"/>
      <c r="L666" s="35"/>
      <c r="M666" s="35"/>
    </row>
    <row r="667" spans="2:13" x14ac:dyDescent="0.3">
      <c r="B667" s="36"/>
      <c r="I667" s="35"/>
      <c r="L667" s="35"/>
      <c r="M667" s="35"/>
    </row>
    <row r="668" spans="2:13" x14ac:dyDescent="0.3">
      <c r="B668" s="36"/>
      <c r="I668" s="35"/>
      <c r="L668" s="35"/>
      <c r="M668" s="35"/>
    </row>
    <row r="669" spans="2:13" x14ac:dyDescent="0.3">
      <c r="B669" s="36"/>
      <c r="I669" s="35"/>
      <c r="L669" s="35"/>
      <c r="M669" s="35"/>
    </row>
    <row r="670" spans="2:13" x14ac:dyDescent="0.3">
      <c r="B670" s="36"/>
      <c r="I670" s="35"/>
      <c r="L670" s="35"/>
      <c r="M670" s="35"/>
    </row>
    <row r="671" spans="2:13" x14ac:dyDescent="0.3">
      <c r="B671" s="36"/>
      <c r="I671" s="35"/>
      <c r="L671" s="35"/>
      <c r="M671" s="35"/>
    </row>
    <row r="672" spans="2:13" x14ac:dyDescent="0.3">
      <c r="B672" s="36"/>
      <c r="I672" s="35"/>
      <c r="L672" s="35"/>
      <c r="M672" s="35"/>
    </row>
    <row r="673" spans="2:13" x14ac:dyDescent="0.3">
      <c r="B673" s="36"/>
      <c r="I673" s="35"/>
      <c r="L673" s="35"/>
      <c r="M673" s="35"/>
    </row>
    <row r="674" spans="2:13" x14ac:dyDescent="0.3">
      <c r="B674" s="36"/>
      <c r="I674" s="35"/>
      <c r="L674" s="35"/>
      <c r="M674" s="35"/>
    </row>
    <row r="675" spans="2:13" x14ac:dyDescent="0.3">
      <c r="B675" s="36"/>
      <c r="I675" s="35"/>
      <c r="L675" s="35"/>
      <c r="M675" s="35"/>
    </row>
    <row r="676" spans="2:13" x14ac:dyDescent="0.3">
      <c r="B676" s="36"/>
      <c r="I676" s="35"/>
      <c r="L676" s="35"/>
      <c r="M676" s="35"/>
    </row>
    <row r="677" spans="2:13" x14ac:dyDescent="0.3">
      <c r="B677" s="36"/>
      <c r="I677" s="35"/>
      <c r="L677" s="35"/>
      <c r="M677" s="35"/>
    </row>
    <row r="678" spans="2:13" x14ac:dyDescent="0.3">
      <c r="B678" s="36"/>
      <c r="I678" s="35"/>
      <c r="L678" s="35"/>
      <c r="M678" s="35"/>
    </row>
    <row r="679" spans="2:13" x14ac:dyDescent="0.3">
      <c r="B679" s="36"/>
      <c r="I679" s="35"/>
      <c r="L679" s="35"/>
      <c r="M679" s="35"/>
    </row>
    <row r="680" spans="2:13" x14ac:dyDescent="0.3">
      <c r="B680" s="36"/>
      <c r="I680" s="35"/>
      <c r="L680" s="35"/>
      <c r="M680" s="35"/>
    </row>
    <row r="681" spans="2:13" x14ac:dyDescent="0.3">
      <c r="B681" s="36"/>
      <c r="I681" s="35"/>
      <c r="L681" s="35"/>
      <c r="M681" s="35"/>
    </row>
    <row r="682" spans="2:13" x14ac:dyDescent="0.3">
      <c r="B682" s="36"/>
      <c r="I682" s="35"/>
      <c r="L682" s="35"/>
      <c r="M682" s="35"/>
    </row>
    <row r="683" spans="2:13" x14ac:dyDescent="0.3">
      <c r="B683" s="36"/>
      <c r="I683" s="35"/>
      <c r="L683" s="35"/>
      <c r="M683" s="35"/>
    </row>
    <row r="684" spans="2:13" x14ac:dyDescent="0.3">
      <c r="B684" s="36"/>
      <c r="I684" s="35"/>
      <c r="L684" s="35"/>
      <c r="M684" s="35"/>
    </row>
    <row r="685" spans="2:13" x14ac:dyDescent="0.3">
      <c r="B685" s="36"/>
      <c r="I685" s="35"/>
      <c r="L685" s="35"/>
      <c r="M685" s="35"/>
    </row>
    <row r="686" spans="2:13" x14ac:dyDescent="0.3">
      <c r="B686" s="36"/>
      <c r="I686" s="35"/>
      <c r="L686" s="35"/>
      <c r="M686" s="35"/>
    </row>
    <row r="687" spans="2:13" x14ac:dyDescent="0.3">
      <c r="B687" s="36"/>
      <c r="I687" s="35"/>
      <c r="L687" s="35"/>
      <c r="M687" s="35"/>
    </row>
    <row r="688" spans="2:13" x14ac:dyDescent="0.3">
      <c r="B688" s="36"/>
      <c r="I688" s="35"/>
      <c r="L688" s="35"/>
      <c r="M688" s="35"/>
    </row>
    <row r="689" spans="2:13" x14ac:dyDescent="0.3">
      <c r="B689" s="36"/>
      <c r="I689" s="35"/>
      <c r="L689" s="35"/>
      <c r="M689" s="35"/>
    </row>
    <row r="690" spans="2:13" x14ac:dyDescent="0.3">
      <c r="B690" s="36"/>
      <c r="I690" s="35"/>
      <c r="L690" s="35"/>
      <c r="M690" s="35"/>
    </row>
    <row r="691" spans="2:13" x14ac:dyDescent="0.3">
      <c r="B691" s="36"/>
      <c r="I691" s="35"/>
      <c r="L691" s="35"/>
      <c r="M691" s="35"/>
    </row>
    <row r="692" spans="2:13" x14ac:dyDescent="0.3">
      <c r="B692" s="36"/>
      <c r="I692" s="35"/>
      <c r="L692" s="35"/>
      <c r="M692" s="35"/>
    </row>
    <row r="693" spans="2:13" x14ac:dyDescent="0.3">
      <c r="B693" s="36"/>
      <c r="I693" s="35"/>
      <c r="L693" s="35"/>
      <c r="M693" s="35"/>
    </row>
    <row r="694" spans="2:13" x14ac:dyDescent="0.3">
      <c r="B694" s="36"/>
      <c r="I694" s="35"/>
      <c r="L694" s="35"/>
      <c r="M694" s="35"/>
    </row>
    <row r="695" spans="2:13" x14ac:dyDescent="0.3">
      <c r="B695" s="36"/>
      <c r="I695" s="35"/>
      <c r="L695" s="35"/>
      <c r="M695" s="35"/>
    </row>
    <row r="696" spans="2:13" x14ac:dyDescent="0.3">
      <c r="B696" s="36"/>
      <c r="I696" s="35"/>
      <c r="L696" s="35"/>
      <c r="M696" s="35"/>
    </row>
    <row r="697" spans="2:13" x14ac:dyDescent="0.3">
      <c r="B697" s="36"/>
      <c r="I697" s="35"/>
      <c r="L697" s="35"/>
      <c r="M697" s="35"/>
    </row>
    <row r="698" spans="2:13" x14ac:dyDescent="0.3">
      <c r="B698" s="36"/>
      <c r="I698" s="35"/>
      <c r="L698" s="35"/>
      <c r="M698" s="35"/>
    </row>
    <row r="699" spans="2:13" x14ac:dyDescent="0.3">
      <c r="B699" s="36"/>
      <c r="I699" s="35"/>
      <c r="L699" s="35"/>
      <c r="M699" s="35"/>
    </row>
    <row r="700" spans="2:13" x14ac:dyDescent="0.3">
      <c r="B700" s="36"/>
      <c r="I700" s="35"/>
      <c r="L700" s="35"/>
      <c r="M700" s="35"/>
    </row>
    <row r="701" spans="2:13" x14ac:dyDescent="0.3">
      <c r="B701" s="36"/>
      <c r="I701" s="35"/>
      <c r="L701" s="35"/>
      <c r="M701" s="35"/>
    </row>
    <row r="702" spans="2:13" x14ac:dyDescent="0.3">
      <c r="B702" s="36"/>
      <c r="I702" s="35"/>
      <c r="L702" s="35"/>
      <c r="M702" s="35"/>
    </row>
    <row r="703" spans="2:13" x14ac:dyDescent="0.3">
      <c r="B703" s="36"/>
      <c r="I703" s="35"/>
      <c r="L703" s="35"/>
      <c r="M703" s="35"/>
    </row>
    <row r="704" spans="2:13" x14ac:dyDescent="0.3">
      <c r="B704" s="36"/>
      <c r="I704" s="35"/>
      <c r="L704" s="35"/>
      <c r="M704" s="35"/>
    </row>
    <row r="705" spans="2:13" x14ac:dyDescent="0.3">
      <c r="B705" s="36"/>
      <c r="I705" s="35"/>
      <c r="L705" s="35"/>
      <c r="M705" s="35"/>
    </row>
    <row r="706" spans="2:13" x14ac:dyDescent="0.3">
      <c r="B706" s="36"/>
      <c r="I706" s="35"/>
      <c r="L706" s="35"/>
      <c r="M706" s="35"/>
    </row>
    <row r="707" spans="2:13" x14ac:dyDescent="0.3">
      <c r="B707" s="36"/>
      <c r="I707" s="35"/>
      <c r="L707" s="35"/>
      <c r="M707" s="35"/>
    </row>
    <row r="708" spans="2:13" x14ac:dyDescent="0.3">
      <c r="B708" s="36"/>
      <c r="I708" s="35"/>
      <c r="L708" s="35"/>
      <c r="M708" s="35"/>
    </row>
    <row r="709" spans="2:13" x14ac:dyDescent="0.3">
      <c r="B709" s="36"/>
      <c r="I709" s="35"/>
      <c r="L709" s="35"/>
      <c r="M709" s="35"/>
    </row>
    <row r="710" spans="2:13" x14ac:dyDescent="0.3">
      <c r="B710" s="36"/>
      <c r="I710" s="35"/>
      <c r="L710" s="35"/>
      <c r="M710" s="35"/>
    </row>
    <row r="711" spans="2:13" x14ac:dyDescent="0.3">
      <c r="B711" s="36"/>
      <c r="I711" s="35"/>
      <c r="L711" s="35"/>
      <c r="M711" s="35"/>
    </row>
    <row r="712" spans="2:13" x14ac:dyDescent="0.3">
      <c r="B712" s="36"/>
      <c r="I712" s="35"/>
      <c r="L712" s="35"/>
      <c r="M712" s="35"/>
    </row>
    <row r="713" spans="2:13" x14ac:dyDescent="0.3">
      <c r="B713" s="36"/>
      <c r="I713" s="35"/>
      <c r="L713" s="35"/>
      <c r="M713" s="35"/>
    </row>
    <row r="714" spans="2:13" x14ac:dyDescent="0.3">
      <c r="B714" s="36"/>
      <c r="I714" s="35"/>
      <c r="L714" s="35"/>
      <c r="M714" s="35"/>
    </row>
    <row r="715" spans="2:13" x14ac:dyDescent="0.3">
      <c r="B715" s="36"/>
      <c r="I715" s="35"/>
      <c r="L715" s="35"/>
      <c r="M715" s="35"/>
    </row>
    <row r="716" spans="2:13" x14ac:dyDescent="0.3">
      <c r="B716" s="36"/>
      <c r="I716" s="35"/>
      <c r="L716" s="35"/>
      <c r="M716" s="35"/>
    </row>
    <row r="717" spans="2:13" x14ac:dyDescent="0.3">
      <c r="B717" s="36"/>
      <c r="I717" s="35"/>
      <c r="L717" s="35"/>
      <c r="M717" s="35"/>
    </row>
    <row r="718" spans="2:13" x14ac:dyDescent="0.3">
      <c r="B718" s="36"/>
      <c r="I718" s="35"/>
      <c r="L718" s="35"/>
      <c r="M718" s="35"/>
    </row>
    <row r="719" spans="2:13" x14ac:dyDescent="0.3">
      <c r="B719" s="36"/>
      <c r="I719" s="35"/>
      <c r="L719" s="35"/>
      <c r="M719" s="35"/>
    </row>
    <row r="720" spans="2:13" x14ac:dyDescent="0.3">
      <c r="B720" s="36"/>
      <c r="I720" s="35"/>
      <c r="L720" s="35"/>
      <c r="M720" s="35"/>
    </row>
    <row r="721" spans="2:13" x14ac:dyDescent="0.3">
      <c r="B721" s="36"/>
      <c r="I721" s="35"/>
      <c r="L721" s="35"/>
      <c r="M721" s="35"/>
    </row>
    <row r="722" spans="2:13" x14ac:dyDescent="0.3">
      <c r="B722" s="36"/>
      <c r="I722" s="35"/>
      <c r="L722" s="35"/>
      <c r="M722" s="35"/>
    </row>
    <row r="723" spans="2:13" x14ac:dyDescent="0.3">
      <c r="B723" s="36"/>
      <c r="I723" s="35"/>
      <c r="L723" s="35"/>
      <c r="M723" s="35"/>
    </row>
    <row r="724" spans="2:13" x14ac:dyDescent="0.3">
      <c r="B724" s="36"/>
      <c r="I724" s="35"/>
      <c r="L724" s="35"/>
      <c r="M724" s="35"/>
    </row>
    <row r="725" spans="2:13" x14ac:dyDescent="0.3">
      <c r="B725" s="36"/>
      <c r="I725" s="35"/>
      <c r="L725" s="35"/>
      <c r="M725" s="35"/>
    </row>
    <row r="726" spans="2:13" x14ac:dyDescent="0.3">
      <c r="B726" s="36"/>
      <c r="I726" s="35"/>
      <c r="L726" s="35"/>
      <c r="M726" s="35"/>
    </row>
    <row r="727" spans="2:13" x14ac:dyDescent="0.3">
      <c r="B727" s="36"/>
      <c r="I727" s="35"/>
      <c r="L727" s="35"/>
      <c r="M727" s="35"/>
    </row>
    <row r="728" spans="2:13" x14ac:dyDescent="0.3">
      <c r="B728" s="36"/>
      <c r="I728" s="35"/>
      <c r="L728" s="35"/>
      <c r="M728" s="35"/>
    </row>
    <row r="729" spans="2:13" x14ac:dyDescent="0.3">
      <c r="B729" s="36"/>
      <c r="I729" s="35"/>
      <c r="L729" s="35"/>
      <c r="M729" s="35"/>
    </row>
    <row r="730" spans="2:13" x14ac:dyDescent="0.3">
      <c r="B730" s="36"/>
      <c r="I730" s="35"/>
      <c r="L730" s="35"/>
      <c r="M730" s="35"/>
    </row>
    <row r="731" spans="2:13" x14ac:dyDescent="0.3">
      <c r="B731" s="36"/>
      <c r="I731" s="35"/>
      <c r="L731" s="35"/>
      <c r="M731" s="35"/>
    </row>
    <row r="732" spans="2:13" x14ac:dyDescent="0.3">
      <c r="B732" s="36"/>
      <c r="I732" s="35"/>
      <c r="L732" s="35"/>
      <c r="M732" s="35"/>
    </row>
    <row r="733" spans="2:13" x14ac:dyDescent="0.3">
      <c r="B733" s="36"/>
      <c r="I733" s="35"/>
      <c r="L733" s="35"/>
      <c r="M733" s="35"/>
    </row>
    <row r="734" spans="2:13" x14ac:dyDescent="0.3">
      <c r="B734" s="36"/>
      <c r="I734" s="35"/>
      <c r="L734" s="35"/>
      <c r="M734" s="35"/>
    </row>
    <row r="735" spans="2:13" x14ac:dyDescent="0.3">
      <c r="B735" s="36"/>
      <c r="I735" s="35"/>
      <c r="L735" s="35"/>
      <c r="M735" s="35"/>
    </row>
    <row r="736" spans="2:13" x14ac:dyDescent="0.3">
      <c r="B736" s="36"/>
      <c r="I736" s="35"/>
      <c r="L736" s="35"/>
      <c r="M736" s="35"/>
    </row>
    <row r="737" spans="2:13" x14ac:dyDescent="0.3">
      <c r="B737" s="36"/>
      <c r="I737" s="35"/>
      <c r="L737" s="35"/>
      <c r="M737" s="35"/>
    </row>
    <row r="738" spans="2:13" x14ac:dyDescent="0.3">
      <c r="B738" s="36"/>
      <c r="I738" s="35"/>
      <c r="L738" s="35"/>
      <c r="M738" s="35"/>
    </row>
    <row r="739" spans="2:13" x14ac:dyDescent="0.3">
      <c r="B739" s="36"/>
      <c r="I739" s="35"/>
      <c r="L739" s="35"/>
      <c r="M739" s="35"/>
    </row>
    <row r="740" spans="2:13" x14ac:dyDescent="0.3">
      <c r="B740" s="36"/>
      <c r="I740" s="35"/>
      <c r="L740" s="35"/>
      <c r="M740" s="35"/>
    </row>
    <row r="741" spans="2:13" x14ac:dyDescent="0.3">
      <c r="B741" s="36"/>
      <c r="I741" s="35"/>
      <c r="L741" s="35"/>
      <c r="M741" s="35"/>
    </row>
    <row r="742" spans="2:13" x14ac:dyDescent="0.3">
      <c r="B742" s="36"/>
      <c r="I742" s="35"/>
      <c r="L742" s="35"/>
      <c r="M742" s="35"/>
    </row>
    <row r="743" spans="2:13" x14ac:dyDescent="0.3">
      <c r="B743" s="36"/>
      <c r="I743" s="35"/>
      <c r="L743" s="35"/>
      <c r="M743" s="35"/>
    </row>
    <row r="744" spans="2:13" x14ac:dyDescent="0.3">
      <c r="B744" s="36"/>
      <c r="I744" s="35"/>
      <c r="L744" s="35"/>
      <c r="M744" s="35"/>
    </row>
    <row r="745" spans="2:13" x14ac:dyDescent="0.3">
      <c r="B745" s="36"/>
      <c r="I745" s="35"/>
      <c r="L745" s="35"/>
      <c r="M745" s="35"/>
    </row>
    <row r="746" spans="2:13" x14ac:dyDescent="0.3">
      <c r="B746" s="36"/>
      <c r="I746" s="35"/>
      <c r="L746" s="35"/>
      <c r="M746" s="35"/>
    </row>
    <row r="747" spans="2:13" x14ac:dyDescent="0.3">
      <c r="B747" s="36"/>
      <c r="I747" s="35"/>
      <c r="L747" s="35"/>
      <c r="M747" s="35"/>
    </row>
    <row r="748" spans="2:13" x14ac:dyDescent="0.3">
      <c r="B748" s="36"/>
      <c r="I748" s="35"/>
      <c r="L748" s="35"/>
      <c r="M748" s="35"/>
    </row>
    <row r="749" spans="2:13" x14ac:dyDescent="0.3">
      <c r="B749" s="36"/>
      <c r="I749" s="35"/>
      <c r="L749" s="35"/>
      <c r="M749" s="35"/>
    </row>
    <row r="750" spans="2:13" x14ac:dyDescent="0.3">
      <c r="B750" s="36"/>
      <c r="I750" s="35"/>
      <c r="L750" s="35"/>
      <c r="M750" s="35"/>
    </row>
    <row r="751" spans="2:13" x14ac:dyDescent="0.3">
      <c r="B751" s="36"/>
      <c r="I751" s="35"/>
      <c r="L751" s="35"/>
      <c r="M751" s="35"/>
    </row>
    <row r="752" spans="2:13" x14ac:dyDescent="0.3">
      <c r="B752" s="36"/>
      <c r="I752" s="35"/>
      <c r="L752" s="35"/>
      <c r="M752" s="35"/>
    </row>
    <row r="753" spans="2:13" x14ac:dyDescent="0.3">
      <c r="B753" s="36"/>
      <c r="I753" s="35"/>
      <c r="L753" s="35"/>
      <c r="M753" s="35"/>
    </row>
    <row r="754" spans="2:13" x14ac:dyDescent="0.3">
      <c r="B754" s="36"/>
      <c r="I754" s="35"/>
      <c r="L754" s="35"/>
      <c r="M754" s="35"/>
    </row>
    <row r="755" spans="2:13" x14ac:dyDescent="0.3">
      <c r="B755" s="36"/>
      <c r="I755" s="35"/>
      <c r="L755" s="35"/>
      <c r="M755" s="35"/>
    </row>
    <row r="756" spans="2:13" x14ac:dyDescent="0.3">
      <c r="B756" s="36"/>
      <c r="I756" s="35"/>
      <c r="L756" s="35"/>
      <c r="M756" s="35"/>
    </row>
    <row r="757" spans="2:13" x14ac:dyDescent="0.3">
      <c r="B757" s="36"/>
      <c r="I757" s="35"/>
      <c r="L757" s="35"/>
      <c r="M757" s="35"/>
    </row>
    <row r="758" spans="2:13" x14ac:dyDescent="0.3">
      <c r="B758" s="36"/>
      <c r="I758" s="35"/>
      <c r="L758" s="35"/>
      <c r="M758" s="35"/>
    </row>
    <row r="759" spans="2:13" x14ac:dyDescent="0.3">
      <c r="B759" s="36"/>
      <c r="I759" s="35"/>
      <c r="L759" s="35"/>
      <c r="M759" s="35"/>
    </row>
    <row r="760" spans="2:13" x14ac:dyDescent="0.3">
      <c r="B760" s="36"/>
      <c r="I760" s="35"/>
      <c r="L760" s="35"/>
      <c r="M760" s="35"/>
    </row>
    <row r="761" spans="2:13" x14ac:dyDescent="0.3">
      <c r="B761" s="36"/>
      <c r="I761" s="35"/>
      <c r="L761" s="35"/>
      <c r="M761" s="35"/>
    </row>
    <row r="762" spans="2:13" x14ac:dyDescent="0.3">
      <c r="B762" s="36"/>
      <c r="I762" s="35"/>
      <c r="L762" s="35"/>
      <c r="M762" s="35"/>
    </row>
    <row r="763" spans="2:13" x14ac:dyDescent="0.3">
      <c r="B763" s="36"/>
      <c r="I763" s="35"/>
      <c r="L763" s="35"/>
      <c r="M763" s="35"/>
    </row>
    <row r="764" spans="2:13" x14ac:dyDescent="0.3">
      <c r="B764" s="36"/>
      <c r="I764" s="35"/>
      <c r="L764" s="35"/>
      <c r="M764" s="35"/>
    </row>
    <row r="765" spans="2:13" x14ac:dyDescent="0.3">
      <c r="B765" s="36"/>
      <c r="I765" s="35"/>
      <c r="L765" s="35"/>
      <c r="M765" s="35"/>
    </row>
    <row r="766" spans="2:13" x14ac:dyDescent="0.3">
      <c r="B766" s="36"/>
      <c r="I766" s="35"/>
      <c r="L766" s="35"/>
      <c r="M766" s="35"/>
    </row>
    <row r="767" spans="2:13" x14ac:dyDescent="0.3">
      <c r="B767" s="36"/>
      <c r="I767" s="35"/>
      <c r="L767" s="35"/>
      <c r="M767" s="35"/>
    </row>
    <row r="768" spans="2:13" x14ac:dyDescent="0.3">
      <c r="B768" s="36"/>
      <c r="I768" s="35"/>
      <c r="L768" s="35"/>
      <c r="M768" s="35"/>
    </row>
    <row r="769" spans="2:13" x14ac:dyDescent="0.3">
      <c r="B769" s="36"/>
      <c r="I769" s="35"/>
      <c r="L769" s="35"/>
      <c r="M769" s="35"/>
    </row>
    <row r="770" spans="2:13" x14ac:dyDescent="0.3">
      <c r="B770" s="36"/>
      <c r="I770" s="35"/>
      <c r="L770" s="35"/>
      <c r="M770" s="35"/>
    </row>
    <row r="771" spans="2:13" x14ac:dyDescent="0.3">
      <c r="B771" s="36"/>
      <c r="I771" s="35"/>
      <c r="L771" s="35"/>
      <c r="M771" s="35"/>
    </row>
    <row r="772" spans="2:13" x14ac:dyDescent="0.3">
      <c r="B772" s="36"/>
      <c r="I772" s="35"/>
      <c r="L772" s="35"/>
      <c r="M772" s="35"/>
    </row>
    <row r="773" spans="2:13" x14ac:dyDescent="0.3">
      <c r="B773" s="36"/>
      <c r="I773" s="35"/>
      <c r="L773" s="35"/>
      <c r="M773" s="35"/>
    </row>
    <row r="774" spans="2:13" x14ac:dyDescent="0.3">
      <c r="B774" s="36"/>
      <c r="I774" s="35"/>
      <c r="L774" s="35"/>
      <c r="M774" s="35"/>
    </row>
    <row r="775" spans="2:13" x14ac:dyDescent="0.3">
      <c r="B775" s="36"/>
      <c r="I775" s="35"/>
      <c r="L775" s="35"/>
      <c r="M775" s="35"/>
    </row>
    <row r="776" spans="2:13" x14ac:dyDescent="0.3">
      <c r="B776" s="36"/>
      <c r="I776" s="35"/>
      <c r="L776" s="35"/>
      <c r="M776" s="35"/>
    </row>
    <row r="777" spans="2:13" x14ac:dyDescent="0.3">
      <c r="B777" s="36"/>
      <c r="I777" s="35"/>
      <c r="L777" s="35"/>
      <c r="M777" s="35"/>
    </row>
    <row r="778" spans="2:13" x14ac:dyDescent="0.3">
      <c r="B778" s="36"/>
      <c r="I778" s="35"/>
      <c r="L778" s="35"/>
      <c r="M778" s="35"/>
    </row>
    <row r="779" spans="2:13" x14ac:dyDescent="0.3">
      <c r="B779" s="36"/>
      <c r="I779" s="35"/>
      <c r="L779" s="35"/>
      <c r="M779" s="35"/>
    </row>
    <row r="780" spans="2:13" x14ac:dyDescent="0.3">
      <c r="B780" s="36"/>
      <c r="I780" s="35"/>
      <c r="L780" s="35"/>
      <c r="M780" s="35"/>
    </row>
    <row r="781" spans="2:13" x14ac:dyDescent="0.3">
      <c r="B781" s="36"/>
      <c r="I781" s="35"/>
      <c r="L781" s="35"/>
      <c r="M781" s="35"/>
    </row>
    <row r="782" spans="2:13" x14ac:dyDescent="0.3">
      <c r="B782" s="36"/>
      <c r="I782" s="35"/>
      <c r="L782" s="35"/>
      <c r="M782" s="35"/>
    </row>
    <row r="783" spans="2:13" x14ac:dyDescent="0.3">
      <c r="B783" s="36"/>
      <c r="I783" s="35"/>
      <c r="L783" s="35"/>
      <c r="M783" s="35"/>
    </row>
    <row r="784" spans="2:13" x14ac:dyDescent="0.3">
      <c r="B784" s="36"/>
      <c r="I784" s="35"/>
      <c r="L784" s="35"/>
      <c r="M784" s="35"/>
    </row>
    <row r="785" spans="2:13" x14ac:dyDescent="0.3">
      <c r="B785" s="36"/>
      <c r="I785" s="35"/>
      <c r="L785" s="35"/>
      <c r="M785" s="35"/>
    </row>
    <row r="786" spans="2:13" x14ac:dyDescent="0.3">
      <c r="B786" s="36"/>
      <c r="I786" s="35"/>
      <c r="L786" s="35"/>
      <c r="M786" s="35"/>
    </row>
    <row r="787" spans="2:13" x14ac:dyDescent="0.3">
      <c r="B787" s="36"/>
      <c r="I787" s="35"/>
      <c r="L787" s="35"/>
      <c r="M787" s="35"/>
    </row>
    <row r="788" spans="2:13" x14ac:dyDescent="0.3">
      <c r="B788" s="36"/>
      <c r="I788" s="35"/>
      <c r="L788" s="35"/>
      <c r="M788" s="35"/>
    </row>
    <row r="789" spans="2:13" x14ac:dyDescent="0.3">
      <c r="B789" s="36"/>
      <c r="I789" s="35"/>
      <c r="L789" s="35"/>
      <c r="M789" s="35"/>
    </row>
    <row r="790" spans="2:13" x14ac:dyDescent="0.3">
      <c r="B790" s="36"/>
      <c r="I790" s="35"/>
      <c r="L790" s="35"/>
      <c r="M790" s="35"/>
    </row>
    <row r="791" spans="2:13" x14ac:dyDescent="0.3">
      <c r="B791" s="36"/>
      <c r="I791" s="35"/>
      <c r="L791" s="35"/>
      <c r="M791" s="35"/>
    </row>
    <row r="792" spans="2:13" x14ac:dyDescent="0.3">
      <c r="B792" s="36"/>
      <c r="I792" s="35"/>
      <c r="L792" s="35"/>
      <c r="M792" s="35"/>
    </row>
    <row r="793" spans="2:13" x14ac:dyDescent="0.3">
      <c r="B793" s="36"/>
      <c r="I793" s="35"/>
      <c r="L793" s="35"/>
      <c r="M793" s="35"/>
    </row>
    <row r="794" spans="2:13" x14ac:dyDescent="0.3">
      <c r="B794" s="36"/>
      <c r="I794" s="35"/>
      <c r="L794" s="35"/>
      <c r="M794" s="35"/>
    </row>
    <row r="795" spans="2:13" x14ac:dyDescent="0.3">
      <c r="B795" s="36"/>
      <c r="I795" s="35"/>
      <c r="L795" s="35"/>
      <c r="M795" s="35"/>
    </row>
    <row r="796" spans="2:13" x14ac:dyDescent="0.3">
      <c r="B796" s="36"/>
      <c r="I796" s="35"/>
      <c r="L796" s="35"/>
      <c r="M796" s="35"/>
    </row>
    <row r="797" spans="2:13" x14ac:dyDescent="0.3">
      <c r="B797" s="36"/>
      <c r="I797" s="35"/>
      <c r="L797" s="35"/>
      <c r="M797" s="35"/>
    </row>
    <row r="798" spans="2:13" x14ac:dyDescent="0.3">
      <c r="B798" s="36"/>
      <c r="I798" s="35"/>
      <c r="L798" s="35"/>
      <c r="M798" s="35"/>
    </row>
    <row r="799" spans="2:13" x14ac:dyDescent="0.3">
      <c r="B799" s="36"/>
      <c r="I799" s="35"/>
      <c r="L799" s="35"/>
      <c r="M799" s="35"/>
    </row>
    <row r="800" spans="2:13" x14ac:dyDescent="0.3">
      <c r="B800" s="36"/>
      <c r="I800" s="35"/>
      <c r="L800" s="35"/>
      <c r="M800" s="35"/>
    </row>
    <row r="801" spans="2:13" x14ac:dyDescent="0.3">
      <c r="B801" s="36"/>
      <c r="I801" s="35"/>
      <c r="L801" s="35"/>
      <c r="M801" s="35"/>
    </row>
    <row r="802" spans="2:13" x14ac:dyDescent="0.3">
      <c r="B802" s="36"/>
      <c r="I802" s="35"/>
      <c r="L802" s="35"/>
      <c r="M802" s="35"/>
    </row>
    <row r="803" spans="2:13" x14ac:dyDescent="0.3">
      <c r="B803" s="36"/>
      <c r="I803" s="35"/>
      <c r="L803" s="35"/>
      <c r="M803" s="35"/>
    </row>
    <row r="804" spans="2:13" x14ac:dyDescent="0.3">
      <c r="B804" s="36"/>
      <c r="I804" s="35"/>
      <c r="L804" s="35"/>
      <c r="M804" s="35"/>
    </row>
    <row r="805" spans="2:13" x14ac:dyDescent="0.3">
      <c r="B805" s="36"/>
      <c r="I805" s="35"/>
      <c r="L805" s="35"/>
      <c r="M805" s="35"/>
    </row>
    <row r="806" spans="2:13" x14ac:dyDescent="0.3">
      <c r="B806" s="36"/>
      <c r="I806" s="35"/>
      <c r="L806" s="35"/>
      <c r="M806" s="35"/>
    </row>
    <row r="807" spans="2:13" x14ac:dyDescent="0.3">
      <c r="B807" s="36"/>
      <c r="I807" s="35"/>
      <c r="L807" s="35"/>
      <c r="M807" s="35"/>
    </row>
    <row r="808" spans="2:13" x14ac:dyDescent="0.3">
      <c r="B808" s="36"/>
      <c r="I808" s="35"/>
      <c r="L808" s="35"/>
      <c r="M808" s="35"/>
    </row>
    <row r="809" spans="2:13" x14ac:dyDescent="0.3">
      <c r="B809" s="36"/>
      <c r="I809" s="35"/>
      <c r="L809" s="35"/>
      <c r="M809" s="35"/>
    </row>
    <row r="810" spans="2:13" x14ac:dyDescent="0.3">
      <c r="B810" s="36"/>
      <c r="I810" s="35"/>
      <c r="L810" s="35"/>
      <c r="M810" s="35"/>
    </row>
    <row r="811" spans="2:13" x14ac:dyDescent="0.3">
      <c r="B811" s="36"/>
      <c r="I811" s="35"/>
      <c r="L811" s="35"/>
      <c r="M811" s="35"/>
    </row>
    <row r="812" spans="2:13" x14ac:dyDescent="0.3">
      <c r="B812" s="36"/>
      <c r="I812" s="35"/>
      <c r="L812" s="35"/>
      <c r="M812" s="35"/>
    </row>
    <row r="813" spans="2:13" x14ac:dyDescent="0.3">
      <c r="B813" s="36"/>
      <c r="I813" s="35"/>
      <c r="L813" s="35"/>
      <c r="M813" s="35"/>
    </row>
    <row r="814" spans="2:13" x14ac:dyDescent="0.3">
      <c r="B814" s="36"/>
      <c r="I814" s="35"/>
      <c r="L814" s="35"/>
      <c r="M814" s="35"/>
    </row>
    <row r="815" spans="2:13" x14ac:dyDescent="0.3">
      <c r="B815" s="36"/>
      <c r="I815" s="35"/>
      <c r="L815" s="35"/>
      <c r="M815" s="35"/>
    </row>
    <row r="816" spans="2:13" x14ac:dyDescent="0.3">
      <c r="B816" s="36"/>
      <c r="I816" s="35"/>
      <c r="L816" s="35"/>
      <c r="M816" s="35"/>
    </row>
    <row r="817" spans="2:13" x14ac:dyDescent="0.3">
      <c r="B817" s="36"/>
      <c r="I817" s="35"/>
      <c r="L817" s="35"/>
      <c r="M817" s="35"/>
    </row>
    <row r="818" spans="2:13" x14ac:dyDescent="0.3">
      <c r="B818" s="36"/>
      <c r="I818" s="35"/>
      <c r="L818" s="35"/>
      <c r="M818" s="35"/>
    </row>
    <row r="819" spans="2:13" x14ac:dyDescent="0.3">
      <c r="B819" s="36"/>
      <c r="I819" s="35"/>
      <c r="L819" s="35"/>
      <c r="M819" s="35"/>
    </row>
    <row r="820" spans="2:13" x14ac:dyDescent="0.3">
      <c r="B820" s="36"/>
      <c r="I820" s="35"/>
      <c r="L820" s="35"/>
      <c r="M820" s="35"/>
    </row>
    <row r="821" spans="2:13" x14ac:dyDescent="0.3">
      <c r="B821" s="36"/>
      <c r="I821" s="35"/>
      <c r="L821" s="35"/>
      <c r="M821" s="35"/>
    </row>
    <row r="822" spans="2:13" x14ac:dyDescent="0.3">
      <c r="B822" s="36"/>
      <c r="I822" s="35"/>
      <c r="L822" s="35"/>
      <c r="M822" s="35"/>
    </row>
    <row r="823" spans="2:13" x14ac:dyDescent="0.3">
      <c r="B823" s="36"/>
      <c r="I823" s="35"/>
      <c r="L823" s="35"/>
      <c r="M823" s="35"/>
    </row>
    <row r="824" spans="2:13" x14ac:dyDescent="0.3">
      <c r="B824" s="36"/>
      <c r="I824" s="35"/>
      <c r="L824" s="35"/>
      <c r="M824" s="35"/>
    </row>
    <row r="825" spans="2:13" x14ac:dyDescent="0.3">
      <c r="B825" s="36"/>
      <c r="I825" s="35"/>
      <c r="L825" s="35"/>
      <c r="M825" s="35"/>
    </row>
    <row r="826" spans="2:13" x14ac:dyDescent="0.3">
      <c r="B826" s="36"/>
      <c r="I826" s="35"/>
      <c r="L826" s="35"/>
      <c r="M826" s="35"/>
    </row>
    <row r="827" spans="2:13" x14ac:dyDescent="0.3">
      <c r="B827" s="36"/>
      <c r="I827" s="35"/>
      <c r="L827" s="35"/>
      <c r="M827" s="35"/>
    </row>
    <row r="828" spans="2:13" x14ac:dyDescent="0.3">
      <c r="B828" s="36"/>
      <c r="I828" s="35"/>
      <c r="L828" s="35"/>
      <c r="M828" s="35"/>
    </row>
    <row r="829" spans="2:13" x14ac:dyDescent="0.3">
      <c r="B829" s="36"/>
      <c r="I829" s="35"/>
      <c r="L829" s="35"/>
      <c r="M829" s="35"/>
    </row>
    <row r="830" spans="2:13" x14ac:dyDescent="0.3">
      <c r="B830" s="36"/>
      <c r="I830" s="35"/>
      <c r="L830" s="35"/>
      <c r="M830" s="35"/>
    </row>
    <row r="831" spans="2:13" x14ac:dyDescent="0.3">
      <c r="B831" s="36"/>
      <c r="I831" s="35"/>
      <c r="L831" s="35"/>
      <c r="M831" s="35"/>
    </row>
    <row r="832" spans="2:13" x14ac:dyDescent="0.3">
      <c r="B832" s="36"/>
      <c r="I832" s="35"/>
      <c r="L832" s="35"/>
      <c r="M832" s="35"/>
    </row>
    <row r="833" spans="2:13" x14ac:dyDescent="0.3">
      <c r="B833" s="36"/>
      <c r="I833" s="35"/>
      <c r="L833" s="35"/>
      <c r="M833" s="35"/>
    </row>
    <row r="834" spans="2:13" x14ac:dyDescent="0.3">
      <c r="B834" s="36"/>
      <c r="I834" s="35"/>
      <c r="L834" s="35"/>
      <c r="M834" s="35"/>
    </row>
    <row r="835" spans="2:13" x14ac:dyDescent="0.3">
      <c r="B835" s="36"/>
      <c r="I835" s="35"/>
      <c r="L835" s="35"/>
      <c r="M835" s="35"/>
    </row>
    <row r="836" spans="2:13" x14ac:dyDescent="0.3">
      <c r="B836" s="36"/>
      <c r="I836" s="35"/>
      <c r="L836" s="35"/>
      <c r="M836" s="35"/>
    </row>
    <row r="837" spans="2:13" x14ac:dyDescent="0.3">
      <c r="B837" s="36"/>
      <c r="I837" s="35"/>
      <c r="L837" s="35"/>
      <c r="M837" s="35"/>
    </row>
    <row r="838" spans="2:13" x14ac:dyDescent="0.3">
      <c r="B838" s="36"/>
      <c r="I838" s="35"/>
      <c r="L838" s="35"/>
      <c r="M838" s="35"/>
    </row>
    <row r="839" spans="2:13" x14ac:dyDescent="0.3">
      <c r="B839" s="36"/>
      <c r="I839" s="35"/>
      <c r="L839" s="35"/>
      <c r="M839" s="35"/>
    </row>
    <row r="840" spans="2:13" x14ac:dyDescent="0.3">
      <c r="B840" s="36"/>
      <c r="I840" s="35"/>
      <c r="L840" s="35"/>
      <c r="M840" s="35"/>
    </row>
    <row r="841" spans="2:13" x14ac:dyDescent="0.3">
      <c r="B841" s="36"/>
      <c r="I841" s="35"/>
      <c r="L841" s="35"/>
      <c r="M841" s="35"/>
    </row>
    <row r="842" spans="2:13" x14ac:dyDescent="0.3">
      <c r="B842" s="36"/>
      <c r="I842" s="35"/>
      <c r="L842" s="35"/>
      <c r="M842" s="35"/>
    </row>
    <row r="843" spans="2:13" x14ac:dyDescent="0.3">
      <c r="B843" s="36"/>
      <c r="I843" s="35"/>
      <c r="L843" s="35"/>
      <c r="M843" s="35"/>
    </row>
    <row r="844" spans="2:13" x14ac:dyDescent="0.3">
      <c r="B844" s="36"/>
      <c r="I844" s="35"/>
      <c r="L844" s="35"/>
      <c r="M844" s="35"/>
    </row>
    <row r="845" spans="2:13" x14ac:dyDescent="0.3">
      <c r="B845" s="36"/>
      <c r="I845" s="35"/>
      <c r="L845" s="35"/>
      <c r="M845" s="35"/>
    </row>
    <row r="846" spans="2:13" x14ac:dyDescent="0.3">
      <c r="B846" s="36"/>
      <c r="I846" s="35"/>
      <c r="L846" s="35"/>
      <c r="M846" s="35"/>
    </row>
    <row r="847" spans="2:13" x14ac:dyDescent="0.3">
      <c r="B847" s="36"/>
      <c r="I847" s="35"/>
      <c r="L847" s="35"/>
      <c r="M847" s="35"/>
    </row>
    <row r="848" spans="2:13" x14ac:dyDescent="0.3">
      <c r="B848" s="36"/>
      <c r="I848" s="35"/>
      <c r="L848" s="35"/>
      <c r="M848" s="35"/>
    </row>
    <row r="849" spans="2:13" x14ac:dyDescent="0.3">
      <c r="B849" s="36"/>
      <c r="I849" s="35"/>
      <c r="L849" s="35"/>
      <c r="M849" s="35"/>
    </row>
    <row r="850" spans="2:13" x14ac:dyDescent="0.3">
      <c r="B850" s="36"/>
      <c r="I850" s="35"/>
      <c r="L850" s="35"/>
      <c r="M850" s="35"/>
    </row>
    <row r="851" spans="2:13" x14ac:dyDescent="0.3">
      <c r="B851" s="36"/>
      <c r="I851" s="35"/>
      <c r="L851" s="35"/>
      <c r="M851" s="35"/>
    </row>
    <row r="852" spans="2:13" x14ac:dyDescent="0.3">
      <c r="B852" s="36"/>
      <c r="I852" s="35"/>
      <c r="L852" s="35"/>
      <c r="M852" s="35"/>
    </row>
    <row r="853" spans="2:13" x14ac:dyDescent="0.3">
      <c r="B853" s="36"/>
      <c r="I853" s="35"/>
      <c r="L853" s="35"/>
      <c r="M853" s="35"/>
    </row>
    <row r="854" spans="2:13" x14ac:dyDescent="0.3">
      <c r="B854" s="36"/>
      <c r="I854" s="35"/>
      <c r="L854" s="35"/>
      <c r="M854" s="35"/>
    </row>
    <row r="855" spans="2:13" x14ac:dyDescent="0.3">
      <c r="B855" s="36"/>
      <c r="I855" s="35"/>
      <c r="L855" s="35"/>
      <c r="M855" s="35"/>
    </row>
    <row r="856" spans="2:13" x14ac:dyDescent="0.3">
      <c r="B856" s="36"/>
      <c r="I856" s="35"/>
      <c r="L856" s="35"/>
      <c r="M856" s="35"/>
    </row>
    <row r="857" spans="2:13" x14ac:dyDescent="0.3">
      <c r="B857" s="36"/>
      <c r="I857" s="35"/>
      <c r="L857" s="35"/>
      <c r="M857" s="35"/>
    </row>
    <row r="858" spans="2:13" x14ac:dyDescent="0.3">
      <c r="B858" s="36"/>
      <c r="I858" s="35"/>
      <c r="L858" s="35"/>
      <c r="M858" s="35"/>
    </row>
    <row r="859" spans="2:13" x14ac:dyDescent="0.3">
      <c r="B859" s="36"/>
      <c r="I859" s="35"/>
      <c r="L859" s="35"/>
      <c r="M859" s="35"/>
    </row>
    <row r="860" spans="2:13" x14ac:dyDescent="0.3">
      <c r="B860" s="36"/>
      <c r="I860" s="35"/>
      <c r="L860" s="35"/>
      <c r="M860" s="35"/>
    </row>
    <row r="861" spans="2:13" x14ac:dyDescent="0.3">
      <c r="B861" s="36"/>
      <c r="I861" s="35"/>
      <c r="L861" s="35"/>
      <c r="M861" s="35"/>
    </row>
    <row r="862" spans="2:13" x14ac:dyDescent="0.3">
      <c r="B862" s="36"/>
      <c r="I862" s="35"/>
      <c r="L862" s="35"/>
      <c r="M862" s="35"/>
    </row>
    <row r="863" spans="2:13" x14ac:dyDescent="0.3">
      <c r="B863" s="36"/>
      <c r="I863" s="35"/>
      <c r="L863" s="35"/>
      <c r="M863" s="35"/>
    </row>
    <row r="864" spans="2:13" x14ac:dyDescent="0.3">
      <c r="B864" s="36"/>
      <c r="I864" s="35"/>
      <c r="L864" s="35"/>
      <c r="M864" s="35"/>
    </row>
    <row r="865" spans="2:13" x14ac:dyDescent="0.3">
      <c r="B865" s="36"/>
      <c r="I865" s="35"/>
      <c r="L865" s="35"/>
      <c r="M865" s="35"/>
    </row>
    <row r="866" spans="2:13" x14ac:dyDescent="0.3">
      <c r="B866" s="36"/>
      <c r="I866" s="35"/>
      <c r="L866" s="35"/>
      <c r="M866" s="35"/>
    </row>
    <row r="867" spans="2:13" x14ac:dyDescent="0.3">
      <c r="B867" s="36"/>
      <c r="I867" s="35"/>
      <c r="L867" s="35"/>
      <c r="M867" s="35"/>
    </row>
    <row r="868" spans="2:13" x14ac:dyDescent="0.3">
      <c r="B868" s="36"/>
      <c r="I868" s="35"/>
      <c r="L868" s="35"/>
      <c r="M868" s="35"/>
    </row>
    <row r="869" spans="2:13" x14ac:dyDescent="0.3">
      <c r="B869" s="36"/>
      <c r="I869" s="35"/>
      <c r="L869" s="35"/>
      <c r="M869" s="35"/>
    </row>
    <row r="870" spans="2:13" x14ac:dyDescent="0.3">
      <c r="B870" s="36"/>
      <c r="I870" s="35"/>
      <c r="L870" s="35"/>
      <c r="M870" s="35"/>
    </row>
    <row r="871" spans="2:13" x14ac:dyDescent="0.3">
      <c r="B871" s="36"/>
      <c r="I871" s="35"/>
      <c r="L871" s="35"/>
      <c r="M871" s="35"/>
    </row>
    <row r="872" spans="2:13" x14ac:dyDescent="0.3">
      <c r="B872" s="36"/>
      <c r="I872" s="35"/>
      <c r="L872" s="35"/>
      <c r="M872" s="35"/>
    </row>
    <row r="873" spans="2:13" x14ac:dyDescent="0.3">
      <c r="B873" s="36"/>
      <c r="I873" s="35"/>
      <c r="L873" s="35"/>
      <c r="M873" s="35"/>
    </row>
    <row r="874" spans="2:13" x14ac:dyDescent="0.3">
      <c r="B874" s="36"/>
      <c r="I874" s="35"/>
      <c r="L874" s="35"/>
      <c r="M874" s="35"/>
    </row>
    <row r="875" spans="2:13" x14ac:dyDescent="0.3">
      <c r="B875" s="36"/>
      <c r="I875" s="35"/>
      <c r="L875" s="35"/>
      <c r="M875" s="35"/>
    </row>
    <row r="876" spans="2:13" x14ac:dyDescent="0.3">
      <c r="B876" s="36"/>
      <c r="I876" s="35"/>
      <c r="L876" s="35"/>
      <c r="M876" s="35"/>
    </row>
    <row r="877" spans="2:13" x14ac:dyDescent="0.3">
      <c r="B877" s="36"/>
      <c r="I877" s="35"/>
      <c r="L877" s="35"/>
      <c r="M877" s="35"/>
    </row>
    <row r="878" spans="2:13" x14ac:dyDescent="0.3">
      <c r="B878" s="36"/>
      <c r="I878" s="35"/>
      <c r="L878" s="35"/>
      <c r="M878" s="35"/>
    </row>
    <row r="879" spans="2:13" x14ac:dyDescent="0.3">
      <c r="B879" s="36"/>
      <c r="I879" s="35"/>
      <c r="L879" s="35"/>
      <c r="M879" s="35"/>
    </row>
    <row r="880" spans="2:13" x14ac:dyDescent="0.3">
      <c r="B880" s="36"/>
      <c r="I880" s="35"/>
      <c r="L880" s="35"/>
      <c r="M880" s="35"/>
    </row>
    <row r="881" spans="2:13" x14ac:dyDescent="0.3">
      <c r="B881" s="36"/>
      <c r="I881" s="35"/>
      <c r="L881" s="35"/>
      <c r="M881" s="35"/>
    </row>
    <row r="882" spans="2:13" x14ac:dyDescent="0.3">
      <c r="B882" s="36"/>
      <c r="I882" s="35"/>
      <c r="L882" s="35"/>
      <c r="M882" s="35"/>
    </row>
    <row r="883" spans="2:13" x14ac:dyDescent="0.3">
      <c r="B883" s="36"/>
      <c r="I883" s="35"/>
      <c r="L883" s="35"/>
      <c r="M883" s="35"/>
    </row>
    <row r="884" spans="2:13" x14ac:dyDescent="0.3">
      <c r="B884" s="36"/>
      <c r="I884" s="35"/>
      <c r="L884" s="35"/>
      <c r="M884" s="35"/>
    </row>
    <row r="885" spans="2:13" x14ac:dyDescent="0.3">
      <c r="B885" s="36"/>
      <c r="I885" s="35"/>
      <c r="L885" s="35"/>
      <c r="M885" s="35"/>
    </row>
    <row r="886" spans="2:13" x14ac:dyDescent="0.3">
      <c r="B886" s="36"/>
      <c r="I886" s="35"/>
      <c r="L886" s="35"/>
      <c r="M886" s="35"/>
    </row>
    <row r="887" spans="2:13" x14ac:dyDescent="0.3">
      <c r="B887" s="36"/>
      <c r="I887" s="35"/>
      <c r="L887" s="35"/>
      <c r="M887" s="35"/>
    </row>
    <row r="888" spans="2:13" x14ac:dyDescent="0.3">
      <c r="B888" s="36"/>
      <c r="I888" s="35"/>
      <c r="L888" s="35"/>
      <c r="M888" s="35"/>
    </row>
    <row r="889" spans="2:13" x14ac:dyDescent="0.3">
      <c r="B889" s="36"/>
      <c r="I889" s="35"/>
      <c r="L889" s="35"/>
      <c r="M889" s="35"/>
    </row>
    <row r="890" spans="2:13" x14ac:dyDescent="0.3">
      <c r="B890" s="36"/>
      <c r="I890" s="35"/>
      <c r="L890" s="35"/>
      <c r="M890" s="35"/>
    </row>
    <row r="891" spans="2:13" x14ac:dyDescent="0.3">
      <c r="B891" s="36"/>
      <c r="I891" s="35"/>
      <c r="L891" s="35"/>
      <c r="M891" s="35"/>
    </row>
    <row r="892" spans="2:13" x14ac:dyDescent="0.3">
      <c r="B892" s="36"/>
      <c r="I892" s="35"/>
      <c r="L892" s="35"/>
      <c r="M892" s="35"/>
    </row>
    <row r="893" spans="2:13" x14ac:dyDescent="0.3">
      <c r="B893" s="36"/>
      <c r="I893" s="35"/>
      <c r="L893" s="35"/>
      <c r="M893" s="35"/>
    </row>
    <row r="894" spans="2:13" x14ac:dyDescent="0.3">
      <c r="B894" s="36"/>
      <c r="I894" s="35"/>
      <c r="L894" s="35"/>
      <c r="M894" s="35"/>
    </row>
    <row r="895" spans="2:13" x14ac:dyDescent="0.3">
      <c r="B895" s="36"/>
      <c r="I895" s="35"/>
      <c r="L895" s="35"/>
      <c r="M895" s="35"/>
    </row>
    <row r="896" spans="2:13" x14ac:dyDescent="0.3">
      <c r="B896" s="36"/>
      <c r="I896" s="35"/>
      <c r="L896" s="35"/>
      <c r="M896" s="35"/>
    </row>
    <row r="897" spans="2:13" x14ac:dyDescent="0.3">
      <c r="B897" s="36"/>
      <c r="I897" s="35"/>
      <c r="L897" s="35"/>
      <c r="M897" s="35"/>
    </row>
    <row r="898" spans="2:13" x14ac:dyDescent="0.3">
      <c r="B898" s="36"/>
      <c r="I898" s="35"/>
      <c r="L898" s="35"/>
      <c r="M898" s="35"/>
    </row>
    <row r="899" spans="2:13" x14ac:dyDescent="0.3">
      <c r="B899" s="36"/>
      <c r="I899" s="35"/>
      <c r="L899" s="35"/>
      <c r="M899" s="35"/>
    </row>
    <row r="900" spans="2:13" x14ac:dyDescent="0.3">
      <c r="B900" s="36"/>
      <c r="I900" s="35"/>
      <c r="L900" s="35"/>
      <c r="M900" s="35"/>
    </row>
    <row r="901" spans="2:13" x14ac:dyDescent="0.3">
      <c r="B901" s="36"/>
      <c r="I901" s="35"/>
      <c r="L901" s="35"/>
      <c r="M901" s="35"/>
    </row>
    <row r="902" spans="2:13" x14ac:dyDescent="0.3">
      <c r="B902" s="36"/>
      <c r="I902" s="35"/>
      <c r="L902" s="35"/>
      <c r="M902" s="35"/>
    </row>
    <row r="903" spans="2:13" x14ac:dyDescent="0.3">
      <c r="B903" s="36"/>
      <c r="I903" s="35"/>
      <c r="L903" s="35"/>
      <c r="M903" s="35"/>
    </row>
    <row r="904" spans="2:13" x14ac:dyDescent="0.3">
      <c r="B904" s="36"/>
      <c r="I904" s="35"/>
      <c r="L904" s="35"/>
      <c r="M904" s="35"/>
    </row>
    <row r="905" spans="2:13" x14ac:dyDescent="0.3">
      <c r="B905" s="36"/>
      <c r="I905" s="35"/>
      <c r="L905" s="35"/>
      <c r="M905" s="35"/>
    </row>
    <row r="906" spans="2:13" x14ac:dyDescent="0.3">
      <c r="B906" s="36"/>
      <c r="I906" s="35"/>
      <c r="L906" s="35"/>
      <c r="M906" s="35"/>
    </row>
    <row r="907" spans="2:13" x14ac:dyDescent="0.3">
      <c r="B907" s="36"/>
      <c r="I907" s="35"/>
      <c r="L907" s="35"/>
      <c r="M907" s="35"/>
    </row>
    <row r="908" spans="2:13" x14ac:dyDescent="0.3">
      <c r="B908" s="36"/>
      <c r="I908" s="35"/>
      <c r="L908" s="35"/>
      <c r="M908" s="35"/>
    </row>
    <row r="909" spans="2:13" x14ac:dyDescent="0.3">
      <c r="B909" s="36"/>
      <c r="I909" s="35"/>
      <c r="L909" s="35"/>
      <c r="M909" s="35"/>
    </row>
    <row r="910" spans="2:13" x14ac:dyDescent="0.3">
      <c r="B910" s="36"/>
      <c r="I910" s="35"/>
      <c r="L910" s="35"/>
      <c r="M910" s="35"/>
    </row>
    <row r="911" spans="2:13" x14ac:dyDescent="0.3">
      <c r="B911" s="36"/>
      <c r="I911" s="35"/>
      <c r="L911" s="35"/>
      <c r="M911" s="35"/>
    </row>
    <row r="912" spans="2:13" x14ac:dyDescent="0.3">
      <c r="B912" s="36"/>
      <c r="I912" s="35"/>
      <c r="L912" s="35"/>
      <c r="M912" s="35"/>
    </row>
    <row r="913" spans="2:13" x14ac:dyDescent="0.3">
      <c r="B913" s="36"/>
      <c r="I913" s="35"/>
      <c r="L913" s="35"/>
      <c r="M913" s="35"/>
    </row>
    <row r="914" spans="2:13" x14ac:dyDescent="0.3">
      <c r="B914" s="36"/>
      <c r="I914" s="35"/>
      <c r="L914" s="35"/>
      <c r="M914" s="35"/>
    </row>
    <row r="915" spans="2:13" x14ac:dyDescent="0.3">
      <c r="B915" s="36"/>
      <c r="I915" s="35"/>
      <c r="L915" s="35"/>
      <c r="M915" s="35"/>
    </row>
    <row r="916" spans="2:13" x14ac:dyDescent="0.3">
      <c r="B916" s="36"/>
      <c r="I916" s="35"/>
      <c r="L916" s="35"/>
      <c r="M916" s="35"/>
    </row>
    <row r="917" spans="2:13" x14ac:dyDescent="0.3">
      <c r="B917" s="36"/>
      <c r="I917" s="35"/>
      <c r="L917" s="35"/>
      <c r="M917" s="35"/>
    </row>
    <row r="918" spans="2:13" x14ac:dyDescent="0.3">
      <c r="B918" s="36"/>
      <c r="I918" s="35"/>
      <c r="L918" s="35"/>
      <c r="M918" s="35"/>
    </row>
    <row r="919" spans="2:13" x14ac:dyDescent="0.3">
      <c r="B919" s="36"/>
      <c r="I919" s="35"/>
      <c r="L919" s="35"/>
      <c r="M919" s="35"/>
    </row>
    <row r="920" spans="2:13" x14ac:dyDescent="0.3">
      <c r="B920" s="36"/>
      <c r="I920" s="35"/>
      <c r="L920" s="35"/>
      <c r="M920" s="35"/>
    </row>
    <row r="921" spans="2:13" x14ac:dyDescent="0.3">
      <c r="B921" s="36"/>
      <c r="I921" s="35"/>
      <c r="L921" s="35"/>
      <c r="M921" s="35"/>
    </row>
    <row r="922" spans="2:13" x14ac:dyDescent="0.3">
      <c r="B922" s="36"/>
      <c r="I922" s="35"/>
      <c r="L922" s="35"/>
      <c r="M922" s="35"/>
    </row>
    <row r="923" spans="2:13" x14ac:dyDescent="0.3">
      <c r="B923" s="36"/>
      <c r="I923" s="35"/>
      <c r="L923" s="35"/>
      <c r="M923" s="35"/>
    </row>
    <row r="924" spans="2:13" x14ac:dyDescent="0.3">
      <c r="B924" s="36"/>
      <c r="I924" s="35"/>
      <c r="L924" s="35"/>
      <c r="M924" s="35"/>
    </row>
    <row r="925" spans="2:13" x14ac:dyDescent="0.3">
      <c r="B925" s="36"/>
      <c r="I925" s="35"/>
      <c r="L925" s="35"/>
      <c r="M925" s="35"/>
    </row>
    <row r="926" spans="2:13" x14ac:dyDescent="0.3">
      <c r="B926" s="36"/>
      <c r="I926" s="35"/>
      <c r="L926" s="35"/>
      <c r="M926" s="35"/>
    </row>
    <row r="927" spans="2:13" x14ac:dyDescent="0.3">
      <c r="B927" s="36"/>
      <c r="I927" s="35"/>
      <c r="L927" s="35"/>
      <c r="M927" s="35"/>
    </row>
    <row r="928" spans="2:13" x14ac:dyDescent="0.3">
      <c r="B928" s="36"/>
      <c r="I928" s="35"/>
      <c r="L928" s="35"/>
      <c r="M928" s="35"/>
    </row>
    <row r="929" spans="2:13" x14ac:dyDescent="0.3">
      <c r="B929" s="36"/>
      <c r="I929" s="35"/>
      <c r="L929" s="35"/>
      <c r="M929" s="35"/>
    </row>
    <row r="930" spans="2:13" x14ac:dyDescent="0.3">
      <c r="B930" s="36"/>
      <c r="I930" s="35"/>
      <c r="L930" s="35"/>
      <c r="M930" s="35"/>
    </row>
    <row r="931" spans="2:13" x14ac:dyDescent="0.3">
      <c r="B931" s="36"/>
      <c r="I931" s="35"/>
      <c r="L931" s="35"/>
      <c r="M931" s="35"/>
    </row>
    <row r="932" spans="2:13" x14ac:dyDescent="0.3">
      <c r="B932" s="36"/>
      <c r="I932" s="35"/>
      <c r="L932" s="35"/>
      <c r="M932" s="35"/>
    </row>
    <row r="933" spans="2:13" x14ac:dyDescent="0.3">
      <c r="B933" s="36"/>
      <c r="I933" s="35"/>
      <c r="L933" s="35"/>
      <c r="M933" s="35"/>
    </row>
    <row r="934" spans="2:13" x14ac:dyDescent="0.3">
      <c r="B934" s="36"/>
      <c r="I934" s="35"/>
      <c r="L934" s="35"/>
      <c r="M934" s="35"/>
    </row>
    <row r="935" spans="2:13" x14ac:dyDescent="0.3">
      <c r="B935" s="36"/>
      <c r="I935" s="35"/>
      <c r="L935" s="35"/>
      <c r="M935" s="35"/>
    </row>
    <row r="936" spans="2:13" x14ac:dyDescent="0.3">
      <c r="B936" s="36"/>
      <c r="I936" s="35"/>
      <c r="L936" s="35"/>
      <c r="M936" s="35"/>
    </row>
    <row r="937" spans="2:13" x14ac:dyDescent="0.3">
      <c r="B937" s="36"/>
      <c r="I937" s="35"/>
      <c r="L937" s="35"/>
      <c r="M937" s="35"/>
    </row>
    <row r="938" spans="2:13" x14ac:dyDescent="0.3">
      <c r="B938" s="36"/>
      <c r="I938" s="35"/>
      <c r="L938" s="35"/>
      <c r="M938" s="35"/>
    </row>
    <row r="939" spans="2:13" x14ac:dyDescent="0.3">
      <c r="B939" s="36"/>
      <c r="I939" s="35"/>
      <c r="L939" s="35"/>
      <c r="M939" s="35"/>
    </row>
    <row r="940" spans="2:13" x14ac:dyDescent="0.3">
      <c r="B940" s="36"/>
      <c r="I940" s="35"/>
      <c r="L940" s="35"/>
      <c r="M940" s="35"/>
    </row>
    <row r="941" spans="2:13" x14ac:dyDescent="0.3">
      <c r="B941" s="36"/>
      <c r="I941" s="35"/>
      <c r="L941" s="35"/>
      <c r="M941" s="35"/>
    </row>
    <row r="942" spans="2:13" x14ac:dyDescent="0.3">
      <c r="B942" s="36"/>
      <c r="I942" s="35"/>
      <c r="L942" s="35"/>
      <c r="M942" s="35"/>
    </row>
    <row r="943" spans="2:13" x14ac:dyDescent="0.3">
      <c r="B943" s="36"/>
      <c r="I943" s="35"/>
      <c r="L943" s="35"/>
      <c r="M943" s="35"/>
    </row>
    <row r="944" spans="2:13" x14ac:dyDescent="0.3">
      <c r="B944" s="36"/>
      <c r="I944" s="35"/>
      <c r="L944" s="35"/>
      <c r="M944" s="35"/>
    </row>
    <row r="945" spans="2:13" x14ac:dyDescent="0.3">
      <c r="B945" s="36"/>
      <c r="I945" s="35"/>
      <c r="L945" s="35"/>
      <c r="M945" s="35"/>
    </row>
    <row r="946" spans="2:13" x14ac:dyDescent="0.3">
      <c r="B946" s="36"/>
      <c r="I946" s="35"/>
      <c r="L946" s="35"/>
      <c r="M946" s="35"/>
    </row>
    <row r="947" spans="2:13" x14ac:dyDescent="0.3">
      <c r="B947" s="36"/>
      <c r="I947" s="35"/>
      <c r="L947" s="35"/>
      <c r="M947" s="35"/>
    </row>
    <row r="948" spans="2:13" x14ac:dyDescent="0.3">
      <c r="B948" s="36"/>
      <c r="I948" s="35"/>
      <c r="L948" s="35"/>
      <c r="M948" s="35"/>
    </row>
    <row r="949" spans="2:13" x14ac:dyDescent="0.3">
      <c r="B949" s="36"/>
      <c r="I949" s="35"/>
      <c r="L949" s="35"/>
      <c r="M949" s="35"/>
    </row>
    <row r="950" spans="2:13" x14ac:dyDescent="0.3">
      <c r="B950" s="36"/>
      <c r="I950" s="35"/>
      <c r="L950" s="35"/>
      <c r="M950" s="35"/>
    </row>
    <row r="951" spans="2:13" x14ac:dyDescent="0.3">
      <c r="B951" s="36"/>
      <c r="I951" s="35"/>
      <c r="L951" s="35"/>
      <c r="M951" s="35"/>
    </row>
    <row r="952" spans="2:13" x14ac:dyDescent="0.3">
      <c r="B952" s="36"/>
      <c r="I952" s="35"/>
      <c r="L952" s="35"/>
      <c r="M952" s="35"/>
    </row>
    <row r="953" spans="2:13" x14ac:dyDescent="0.3">
      <c r="B953" s="36"/>
      <c r="I953" s="35"/>
      <c r="L953" s="35"/>
      <c r="M953" s="35"/>
    </row>
    <row r="954" spans="2:13" x14ac:dyDescent="0.3">
      <c r="B954" s="36"/>
      <c r="I954" s="35"/>
      <c r="L954" s="35"/>
      <c r="M954" s="35"/>
    </row>
    <row r="955" spans="2:13" x14ac:dyDescent="0.3">
      <c r="B955" s="36"/>
      <c r="I955" s="35"/>
      <c r="L955" s="35"/>
      <c r="M955" s="35"/>
    </row>
    <row r="956" spans="2:13" x14ac:dyDescent="0.3">
      <c r="B956" s="36"/>
      <c r="I956" s="35"/>
      <c r="L956" s="35"/>
      <c r="M956" s="35"/>
    </row>
    <row r="957" spans="2:13" x14ac:dyDescent="0.3">
      <c r="B957" s="36"/>
      <c r="I957" s="35"/>
      <c r="L957" s="35"/>
      <c r="M957" s="35"/>
    </row>
    <row r="958" spans="2:13" x14ac:dyDescent="0.3">
      <c r="B958" s="36"/>
      <c r="I958" s="35"/>
      <c r="L958" s="35"/>
      <c r="M958" s="35"/>
    </row>
    <row r="959" spans="2:13" x14ac:dyDescent="0.3">
      <c r="B959" s="36"/>
      <c r="I959" s="35"/>
      <c r="L959" s="35"/>
      <c r="M959" s="35"/>
    </row>
    <row r="960" spans="2:13" x14ac:dyDescent="0.3">
      <c r="B960" s="36"/>
      <c r="I960" s="35"/>
      <c r="L960" s="35"/>
      <c r="M960" s="35"/>
    </row>
    <row r="961" spans="2:13" x14ac:dyDescent="0.3">
      <c r="B961" s="36"/>
      <c r="I961" s="35"/>
      <c r="L961" s="35"/>
      <c r="M961" s="35"/>
    </row>
    <row r="962" spans="2:13" x14ac:dyDescent="0.3">
      <c r="B962" s="36"/>
      <c r="I962" s="35"/>
      <c r="L962" s="35"/>
      <c r="M962" s="35"/>
    </row>
    <row r="963" spans="2:13" x14ac:dyDescent="0.3">
      <c r="B963" s="36"/>
      <c r="I963" s="35"/>
      <c r="L963" s="35"/>
      <c r="M963" s="35"/>
    </row>
    <row r="964" spans="2:13" x14ac:dyDescent="0.3">
      <c r="B964" s="36"/>
      <c r="I964" s="35"/>
      <c r="L964" s="35"/>
      <c r="M964" s="35"/>
    </row>
    <row r="965" spans="2:13" x14ac:dyDescent="0.3">
      <c r="B965" s="36"/>
      <c r="I965" s="35"/>
      <c r="L965" s="35"/>
      <c r="M965" s="35"/>
    </row>
    <row r="966" spans="2:13" x14ac:dyDescent="0.3">
      <c r="B966" s="36"/>
      <c r="I966" s="35"/>
      <c r="L966" s="35"/>
      <c r="M966" s="35"/>
    </row>
    <row r="967" spans="2:13" x14ac:dyDescent="0.3">
      <c r="B967" s="36"/>
      <c r="I967" s="35"/>
      <c r="L967" s="35"/>
      <c r="M967" s="35"/>
    </row>
    <row r="968" spans="2:13" x14ac:dyDescent="0.3">
      <c r="B968" s="36"/>
      <c r="I968" s="35"/>
      <c r="L968" s="35"/>
      <c r="M968" s="35"/>
    </row>
    <row r="969" spans="2:13" x14ac:dyDescent="0.3">
      <c r="B969" s="36"/>
      <c r="I969" s="35"/>
      <c r="L969" s="35"/>
      <c r="M969" s="35"/>
    </row>
    <row r="970" spans="2:13" x14ac:dyDescent="0.3">
      <c r="B970" s="36"/>
      <c r="I970" s="35"/>
      <c r="L970" s="35"/>
      <c r="M970" s="35"/>
    </row>
    <row r="971" spans="2:13" x14ac:dyDescent="0.3">
      <c r="B971" s="36"/>
      <c r="I971" s="35"/>
      <c r="L971" s="35"/>
      <c r="M971" s="35"/>
    </row>
    <row r="972" spans="2:13" x14ac:dyDescent="0.3">
      <c r="B972" s="36"/>
      <c r="I972" s="35"/>
      <c r="L972" s="35"/>
      <c r="M972" s="35"/>
    </row>
    <row r="973" spans="2:13" x14ac:dyDescent="0.3">
      <c r="B973" s="36"/>
      <c r="I973" s="35"/>
      <c r="L973" s="35"/>
      <c r="M973" s="35"/>
    </row>
    <row r="974" spans="2:13" x14ac:dyDescent="0.3">
      <c r="B974" s="36"/>
      <c r="I974" s="35"/>
      <c r="L974" s="35"/>
      <c r="M974" s="35"/>
    </row>
    <row r="975" spans="2:13" x14ac:dyDescent="0.3">
      <c r="B975" s="36"/>
      <c r="I975" s="35"/>
      <c r="L975" s="35"/>
      <c r="M975" s="35"/>
    </row>
    <row r="976" spans="2:13" x14ac:dyDescent="0.3">
      <c r="B976" s="36"/>
      <c r="I976" s="35"/>
      <c r="L976" s="35"/>
      <c r="M976" s="35"/>
    </row>
    <row r="977" spans="2:13" x14ac:dyDescent="0.3">
      <c r="B977" s="36"/>
      <c r="I977" s="35"/>
      <c r="L977" s="35"/>
      <c r="M977" s="35"/>
    </row>
    <row r="978" spans="2:13" x14ac:dyDescent="0.3">
      <c r="B978" s="36"/>
      <c r="I978" s="35"/>
      <c r="L978" s="35"/>
      <c r="M978" s="35"/>
    </row>
    <row r="979" spans="2:13" x14ac:dyDescent="0.3">
      <c r="B979" s="36"/>
      <c r="I979" s="35"/>
      <c r="L979" s="35"/>
      <c r="M979" s="35"/>
    </row>
    <row r="980" spans="2:13" x14ac:dyDescent="0.3">
      <c r="B980" s="36"/>
      <c r="I980" s="35"/>
      <c r="L980" s="35"/>
      <c r="M980" s="35"/>
    </row>
    <row r="981" spans="2:13" x14ac:dyDescent="0.3">
      <c r="B981" s="36"/>
      <c r="I981" s="35"/>
      <c r="L981" s="35"/>
      <c r="M981" s="35"/>
    </row>
    <row r="982" spans="2:13" x14ac:dyDescent="0.3">
      <c r="B982" s="36"/>
      <c r="I982" s="35"/>
      <c r="L982" s="35"/>
      <c r="M982" s="35"/>
    </row>
    <row r="983" spans="2:13" x14ac:dyDescent="0.3">
      <c r="B983" s="36"/>
      <c r="I983" s="35"/>
      <c r="L983" s="35"/>
      <c r="M983" s="35"/>
    </row>
    <row r="984" spans="2:13" x14ac:dyDescent="0.3">
      <c r="B984" s="36"/>
      <c r="I984" s="35"/>
      <c r="L984" s="35"/>
      <c r="M984" s="35"/>
    </row>
    <row r="985" spans="2:13" x14ac:dyDescent="0.3">
      <c r="B985" s="36"/>
      <c r="I985" s="35"/>
      <c r="L985" s="35"/>
      <c r="M985" s="35"/>
    </row>
    <row r="986" spans="2:13" x14ac:dyDescent="0.3">
      <c r="B986" s="36"/>
      <c r="I986" s="35"/>
      <c r="L986" s="35"/>
      <c r="M986" s="35"/>
    </row>
    <row r="987" spans="2:13" x14ac:dyDescent="0.3">
      <c r="B987" s="36"/>
      <c r="I987" s="35"/>
      <c r="L987" s="35"/>
      <c r="M987" s="35"/>
    </row>
    <row r="988" spans="2:13" x14ac:dyDescent="0.3">
      <c r="B988" s="36"/>
      <c r="I988" s="35"/>
      <c r="L988" s="35"/>
      <c r="M988" s="35"/>
    </row>
    <row r="989" spans="2:13" x14ac:dyDescent="0.3">
      <c r="B989" s="36"/>
      <c r="I989" s="35"/>
      <c r="L989" s="35"/>
      <c r="M989" s="35"/>
    </row>
    <row r="990" spans="2:13" x14ac:dyDescent="0.3">
      <c r="B990" s="36"/>
      <c r="I990" s="35"/>
      <c r="L990" s="35"/>
      <c r="M990" s="35"/>
    </row>
    <row r="991" spans="2:13" x14ac:dyDescent="0.3">
      <c r="B991" s="36"/>
      <c r="I991" s="35"/>
      <c r="L991" s="35"/>
      <c r="M991" s="35"/>
    </row>
    <row r="992" spans="2:13" x14ac:dyDescent="0.3">
      <c r="B992" s="36"/>
      <c r="I992" s="35"/>
      <c r="L992" s="35"/>
      <c r="M992" s="35"/>
    </row>
    <row r="993" spans="2:13" x14ac:dyDescent="0.3">
      <c r="B993" s="36"/>
      <c r="I993" s="35"/>
      <c r="L993" s="35"/>
      <c r="M993" s="35"/>
    </row>
    <row r="994" spans="2:13" x14ac:dyDescent="0.3">
      <c r="B994" s="36"/>
      <c r="I994" s="35"/>
      <c r="L994" s="35"/>
      <c r="M994" s="35"/>
    </row>
    <row r="995" spans="2:13" x14ac:dyDescent="0.3">
      <c r="B995" s="36"/>
      <c r="I995" s="35"/>
      <c r="L995" s="35"/>
      <c r="M995" s="35"/>
    </row>
    <row r="996" spans="2:13" x14ac:dyDescent="0.3">
      <c r="B996" s="36"/>
      <c r="I996" s="35"/>
      <c r="L996" s="35"/>
      <c r="M996" s="35"/>
    </row>
    <row r="997" spans="2:13" x14ac:dyDescent="0.3">
      <c r="B997" s="36"/>
      <c r="I997" s="35"/>
      <c r="L997" s="35"/>
      <c r="M997" s="35"/>
    </row>
    <row r="998" spans="2:13" x14ac:dyDescent="0.3">
      <c r="B998" s="36"/>
      <c r="I998" s="35"/>
      <c r="L998" s="35"/>
      <c r="M998" s="35"/>
    </row>
    <row r="999" spans="2:13" x14ac:dyDescent="0.3">
      <c r="B999" s="36"/>
      <c r="I999" s="35"/>
      <c r="L999" s="35"/>
      <c r="M999" s="35"/>
    </row>
    <row r="1000" spans="2:13" x14ac:dyDescent="0.3">
      <c r="B1000" s="36"/>
      <c r="I1000" s="35"/>
      <c r="L1000" s="35"/>
      <c r="M1000" s="35"/>
    </row>
  </sheetData>
  <conditionalFormatting sqref="A2:M500">
    <cfRule type="cellIs" dxfId="4" priority="1" stopIfTrue="1" operator="equal">
      <formula>$K2="ANULADO"</formula>
    </cfRule>
    <cfRule type="cellIs" dxfId="3" priority="2" stopIfTrue="1" operator="equal">
      <formula>$K2="AGOTADO"</formula>
    </cfRule>
  </conditionalFormatting>
  <dataValidations count="1">
    <dataValidation type="list" allowBlank="1" showInputMessage="1" showErrorMessage="1" sqref="K2:K1000" xr:uid="{A3661789-CA92-4784-9CDA-FF8C8F140771}">
      <formula1>"ACTIVO,AGOTADO,ANULADO"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1D3F1-2D8A-4B47-835D-32958A2C0623}">
  <sheetPr codeName="Hoja8"/>
  <dimension ref="A1:L1000"/>
  <sheetViews>
    <sheetView workbookViewId="0">
      <selection activeCell="E6" sqref="E6"/>
    </sheetView>
  </sheetViews>
  <sheetFormatPr baseColWidth="10" defaultRowHeight="14.4" x14ac:dyDescent="0.3"/>
  <cols>
    <col min="1" max="1" width="12.77734375" customWidth="1"/>
    <col min="2" max="2" width="14.77734375" customWidth="1"/>
    <col min="3" max="3" width="10.77734375" customWidth="1"/>
    <col min="4" max="4" width="25.77734375" customWidth="1"/>
    <col min="5" max="5" width="40.77734375" customWidth="1"/>
    <col min="6" max="6" width="15.77734375" customWidth="1"/>
    <col min="7" max="7" width="40.77734375" customWidth="1"/>
    <col min="8" max="8" width="18.77734375" customWidth="1"/>
    <col min="9" max="9" width="30.77734375" customWidth="1"/>
    <col min="10" max="10" width="14.77734375" customWidth="1"/>
    <col min="11" max="12" width="18.77734375" customWidth="1"/>
  </cols>
  <sheetData>
    <row r="1" spans="1:12" ht="28.8" x14ac:dyDescent="0.3">
      <c r="A1" s="38" t="s">
        <v>402</v>
      </c>
      <c r="B1" s="38" t="s">
        <v>386</v>
      </c>
      <c r="C1" s="38" t="s">
        <v>395</v>
      </c>
      <c r="D1" s="38" t="s">
        <v>387</v>
      </c>
      <c r="E1" s="38" t="s">
        <v>388</v>
      </c>
      <c r="F1" s="38" t="s">
        <v>397</v>
      </c>
      <c r="G1" s="38" t="s">
        <v>398</v>
      </c>
      <c r="H1" s="38" t="s">
        <v>390</v>
      </c>
      <c r="I1" s="38" t="s">
        <v>403</v>
      </c>
      <c r="J1" s="38" t="s">
        <v>392</v>
      </c>
      <c r="K1" s="38" t="s">
        <v>404</v>
      </c>
      <c r="L1" s="38" t="s">
        <v>405</v>
      </c>
    </row>
    <row r="2" spans="1:12" x14ac:dyDescent="0.3">
      <c r="A2">
        <v>1</v>
      </c>
      <c r="B2" s="36">
        <v>46067</v>
      </c>
      <c r="C2">
        <v>1</v>
      </c>
      <c r="D2" t="str">
        <f>IF(C2="","",IFERROR(VLOOKUP(C2,RP!A:E,5,0),""))</f>
        <v>2.1.2.02.02.006.04</v>
      </c>
      <c r="E2" t="str">
        <f>IF(C2="","",IFERROR(VLOOKUP(C2,RP!A:F,6,0),""))</f>
        <v xml:space="preserve">Servicio de energia electrica </v>
      </c>
      <c r="F2">
        <f>IF(C2="","",IFERROR(VLOOKUP(C2,RP!A:G,7,0),""))</f>
        <v>27472769</v>
      </c>
      <c r="G2" t="str">
        <f>IF(C2="","",IFERROR(VLOOKUP(C2,RP!A:H,8,0),""))</f>
        <v>MARTHA CECILIA RIOBAMBA ARCINIEGAS</v>
      </c>
      <c r="H2" s="35">
        <v>400000</v>
      </c>
      <c r="I2">
        <v>100</v>
      </c>
      <c r="J2" t="s">
        <v>459</v>
      </c>
      <c r="K2" s="35">
        <f>IF(A2="","",SUMIF(PAGO!C:C,A2,PAGO!H:H))</f>
        <v>400000</v>
      </c>
      <c r="L2" s="35">
        <f t="shared" ref="L2:L65" si="0">IF(A2="","",H2-K2)</f>
        <v>0</v>
      </c>
    </row>
    <row r="3" spans="1:12" x14ac:dyDescent="0.3">
      <c r="B3" s="36"/>
      <c r="D3" t="str">
        <f>IF(C3="","",IFERROR(VLOOKUP(C3,RP!A:E,5,0),""))</f>
        <v/>
      </c>
      <c r="E3" t="str">
        <f>IF(C3="","",IFERROR(VLOOKUP(C3,RP!A:F,6,0),""))</f>
        <v/>
      </c>
      <c r="F3" t="str">
        <f>IF(C3="","",IFERROR(VLOOKUP(C3,RP!A:G,7,0),""))</f>
        <v/>
      </c>
      <c r="G3" t="str">
        <f>IF(C3="","",IFERROR(VLOOKUP(C3,RP!A:H,8,0),""))</f>
        <v/>
      </c>
      <c r="H3" s="35"/>
      <c r="K3" s="35" t="str">
        <f>IF(A3="","",SUMIF(PAGO!C:C,A3,PAGO!H:H))</f>
        <v/>
      </c>
      <c r="L3" s="35" t="str">
        <f t="shared" si="0"/>
        <v/>
      </c>
    </row>
    <row r="4" spans="1:12" x14ac:dyDescent="0.3">
      <c r="B4" s="36"/>
      <c r="D4" t="str">
        <f>IF(C4="","",IFERROR(VLOOKUP(C4,RP!A:E,5,0),""))</f>
        <v/>
      </c>
      <c r="E4" t="str">
        <f>IF(C4="","",IFERROR(VLOOKUP(C4,RP!A:F,6,0),""))</f>
        <v/>
      </c>
      <c r="F4" t="str">
        <f>IF(C4="","",IFERROR(VLOOKUP(C4,RP!A:G,7,0),""))</f>
        <v/>
      </c>
      <c r="G4" t="str">
        <f>IF(C4="","",IFERROR(VLOOKUP(C4,RP!A:H,8,0),""))</f>
        <v/>
      </c>
      <c r="H4" s="35"/>
      <c r="K4" s="35" t="str">
        <f>IF(A4="","",SUMIF(PAGO!C:C,A4,PAGO!H:H))</f>
        <v/>
      </c>
      <c r="L4" s="35" t="str">
        <f t="shared" si="0"/>
        <v/>
      </c>
    </row>
    <row r="5" spans="1:12" x14ac:dyDescent="0.3">
      <c r="B5" s="36"/>
      <c r="D5" t="str">
        <f>IF(C5="","",IFERROR(VLOOKUP(C5,RP!A:E,5,0),""))</f>
        <v/>
      </c>
      <c r="E5" t="str">
        <f>IF(C5="","",IFERROR(VLOOKUP(C5,RP!A:F,6,0),""))</f>
        <v/>
      </c>
      <c r="F5" t="str">
        <f>IF(C5="","",IFERROR(VLOOKUP(C5,RP!A:G,7,0),""))</f>
        <v/>
      </c>
      <c r="G5" t="str">
        <f>IF(C5="","",IFERROR(VLOOKUP(C5,RP!A:H,8,0),""))</f>
        <v/>
      </c>
      <c r="H5" s="35"/>
      <c r="K5" s="35" t="str">
        <f>IF(A5="","",SUMIF(PAGO!C:C,A5,PAGO!H:H))</f>
        <v/>
      </c>
      <c r="L5" s="35" t="str">
        <f t="shared" si="0"/>
        <v/>
      </c>
    </row>
    <row r="6" spans="1:12" x14ac:dyDescent="0.3">
      <c r="B6" s="36"/>
      <c r="D6" t="str">
        <f>IF(C6="","",IFERROR(VLOOKUP(C6,RP!A:E,5,0),""))</f>
        <v/>
      </c>
      <c r="E6" t="str">
        <f>IF(C6="","",IFERROR(VLOOKUP(C6,RP!A:F,6,0),""))</f>
        <v/>
      </c>
      <c r="F6" t="str">
        <f>IF(C6="","",IFERROR(VLOOKUP(C6,RP!A:G,7,0),""))</f>
        <v/>
      </c>
      <c r="G6" t="str">
        <f>IF(C6="","",IFERROR(VLOOKUP(C6,RP!A:H,8,0),""))</f>
        <v/>
      </c>
      <c r="H6" s="35"/>
      <c r="K6" s="35" t="str">
        <f>IF(A6="","",SUMIF(PAGO!C:C,A6,PAGO!H:H))</f>
        <v/>
      </c>
      <c r="L6" s="35" t="str">
        <f t="shared" si="0"/>
        <v/>
      </c>
    </row>
    <row r="7" spans="1:12" x14ac:dyDescent="0.3">
      <c r="B7" s="36"/>
      <c r="D7" t="str">
        <f>IF(C7="","",IFERROR(VLOOKUP(C7,RP!A:E,5,0),""))</f>
        <v/>
      </c>
      <c r="E7" t="str">
        <f>IF(C7="","",IFERROR(VLOOKUP(C7,RP!A:F,6,0),""))</f>
        <v/>
      </c>
      <c r="F7" t="str">
        <f>IF(C7="","",IFERROR(VLOOKUP(C7,RP!A:G,7,0),""))</f>
        <v/>
      </c>
      <c r="G7" t="str">
        <f>IF(C7="","",IFERROR(VLOOKUP(C7,RP!A:H,8,0),""))</f>
        <v/>
      </c>
      <c r="H7" s="35"/>
      <c r="K7" s="35" t="str">
        <f>IF(A7="","",SUMIF(PAGO!C:C,A7,PAGO!H:H))</f>
        <v/>
      </c>
      <c r="L7" s="35" t="str">
        <f t="shared" si="0"/>
        <v/>
      </c>
    </row>
    <row r="8" spans="1:12" x14ac:dyDescent="0.3">
      <c r="B8" s="36"/>
      <c r="D8" t="str">
        <f>IF(C8="","",IFERROR(VLOOKUP(C8,RP!A:E,5,0),""))</f>
        <v/>
      </c>
      <c r="E8" t="str">
        <f>IF(C8="","",IFERROR(VLOOKUP(C8,RP!A:F,6,0),""))</f>
        <v/>
      </c>
      <c r="F8" t="str">
        <f>IF(C8="","",IFERROR(VLOOKUP(C8,RP!A:G,7,0),""))</f>
        <v/>
      </c>
      <c r="G8" t="str">
        <f>IF(C8="","",IFERROR(VLOOKUP(C8,RP!A:H,8,0),""))</f>
        <v/>
      </c>
      <c r="H8" s="35"/>
      <c r="K8" s="35" t="str">
        <f>IF(A8="","",SUMIF(PAGO!C:C,A8,PAGO!H:H))</f>
        <v/>
      </c>
      <c r="L8" s="35" t="str">
        <f t="shared" si="0"/>
        <v/>
      </c>
    </row>
    <row r="9" spans="1:12" x14ac:dyDescent="0.3">
      <c r="B9" s="36"/>
      <c r="D9" t="str">
        <f>IF(C9="","",IFERROR(VLOOKUP(C9,RP!A:E,5,0),""))</f>
        <v/>
      </c>
      <c r="E9" t="str">
        <f>IF(C9="","",IFERROR(VLOOKUP(C9,RP!A:F,6,0),""))</f>
        <v/>
      </c>
      <c r="F9" t="str">
        <f>IF(C9="","",IFERROR(VLOOKUP(C9,RP!A:G,7,0),""))</f>
        <v/>
      </c>
      <c r="G9" t="str">
        <f>IF(C9="","",IFERROR(VLOOKUP(C9,RP!A:H,8,0),""))</f>
        <v/>
      </c>
      <c r="H9" s="35"/>
      <c r="K9" s="35" t="str">
        <f>IF(A9="","",SUMIF(PAGO!C:C,A9,PAGO!H:H))</f>
        <v/>
      </c>
      <c r="L9" s="35" t="str">
        <f t="shared" si="0"/>
        <v/>
      </c>
    </row>
    <row r="10" spans="1:12" x14ac:dyDescent="0.3">
      <c r="B10" s="36"/>
      <c r="D10" t="str">
        <f>IF(C10="","",IFERROR(VLOOKUP(C10,RP!A:E,5,0),""))</f>
        <v/>
      </c>
      <c r="E10" t="str">
        <f>IF(C10="","",IFERROR(VLOOKUP(C10,RP!A:F,6,0),""))</f>
        <v/>
      </c>
      <c r="F10" t="str">
        <f>IF(C10="","",IFERROR(VLOOKUP(C10,RP!A:G,7,0),""))</f>
        <v/>
      </c>
      <c r="G10" t="str">
        <f>IF(C10="","",IFERROR(VLOOKUP(C10,RP!A:H,8,0),""))</f>
        <v/>
      </c>
      <c r="H10" s="35"/>
      <c r="K10" s="35" t="str">
        <f>IF(A10="","",SUMIF(PAGO!C:C,A10,PAGO!H:H))</f>
        <v/>
      </c>
      <c r="L10" s="35" t="str">
        <f t="shared" si="0"/>
        <v/>
      </c>
    </row>
    <row r="11" spans="1:12" x14ac:dyDescent="0.3">
      <c r="B11" s="36"/>
      <c r="D11" t="str">
        <f>IF(C11="","",IFERROR(VLOOKUP(C11,RP!A:E,5,0),""))</f>
        <v/>
      </c>
      <c r="E11" t="str">
        <f>IF(C11="","",IFERROR(VLOOKUP(C11,RP!A:F,6,0),""))</f>
        <v/>
      </c>
      <c r="F11" t="str">
        <f>IF(C11="","",IFERROR(VLOOKUP(C11,RP!A:G,7,0),""))</f>
        <v/>
      </c>
      <c r="G11" t="str">
        <f>IF(C11="","",IFERROR(VLOOKUP(C11,RP!A:H,8,0),""))</f>
        <v/>
      </c>
      <c r="H11" s="35"/>
      <c r="K11" s="35" t="str">
        <f>IF(A11="","",SUMIF(PAGO!C:C,A11,PAGO!H:H))</f>
        <v/>
      </c>
      <c r="L11" s="35" t="str">
        <f t="shared" si="0"/>
        <v/>
      </c>
    </row>
    <row r="12" spans="1:12" x14ac:dyDescent="0.3">
      <c r="B12" s="36"/>
      <c r="D12" t="str">
        <f>IF(C12="","",IFERROR(VLOOKUP(C12,RP!A:E,5,0),""))</f>
        <v/>
      </c>
      <c r="E12" t="str">
        <f>IF(C12="","",IFERROR(VLOOKUP(C12,RP!A:F,6,0),""))</f>
        <v/>
      </c>
      <c r="F12" t="str">
        <f>IF(C12="","",IFERROR(VLOOKUP(C12,RP!A:G,7,0),""))</f>
        <v/>
      </c>
      <c r="G12" t="str">
        <f>IF(C12="","",IFERROR(VLOOKUP(C12,RP!A:H,8,0),""))</f>
        <v/>
      </c>
      <c r="H12" s="35"/>
      <c r="K12" s="35" t="str">
        <f>IF(A12="","",SUMIF(PAGO!C:C,A12,PAGO!H:H))</f>
        <v/>
      </c>
      <c r="L12" s="35" t="str">
        <f t="shared" si="0"/>
        <v/>
      </c>
    </row>
    <row r="13" spans="1:12" x14ac:dyDescent="0.3">
      <c r="B13" s="36"/>
      <c r="D13" t="str">
        <f>IF(C13="","",IFERROR(VLOOKUP(C13,RP!A:E,5,0),""))</f>
        <v/>
      </c>
      <c r="E13" t="str">
        <f>IF(C13="","",IFERROR(VLOOKUP(C13,RP!A:F,6,0),""))</f>
        <v/>
      </c>
      <c r="F13" t="str">
        <f>IF(C13="","",IFERROR(VLOOKUP(C13,RP!A:G,7,0),""))</f>
        <v/>
      </c>
      <c r="G13" t="str">
        <f>IF(C13="","",IFERROR(VLOOKUP(C13,RP!A:H,8,0),""))</f>
        <v/>
      </c>
      <c r="H13" s="35"/>
      <c r="K13" s="35" t="str">
        <f>IF(A13="","",SUMIF(PAGO!C:C,A13,PAGO!H:H))</f>
        <v/>
      </c>
      <c r="L13" s="35" t="str">
        <f t="shared" si="0"/>
        <v/>
      </c>
    </row>
    <row r="14" spans="1:12" x14ac:dyDescent="0.3">
      <c r="B14" s="36"/>
      <c r="D14" t="str">
        <f>IF(C14="","",IFERROR(VLOOKUP(C14,RP!A:E,5,0),""))</f>
        <v/>
      </c>
      <c r="E14" t="str">
        <f>IF(C14="","",IFERROR(VLOOKUP(C14,RP!A:F,6,0),""))</f>
        <v/>
      </c>
      <c r="F14" t="str">
        <f>IF(C14="","",IFERROR(VLOOKUP(C14,RP!A:G,7,0),""))</f>
        <v/>
      </c>
      <c r="G14" t="str">
        <f>IF(C14="","",IFERROR(VLOOKUP(C14,RP!A:H,8,0),""))</f>
        <v/>
      </c>
      <c r="H14" s="35"/>
      <c r="K14" s="35" t="str">
        <f>IF(A14="","",SUMIF(PAGO!C:C,A14,PAGO!H:H))</f>
        <v/>
      </c>
      <c r="L14" s="35" t="str">
        <f t="shared" si="0"/>
        <v/>
      </c>
    </row>
    <row r="15" spans="1:12" x14ac:dyDescent="0.3">
      <c r="B15" s="36"/>
      <c r="D15" t="str">
        <f>IF(C15="","",IFERROR(VLOOKUP(C15,RP!A:E,5,0),""))</f>
        <v/>
      </c>
      <c r="E15" t="str">
        <f>IF(C15="","",IFERROR(VLOOKUP(C15,RP!A:F,6,0),""))</f>
        <v/>
      </c>
      <c r="F15" t="str">
        <f>IF(C15="","",IFERROR(VLOOKUP(C15,RP!A:G,7,0),""))</f>
        <v/>
      </c>
      <c r="G15" t="str">
        <f>IF(C15="","",IFERROR(VLOOKUP(C15,RP!A:H,8,0),""))</f>
        <v/>
      </c>
      <c r="H15" s="35"/>
      <c r="K15" s="35" t="str">
        <f>IF(A15="","",SUMIF(PAGO!C:C,A15,PAGO!H:H))</f>
        <v/>
      </c>
      <c r="L15" s="35" t="str">
        <f t="shared" si="0"/>
        <v/>
      </c>
    </row>
    <row r="16" spans="1:12" x14ac:dyDescent="0.3">
      <c r="B16" s="36"/>
      <c r="D16" t="str">
        <f>IF(C16="","",IFERROR(VLOOKUP(C16,RP!A:E,5,0),""))</f>
        <v/>
      </c>
      <c r="E16" t="str">
        <f>IF(C16="","",IFERROR(VLOOKUP(C16,RP!A:F,6,0),""))</f>
        <v/>
      </c>
      <c r="F16" t="str">
        <f>IF(C16="","",IFERROR(VLOOKUP(C16,RP!A:G,7,0),""))</f>
        <v/>
      </c>
      <c r="G16" t="str">
        <f>IF(C16="","",IFERROR(VLOOKUP(C16,RP!A:H,8,0),""))</f>
        <v/>
      </c>
      <c r="H16" s="35"/>
      <c r="K16" s="35" t="str">
        <f>IF(A16="","",SUMIF(PAGO!C:C,A16,PAGO!H:H))</f>
        <v/>
      </c>
      <c r="L16" s="35" t="str">
        <f t="shared" si="0"/>
        <v/>
      </c>
    </row>
    <row r="17" spans="2:12" x14ac:dyDescent="0.3">
      <c r="B17" s="36"/>
      <c r="D17" t="str">
        <f>IF(C17="","",IFERROR(VLOOKUP(C17,RP!A:E,5,0),""))</f>
        <v/>
      </c>
      <c r="E17" t="str">
        <f>IF(C17="","",IFERROR(VLOOKUP(C17,RP!A:F,6,0),""))</f>
        <v/>
      </c>
      <c r="F17" t="str">
        <f>IF(C17="","",IFERROR(VLOOKUP(C17,RP!A:G,7,0),""))</f>
        <v/>
      </c>
      <c r="G17" t="str">
        <f>IF(C17="","",IFERROR(VLOOKUP(C17,RP!A:H,8,0),""))</f>
        <v/>
      </c>
      <c r="H17" s="35"/>
      <c r="K17" s="35" t="str">
        <f>IF(A17="","",SUMIF(PAGO!C:C,A17,PAGO!H:H))</f>
        <v/>
      </c>
      <c r="L17" s="35" t="str">
        <f t="shared" si="0"/>
        <v/>
      </c>
    </row>
    <row r="18" spans="2:12" x14ac:dyDescent="0.3">
      <c r="B18" s="36"/>
      <c r="D18" t="str">
        <f>IF(C18="","",IFERROR(VLOOKUP(C18,RP!A:E,5,0),""))</f>
        <v/>
      </c>
      <c r="E18" t="str">
        <f>IF(C18="","",IFERROR(VLOOKUP(C18,RP!A:F,6,0),""))</f>
        <v/>
      </c>
      <c r="F18" t="str">
        <f>IF(C18="","",IFERROR(VLOOKUP(C18,RP!A:G,7,0),""))</f>
        <v/>
      </c>
      <c r="G18" t="str">
        <f>IF(C18="","",IFERROR(VLOOKUP(C18,RP!A:H,8,0),""))</f>
        <v/>
      </c>
      <c r="H18" s="35"/>
      <c r="K18" s="35" t="str">
        <f>IF(A18="","",SUMIF(PAGO!C:C,A18,PAGO!H:H))</f>
        <v/>
      </c>
      <c r="L18" s="35" t="str">
        <f t="shared" si="0"/>
        <v/>
      </c>
    </row>
    <row r="19" spans="2:12" x14ac:dyDescent="0.3">
      <c r="B19" s="36"/>
      <c r="D19" t="str">
        <f>IF(C19="","",IFERROR(VLOOKUP(C19,RP!A:E,5,0),""))</f>
        <v/>
      </c>
      <c r="E19" t="str">
        <f>IF(C19="","",IFERROR(VLOOKUP(C19,RP!A:F,6,0),""))</f>
        <v/>
      </c>
      <c r="F19" t="str">
        <f>IF(C19="","",IFERROR(VLOOKUP(C19,RP!A:G,7,0),""))</f>
        <v/>
      </c>
      <c r="G19" t="str">
        <f>IF(C19="","",IFERROR(VLOOKUP(C19,RP!A:H,8,0),""))</f>
        <v/>
      </c>
      <c r="H19" s="35"/>
      <c r="K19" s="35" t="str">
        <f>IF(A19="","",SUMIF(PAGO!C:C,A19,PAGO!H:H))</f>
        <v/>
      </c>
      <c r="L19" s="35" t="str">
        <f t="shared" si="0"/>
        <v/>
      </c>
    </row>
    <row r="20" spans="2:12" x14ac:dyDescent="0.3">
      <c r="B20" s="36"/>
      <c r="D20" t="str">
        <f>IF(C20="","",IFERROR(VLOOKUP(C20,RP!A:E,5,0),""))</f>
        <v/>
      </c>
      <c r="E20" t="str">
        <f>IF(C20="","",IFERROR(VLOOKUP(C20,RP!A:F,6,0),""))</f>
        <v/>
      </c>
      <c r="F20" t="str">
        <f>IF(C20="","",IFERROR(VLOOKUP(C20,RP!A:G,7,0),""))</f>
        <v/>
      </c>
      <c r="G20" t="str">
        <f>IF(C20="","",IFERROR(VLOOKUP(C20,RP!A:H,8,0),""))</f>
        <v/>
      </c>
      <c r="H20" s="35"/>
      <c r="K20" s="35" t="str">
        <f>IF(A20="","",SUMIF(PAGO!C:C,A20,PAGO!H:H))</f>
        <v/>
      </c>
      <c r="L20" s="35" t="str">
        <f t="shared" si="0"/>
        <v/>
      </c>
    </row>
    <row r="21" spans="2:12" x14ac:dyDescent="0.3">
      <c r="B21" s="36"/>
      <c r="D21" t="str">
        <f>IF(C21="","",IFERROR(VLOOKUP(C21,RP!A:E,5,0),""))</f>
        <v/>
      </c>
      <c r="E21" t="str">
        <f>IF(C21="","",IFERROR(VLOOKUP(C21,RP!A:F,6,0),""))</f>
        <v/>
      </c>
      <c r="F21" t="str">
        <f>IF(C21="","",IFERROR(VLOOKUP(C21,RP!A:G,7,0),""))</f>
        <v/>
      </c>
      <c r="G21" t="str">
        <f>IF(C21="","",IFERROR(VLOOKUP(C21,RP!A:H,8,0),""))</f>
        <v/>
      </c>
      <c r="H21" s="35"/>
      <c r="K21" s="35" t="str">
        <f>IF(A21="","",SUMIF(PAGO!C:C,A21,PAGO!H:H))</f>
        <v/>
      </c>
      <c r="L21" s="35" t="str">
        <f t="shared" si="0"/>
        <v/>
      </c>
    </row>
    <row r="22" spans="2:12" x14ac:dyDescent="0.3">
      <c r="B22" s="36"/>
      <c r="D22" t="str">
        <f>IF(C22="","",IFERROR(VLOOKUP(C22,RP!A:E,5,0),""))</f>
        <v/>
      </c>
      <c r="E22" t="str">
        <f>IF(C22="","",IFERROR(VLOOKUP(C22,RP!A:F,6,0),""))</f>
        <v/>
      </c>
      <c r="F22" t="str">
        <f>IF(C22="","",IFERROR(VLOOKUP(C22,RP!A:G,7,0),""))</f>
        <v/>
      </c>
      <c r="G22" t="str">
        <f>IF(C22="","",IFERROR(VLOOKUP(C22,RP!A:H,8,0),""))</f>
        <v/>
      </c>
      <c r="H22" s="35"/>
      <c r="K22" s="35" t="str">
        <f>IF(A22="","",SUMIF(PAGO!C:C,A22,PAGO!H:H))</f>
        <v/>
      </c>
      <c r="L22" s="35" t="str">
        <f t="shared" si="0"/>
        <v/>
      </c>
    </row>
    <row r="23" spans="2:12" x14ac:dyDescent="0.3">
      <c r="B23" s="36"/>
      <c r="D23" t="str">
        <f>IF(C23="","",IFERROR(VLOOKUP(C23,RP!A:E,5,0),""))</f>
        <v/>
      </c>
      <c r="E23" t="str">
        <f>IF(C23="","",IFERROR(VLOOKUP(C23,RP!A:F,6,0),""))</f>
        <v/>
      </c>
      <c r="F23" t="str">
        <f>IF(C23="","",IFERROR(VLOOKUP(C23,RP!A:G,7,0),""))</f>
        <v/>
      </c>
      <c r="G23" t="str">
        <f>IF(C23="","",IFERROR(VLOOKUP(C23,RP!A:H,8,0),""))</f>
        <v/>
      </c>
      <c r="H23" s="35"/>
      <c r="K23" s="35" t="str">
        <f>IF(A23="","",SUMIF(PAGO!C:C,A23,PAGO!H:H))</f>
        <v/>
      </c>
      <c r="L23" s="35" t="str">
        <f t="shared" si="0"/>
        <v/>
      </c>
    </row>
    <row r="24" spans="2:12" x14ac:dyDescent="0.3">
      <c r="B24" s="36"/>
      <c r="D24" t="str">
        <f>IF(C24="","",IFERROR(VLOOKUP(C24,RP!A:E,5,0),""))</f>
        <v/>
      </c>
      <c r="E24" t="str">
        <f>IF(C24="","",IFERROR(VLOOKUP(C24,RP!A:F,6,0),""))</f>
        <v/>
      </c>
      <c r="F24" t="str">
        <f>IF(C24="","",IFERROR(VLOOKUP(C24,RP!A:G,7,0),""))</f>
        <v/>
      </c>
      <c r="G24" t="str">
        <f>IF(C24="","",IFERROR(VLOOKUP(C24,RP!A:H,8,0),""))</f>
        <v/>
      </c>
      <c r="H24" s="35"/>
      <c r="K24" s="35" t="str">
        <f>IF(A24="","",SUMIF(PAGO!C:C,A24,PAGO!H:H))</f>
        <v/>
      </c>
      <c r="L24" s="35" t="str">
        <f t="shared" si="0"/>
        <v/>
      </c>
    </row>
    <row r="25" spans="2:12" x14ac:dyDescent="0.3">
      <c r="B25" s="36"/>
      <c r="D25" t="str">
        <f>IF(C25="","",IFERROR(VLOOKUP(C25,RP!A:E,5,0),""))</f>
        <v/>
      </c>
      <c r="E25" t="str">
        <f>IF(C25="","",IFERROR(VLOOKUP(C25,RP!A:F,6,0),""))</f>
        <v/>
      </c>
      <c r="F25" t="str">
        <f>IF(C25="","",IFERROR(VLOOKUP(C25,RP!A:G,7,0),""))</f>
        <v/>
      </c>
      <c r="G25" t="str">
        <f>IF(C25="","",IFERROR(VLOOKUP(C25,RP!A:H,8,0),""))</f>
        <v/>
      </c>
      <c r="H25" s="35"/>
      <c r="K25" s="35" t="str">
        <f>IF(A25="","",SUMIF(PAGO!C:C,A25,PAGO!H:H))</f>
        <v/>
      </c>
      <c r="L25" s="35" t="str">
        <f t="shared" si="0"/>
        <v/>
      </c>
    </row>
    <row r="26" spans="2:12" x14ac:dyDescent="0.3">
      <c r="B26" s="36"/>
      <c r="D26" t="str">
        <f>IF(C26="","",IFERROR(VLOOKUP(C26,RP!A:E,5,0),""))</f>
        <v/>
      </c>
      <c r="E26" t="str">
        <f>IF(C26="","",IFERROR(VLOOKUP(C26,RP!A:F,6,0),""))</f>
        <v/>
      </c>
      <c r="F26" t="str">
        <f>IF(C26="","",IFERROR(VLOOKUP(C26,RP!A:G,7,0),""))</f>
        <v/>
      </c>
      <c r="G26" t="str">
        <f>IF(C26="","",IFERROR(VLOOKUP(C26,RP!A:H,8,0),""))</f>
        <v/>
      </c>
      <c r="H26" s="35"/>
      <c r="K26" s="35" t="str">
        <f>IF(A26="","",SUMIF(PAGO!C:C,A26,PAGO!H:H))</f>
        <v/>
      </c>
      <c r="L26" s="35" t="str">
        <f t="shared" si="0"/>
        <v/>
      </c>
    </row>
    <row r="27" spans="2:12" x14ac:dyDescent="0.3">
      <c r="B27" s="36"/>
      <c r="D27" t="str">
        <f>IF(C27="","",IFERROR(VLOOKUP(C27,RP!A:E,5,0),""))</f>
        <v/>
      </c>
      <c r="E27" t="str">
        <f>IF(C27="","",IFERROR(VLOOKUP(C27,RP!A:F,6,0),""))</f>
        <v/>
      </c>
      <c r="F27" t="str">
        <f>IF(C27="","",IFERROR(VLOOKUP(C27,RP!A:G,7,0),""))</f>
        <v/>
      </c>
      <c r="G27" t="str">
        <f>IF(C27="","",IFERROR(VLOOKUP(C27,RP!A:H,8,0),""))</f>
        <v/>
      </c>
      <c r="H27" s="35"/>
      <c r="K27" s="35" t="str">
        <f>IF(A27="","",SUMIF(PAGO!C:C,A27,PAGO!H:H))</f>
        <v/>
      </c>
      <c r="L27" s="35" t="str">
        <f t="shared" si="0"/>
        <v/>
      </c>
    </row>
    <row r="28" spans="2:12" x14ac:dyDescent="0.3">
      <c r="B28" s="36"/>
      <c r="D28" t="str">
        <f>IF(C28="","",IFERROR(VLOOKUP(C28,RP!A:E,5,0),""))</f>
        <v/>
      </c>
      <c r="E28" t="str">
        <f>IF(C28="","",IFERROR(VLOOKUP(C28,RP!A:F,6,0),""))</f>
        <v/>
      </c>
      <c r="F28" t="str">
        <f>IF(C28="","",IFERROR(VLOOKUP(C28,RP!A:G,7,0),""))</f>
        <v/>
      </c>
      <c r="G28" t="str">
        <f>IF(C28="","",IFERROR(VLOOKUP(C28,RP!A:H,8,0),""))</f>
        <v/>
      </c>
      <c r="H28" s="35"/>
      <c r="K28" s="35" t="str">
        <f>IF(A28="","",SUMIF(PAGO!C:C,A28,PAGO!H:H))</f>
        <v/>
      </c>
      <c r="L28" s="35" t="str">
        <f t="shared" si="0"/>
        <v/>
      </c>
    </row>
    <row r="29" spans="2:12" x14ac:dyDescent="0.3">
      <c r="B29" s="36"/>
      <c r="D29" t="str">
        <f>IF(C29="","",IFERROR(VLOOKUP(C29,RP!A:E,5,0),""))</f>
        <v/>
      </c>
      <c r="E29" t="str">
        <f>IF(C29="","",IFERROR(VLOOKUP(C29,RP!A:F,6,0),""))</f>
        <v/>
      </c>
      <c r="F29" t="str">
        <f>IF(C29="","",IFERROR(VLOOKUP(C29,RP!A:G,7,0),""))</f>
        <v/>
      </c>
      <c r="G29" t="str">
        <f>IF(C29="","",IFERROR(VLOOKUP(C29,RP!A:H,8,0),""))</f>
        <v/>
      </c>
      <c r="H29" s="35"/>
      <c r="K29" s="35" t="str">
        <f>IF(A29="","",SUMIF(PAGO!C:C,A29,PAGO!H:H))</f>
        <v/>
      </c>
      <c r="L29" s="35" t="str">
        <f t="shared" si="0"/>
        <v/>
      </c>
    </row>
    <row r="30" spans="2:12" x14ac:dyDescent="0.3">
      <c r="B30" s="36"/>
      <c r="D30" t="str">
        <f>IF(C30="","",IFERROR(VLOOKUP(C30,RP!A:E,5,0),""))</f>
        <v/>
      </c>
      <c r="E30" t="str">
        <f>IF(C30="","",IFERROR(VLOOKUP(C30,RP!A:F,6,0),""))</f>
        <v/>
      </c>
      <c r="F30" t="str">
        <f>IF(C30="","",IFERROR(VLOOKUP(C30,RP!A:G,7,0),""))</f>
        <v/>
      </c>
      <c r="G30" t="str">
        <f>IF(C30="","",IFERROR(VLOOKUP(C30,RP!A:H,8,0),""))</f>
        <v/>
      </c>
      <c r="H30" s="35"/>
      <c r="K30" s="35" t="str">
        <f>IF(A30="","",SUMIF(PAGO!C:C,A30,PAGO!H:H))</f>
        <v/>
      </c>
      <c r="L30" s="35" t="str">
        <f t="shared" si="0"/>
        <v/>
      </c>
    </row>
    <row r="31" spans="2:12" x14ac:dyDescent="0.3">
      <c r="B31" s="36"/>
      <c r="D31" t="str">
        <f>IF(C31="","",IFERROR(VLOOKUP(C31,RP!A:E,5,0),""))</f>
        <v/>
      </c>
      <c r="E31" t="str">
        <f>IF(C31="","",IFERROR(VLOOKUP(C31,RP!A:F,6,0),""))</f>
        <v/>
      </c>
      <c r="F31" t="str">
        <f>IF(C31="","",IFERROR(VLOOKUP(C31,RP!A:G,7,0),""))</f>
        <v/>
      </c>
      <c r="G31" t="str">
        <f>IF(C31="","",IFERROR(VLOOKUP(C31,RP!A:H,8,0),""))</f>
        <v/>
      </c>
      <c r="H31" s="35"/>
      <c r="K31" s="35" t="str">
        <f>IF(A31="","",SUMIF(PAGO!C:C,A31,PAGO!H:H))</f>
        <v/>
      </c>
      <c r="L31" s="35" t="str">
        <f t="shared" si="0"/>
        <v/>
      </c>
    </row>
    <row r="32" spans="2:12" x14ac:dyDescent="0.3">
      <c r="B32" s="36"/>
      <c r="D32" t="str">
        <f>IF(C32="","",IFERROR(VLOOKUP(C32,RP!A:E,5,0),""))</f>
        <v/>
      </c>
      <c r="E32" t="str">
        <f>IF(C32="","",IFERROR(VLOOKUP(C32,RP!A:F,6,0),""))</f>
        <v/>
      </c>
      <c r="F32" t="str">
        <f>IF(C32="","",IFERROR(VLOOKUP(C32,RP!A:G,7,0),""))</f>
        <v/>
      </c>
      <c r="G32" t="str">
        <f>IF(C32="","",IFERROR(VLOOKUP(C32,RP!A:H,8,0),""))</f>
        <v/>
      </c>
      <c r="H32" s="35"/>
      <c r="K32" s="35" t="str">
        <f>IF(A32="","",SUMIF(PAGO!C:C,A32,PAGO!H:H))</f>
        <v/>
      </c>
      <c r="L32" s="35" t="str">
        <f t="shared" si="0"/>
        <v/>
      </c>
    </row>
    <row r="33" spans="2:12" x14ac:dyDescent="0.3">
      <c r="B33" s="36"/>
      <c r="D33" t="str">
        <f>IF(C33="","",IFERROR(VLOOKUP(C33,RP!A:E,5,0),""))</f>
        <v/>
      </c>
      <c r="E33" t="str">
        <f>IF(C33="","",IFERROR(VLOOKUP(C33,RP!A:F,6,0),""))</f>
        <v/>
      </c>
      <c r="F33" t="str">
        <f>IF(C33="","",IFERROR(VLOOKUP(C33,RP!A:G,7,0),""))</f>
        <v/>
      </c>
      <c r="G33" t="str">
        <f>IF(C33="","",IFERROR(VLOOKUP(C33,RP!A:H,8,0),""))</f>
        <v/>
      </c>
      <c r="H33" s="35"/>
      <c r="K33" s="35" t="str">
        <f>IF(A33="","",SUMIF(PAGO!C:C,A33,PAGO!H:H))</f>
        <v/>
      </c>
      <c r="L33" s="35" t="str">
        <f t="shared" si="0"/>
        <v/>
      </c>
    </row>
    <row r="34" spans="2:12" x14ac:dyDescent="0.3">
      <c r="B34" s="36"/>
      <c r="D34" t="str">
        <f>IF(C34="","",IFERROR(VLOOKUP(C34,RP!A:E,5,0),""))</f>
        <v/>
      </c>
      <c r="E34" t="str">
        <f>IF(C34="","",IFERROR(VLOOKUP(C34,RP!A:F,6,0),""))</f>
        <v/>
      </c>
      <c r="F34" t="str">
        <f>IF(C34="","",IFERROR(VLOOKUP(C34,RP!A:G,7,0),""))</f>
        <v/>
      </c>
      <c r="G34" t="str">
        <f>IF(C34="","",IFERROR(VLOOKUP(C34,RP!A:H,8,0),""))</f>
        <v/>
      </c>
      <c r="H34" s="35"/>
      <c r="K34" s="35" t="str">
        <f>IF(A34="","",SUMIF(PAGO!C:C,A34,PAGO!H:H))</f>
        <v/>
      </c>
      <c r="L34" s="35" t="str">
        <f t="shared" si="0"/>
        <v/>
      </c>
    </row>
    <row r="35" spans="2:12" x14ac:dyDescent="0.3">
      <c r="B35" s="36"/>
      <c r="D35" t="str">
        <f>IF(C35="","",IFERROR(VLOOKUP(C35,RP!A:E,5,0),""))</f>
        <v/>
      </c>
      <c r="E35" t="str">
        <f>IF(C35="","",IFERROR(VLOOKUP(C35,RP!A:F,6,0),""))</f>
        <v/>
      </c>
      <c r="F35" t="str">
        <f>IF(C35="","",IFERROR(VLOOKUP(C35,RP!A:G,7,0),""))</f>
        <v/>
      </c>
      <c r="G35" t="str">
        <f>IF(C35="","",IFERROR(VLOOKUP(C35,RP!A:H,8,0),""))</f>
        <v/>
      </c>
      <c r="H35" s="35"/>
      <c r="K35" s="35" t="str">
        <f>IF(A35="","",SUMIF(PAGO!C:C,A35,PAGO!H:H))</f>
        <v/>
      </c>
      <c r="L35" s="35" t="str">
        <f t="shared" si="0"/>
        <v/>
      </c>
    </row>
    <row r="36" spans="2:12" x14ac:dyDescent="0.3">
      <c r="B36" s="36"/>
      <c r="D36" t="str">
        <f>IF(C36="","",IFERROR(VLOOKUP(C36,RP!A:E,5,0),""))</f>
        <v/>
      </c>
      <c r="E36" t="str">
        <f>IF(C36="","",IFERROR(VLOOKUP(C36,RP!A:F,6,0),""))</f>
        <v/>
      </c>
      <c r="F36" t="str">
        <f>IF(C36="","",IFERROR(VLOOKUP(C36,RP!A:G,7,0),""))</f>
        <v/>
      </c>
      <c r="G36" t="str">
        <f>IF(C36="","",IFERROR(VLOOKUP(C36,RP!A:H,8,0),""))</f>
        <v/>
      </c>
      <c r="H36" s="35"/>
      <c r="K36" s="35" t="str">
        <f>IF(A36="","",SUMIF(PAGO!C:C,A36,PAGO!H:H))</f>
        <v/>
      </c>
      <c r="L36" s="35" t="str">
        <f t="shared" si="0"/>
        <v/>
      </c>
    </row>
    <row r="37" spans="2:12" x14ac:dyDescent="0.3">
      <c r="B37" s="36"/>
      <c r="D37" t="str">
        <f>IF(C37="","",IFERROR(VLOOKUP(C37,RP!A:E,5,0),""))</f>
        <v/>
      </c>
      <c r="E37" t="str">
        <f>IF(C37="","",IFERROR(VLOOKUP(C37,RP!A:F,6,0),""))</f>
        <v/>
      </c>
      <c r="F37" t="str">
        <f>IF(C37="","",IFERROR(VLOOKUP(C37,RP!A:G,7,0),""))</f>
        <v/>
      </c>
      <c r="G37" t="str">
        <f>IF(C37="","",IFERROR(VLOOKUP(C37,RP!A:H,8,0),""))</f>
        <v/>
      </c>
      <c r="H37" s="35"/>
      <c r="K37" s="35" t="str">
        <f>IF(A37="","",SUMIF(PAGO!C:C,A37,PAGO!H:H))</f>
        <v/>
      </c>
      <c r="L37" s="35" t="str">
        <f t="shared" si="0"/>
        <v/>
      </c>
    </row>
    <row r="38" spans="2:12" x14ac:dyDescent="0.3">
      <c r="B38" s="36"/>
      <c r="D38" t="str">
        <f>IF(C38="","",IFERROR(VLOOKUP(C38,RP!A:E,5,0),""))</f>
        <v/>
      </c>
      <c r="E38" t="str">
        <f>IF(C38="","",IFERROR(VLOOKUP(C38,RP!A:F,6,0),""))</f>
        <v/>
      </c>
      <c r="F38" t="str">
        <f>IF(C38="","",IFERROR(VLOOKUP(C38,RP!A:G,7,0),""))</f>
        <v/>
      </c>
      <c r="G38" t="str">
        <f>IF(C38="","",IFERROR(VLOOKUP(C38,RP!A:H,8,0),""))</f>
        <v/>
      </c>
      <c r="H38" s="35"/>
      <c r="K38" s="35" t="str">
        <f>IF(A38="","",SUMIF(PAGO!C:C,A38,PAGO!H:H))</f>
        <v/>
      </c>
      <c r="L38" s="35" t="str">
        <f t="shared" si="0"/>
        <v/>
      </c>
    </row>
    <row r="39" spans="2:12" x14ac:dyDescent="0.3">
      <c r="B39" s="36"/>
      <c r="D39" t="str">
        <f>IF(C39="","",IFERROR(VLOOKUP(C39,RP!A:E,5,0),""))</f>
        <v/>
      </c>
      <c r="E39" t="str">
        <f>IF(C39="","",IFERROR(VLOOKUP(C39,RP!A:F,6,0),""))</f>
        <v/>
      </c>
      <c r="F39" t="str">
        <f>IF(C39="","",IFERROR(VLOOKUP(C39,RP!A:G,7,0),""))</f>
        <v/>
      </c>
      <c r="G39" t="str">
        <f>IF(C39="","",IFERROR(VLOOKUP(C39,RP!A:H,8,0),""))</f>
        <v/>
      </c>
      <c r="H39" s="35"/>
      <c r="K39" s="35" t="str">
        <f>IF(A39="","",SUMIF(PAGO!C:C,A39,PAGO!H:H))</f>
        <v/>
      </c>
      <c r="L39" s="35" t="str">
        <f t="shared" si="0"/>
        <v/>
      </c>
    </row>
    <row r="40" spans="2:12" x14ac:dyDescent="0.3">
      <c r="B40" s="36"/>
      <c r="D40" t="str">
        <f>IF(C40="","",IFERROR(VLOOKUP(C40,RP!A:E,5,0),""))</f>
        <v/>
      </c>
      <c r="E40" t="str">
        <f>IF(C40="","",IFERROR(VLOOKUP(C40,RP!A:F,6,0),""))</f>
        <v/>
      </c>
      <c r="F40" t="str">
        <f>IF(C40="","",IFERROR(VLOOKUP(C40,RP!A:G,7,0),""))</f>
        <v/>
      </c>
      <c r="G40" t="str">
        <f>IF(C40="","",IFERROR(VLOOKUP(C40,RP!A:H,8,0),""))</f>
        <v/>
      </c>
      <c r="H40" s="35"/>
      <c r="K40" s="35" t="str">
        <f>IF(A40="","",SUMIF(PAGO!C:C,A40,PAGO!H:H))</f>
        <v/>
      </c>
      <c r="L40" s="35" t="str">
        <f t="shared" si="0"/>
        <v/>
      </c>
    </row>
    <row r="41" spans="2:12" x14ac:dyDescent="0.3">
      <c r="B41" s="36"/>
      <c r="D41" t="str">
        <f>IF(C41="","",IFERROR(VLOOKUP(C41,RP!A:E,5,0),""))</f>
        <v/>
      </c>
      <c r="E41" t="str">
        <f>IF(C41="","",IFERROR(VLOOKUP(C41,RP!A:F,6,0),""))</f>
        <v/>
      </c>
      <c r="F41" t="str">
        <f>IF(C41="","",IFERROR(VLOOKUP(C41,RP!A:G,7,0),""))</f>
        <v/>
      </c>
      <c r="G41" t="str">
        <f>IF(C41="","",IFERROR(VLOOKUP(C41,RP!A:H,8,0),""))</f>
        <v/>
      </c>
      <c r="H41" s="35"/>
      <c r="K41" s="35" t="str">
        <f>IF(A41="","",SUMIF(PAGO!C:C,A41,PAGO!H:H))</f>
        <v/>
      </c>
      <c r="L41" s="35" t="str">
        <f t="shared" si="0"/>
        <v/>
      </c>
    </row>
    <row r="42" spans="2:12" x14ac:dyDescent="0.3">
      <c r="B42" s="36"/>
      <c r="D42" t="str">
        <f>IF(C42="","",IFERROR(VLOOKUP(C42,RP!A:E,5,0),""))</f>
        <v/>
      </c>
      <c r="E42" t="str">
        <f>IF(C42="","",IFERROR(VLOOKUP(C42,RP!A:F,6,0),""))</f>
        <v/>
      </c>
      <c r="F42" t="str">
        <f>IF(C42="","",IFERROR(VLOOKUP(C42,RP!A:G,7,0),""))</f>
        <v/>
      </c>
      <c r="G42" t="str">
        <f>IF(C42="","",IFERROR(VLOOKUP(C42,RP!A:H,8,0),""))</f>
        <v/>
      </c>
      <c r="H42" s="35"/>
      <c r="K42" s="35" t="str">
        <f>IF(A42="","",SUMIF(PAGO!C:C,A42,PAGO!H:H))</f>
        <v/>
      </c>
      <c r="L42" s="35" t="str">
        <f t="shared" si="0"/>
        <v/>
      </c>
    </row>
    <row r="43" spans="2:12" x14ac:dyDescent="0.3">
      <c r="B43" s="36"/>
      <c r="D43" t="str">
        <f>IF(C43="","",IFERROR(VLOOKUP(C43,RP!A:E,5,0),""))</f>
        <v/>
      </c>
      <c r="E43" t="str">
        <f>IF(C43="","",IFERROR(VLOOKUP(C43,RP!A:F,6,0),""))</f>
        <v/>
      </c>
      <c r="F43" t="str">
        <f>IF(C43="","",IFERROR(VLOOKUP(C43,RP!A:G,7,0),""))</f>
        <v/>
      </c>
      <c r="G43" t="str">
        <f>IF(C43="","",IFERROR(VLOOKUP(C43,RP!A:H,8,0),""))</f>
        <v/>
      </c>
      <c r="H43" s="35"/>
      <c r="K43" s="35" t="str">
        <f>IF(A43="","",SUMIF(PAGO!C:C,A43,PAGO!H:H))</f>
        <v/>
      </c>
      <c r="L43" s="35" t="str">
        <f t="shared" si="0"/>
        <v/>
      </c>
    </row>
    <row r="44" spans="2:12" x14ac:dyDescent="0.3">
      <c r="B44" s="36"/>
      <c r="D44" t="str">
        <f>IF(C44="","",IFERROR(VLOOKUP(C44,RP!A:E,5,0),""))</f>
        <v/>
      </c>
      <c r="E44" t="str">
        <f>IF(C44="","",IFERROR(VLOOKUP(C44,RP!A:F,6,0),""))</f>
        <v/>
      </c>
      <c r="F44" t="str">
        <f>IF(C44="","",IFERROR(VLOOKUP(C44,RP!A:G,7,0),""))</f>
        <v/>
      </c>
      <c r="G44" t="str">
        <f>IF(C44="","",IFERROR(VLOOKUP(C44,RP!A:H,8,0),""))</f>
        <v/>
      </c>
      <c r="H44" s="35"/>
      <c r="K44" s="35" t="str">
        <f>IF(A44="","",SUMIF(PAGO!C:C,A44,PAGO!H:H))</f>
        <v/>
      </c>
      <c r="L44" s="35" t="str">
        <f t="shared" si="0"/>
        <v/>
      </c>
    </row>
    <row r="45" spans="2:12" x14ac:dyDescent="0.3">
      <c r="B45" s="36"/>
      <c r="D45" t="str">
        <f>IF(C45="","",IFERROR(VLOOKUP(C45,RP!A:E,5,0),""))</f>
        <v/>
      </c>
      <c r="E45" t="str">
        <f>IF(C45="","",IFERROR(VLOOKUP(C45,RP!A:F,6,0),""))</f>
        <v/>
      </c>
      <c r="F45" t="str">
        <f>IF(C45="","",IFERROR(VLOOKUP(C45,RP!A:G,7,0),""))</f>
        <v/>
      </c>
      <c r="G45" t="str">
        <f>IF(C45="","",IFERROR(VLOOKUP(C45,RP!A:H,8,0),""))</f>
        <v/>
      </c>
      <c r="H45" s="35"/>
      <c r="K45" s="35" t="str">
        <f>IF(A45="","",SUMIF(PAGO!C:C,A45,PAGO!H:H))</f>
        <v/>
      </c>
      <c r="L45" s="35" t="str">
        <f t="shared" si="0"/>
        <v/>
      </c>
    </row>
    <row r="46" spans="2:12" x14ac:dyDescent="0.3">
      <c r="B46" s="36"/>
      <c r="D46" t="str">
        <f>IF(C46="","",IFERROR(VLOOKUP(C46,RP!A:E,5,0),""))</f>
        <v/>
      </c>
      <c r="E46" t="str">
        <f>IF(C46="","",IFERROR(VLOOKUP(C46,RP!A:F,6,0),""))</f>
        <v/>
      </c>
      <c r="F46" t="str">
        <f>IF(C46="","",IFERROR(VLOOKUP(C46,RP!A:G,7,0),""))</f>
        <v/>
      </c>
      <c r="G46" t="str">
        <f>IF(C46="","",IFERROR(VLOOKUP(C46,RP!A:H,8,0),""))</f>
        <v/>
      </c>
      <c r="H46" s="35"/>
      <c r="K46" s="35" t="str">
        <f>IF(A46="","",SUMIF(PAGO!C:C,A46,PAGO!H:H))</f>
        <v/>
      </c>
      <c r="L46" s="35" t="str">
        <f t="shared" si="0"/>
        <v/>
      </c>
    </row>
    <row r="47" spans="2:12" x14ac:dyDescent="0.3">
      <c r="B47" s="36"/>
      <c r="D47" t="str">
        <f>IF(C47="","",IFERROR(VLOOKUP(C47,RP!A:E,5,0),""))</f>
        <v/>
      </c>
      <c r="E47" t="str">
        <f>IF(C47="","",IFERROR(VLOOKUP(C47,RP!A:F,6,0),""))</f>
        <v/>
      </c>
      <c r="F47" t="str">
        <f>IF(C47="","",IFERROR(VLOOKUP(C47,RP!A:G,7,0),""))</f>
        <v/>
      </c>
      <c r="G47" t="str">
        <f>IF(C47="","",IFERROR(VLOOKUP(C47,RP!A:H,8,0),""))</f>
        <v/>
      </c>
      <c r="H47" s="35"/>
      <c r="K47" s="35" t="str">
        <f>IF(A47="","",SUMIF(PAGO!C:C,A47,PAGO!H:H))</f>
        <v/>
      </c>
      <c r="L47" s="35" t="str">
        <f t="shared" si="0"/>
        <v/>
      </c>
    </row>
    <row r="48" spans="2:12" x14ac:dyDescent="0.3">
      <c r="B48" s="36"/>
      <c r="D48" t="str">
        <f>IF(C48="","",IFERROR(VLOOKUP(C48,RP!A:E,5,0),""))</f>
        <v/>
      </c>
      <c r="E48" t="str">
        <f>IF(C48="","",IFERROR(VLOOKUP(C48,RP!A:F,6,0),""))</f>
        <v/>
      </c>
      <c r="F48" t="str">
        <f>IF(C48="","",IFERROR(VLOOKUP(C48,RP!A:G,7,0),""))</f>
        <v/>
      </c>
      <c r="G48" t="str">
        <f>IF(C48="","",IFERROR(VLOOKUP(C48,RP!A:H,8,0),""))</f>
        <v/>
      </c>
      <c r="H48" s="35"/>
      <c r="K48" s="35" t="str">
        <f>IF(A48="","",SUMIF(PAGO!C:C,A48,PAGO!H:H))</f>
        <v/>
      </c>
      <c r="L48" s="35" t="str">
        <f t="shared" si="0"/>
        <v/>
      </c>
    </row>
    <row r="49" spans="2:12" x14ac:dyDescent="0.3">
      <c r="B49" s="36"/>
      <c r="D49" t="str">
        <f>IF(C49="","",IFERROR(VLOOKUP(C49,RP!A:E,5,0),""))</f>
        <v/>
      </c>
      <c r="E49" t="str">
        <f>IF(C49="","",IFERROR(VLOOKUP(C49,RP!A:F,6,0),""))</f>
        <v/>
      </c>
      <c r="F49" t="str">
        <f>IF(C49="","",IFERROR(VLOOKUP(C49,RP!A:G,7,0),""))</f>
        <v/>
      </c>
      <c r="G49" t="str">
        <f>IF(C49="","",IFERROR(VLOOKUP(C49,RP!A:H,8,0),""))</f>
        <v/>
      </c>
      <c r="H49" s="35"/>
      <c r="K49" s="35" t="str">
        <f>IF(A49="","",SUMIF(PAGO!C:C,A49,PAGO!H:H))</f>
        <v/>
      </c>
      <c r="L49" s="35" t="str">
        <f t="shared" si="0"/>
        <v/>
      </c>
    </row>
    <row r="50" spans="2:12" x14ac:dyDescent="0.3">
      <c r="B50" s="36"/>
      <c r="D50" t="str">
        <f>IF(C50="","",IFERROR(VLOOKUP(C50,RP!A:E,5,0),""))</f>
        <v/>
      </c>
      <c r="E50" t="str">
        <f>IF(C50="","",IFERROR(VLOOKUP(C50,RP!A:F,6,0),""))</f>
        <v/>
      </c>
      <c r="F50" t="str">
        <f>IF(C50="","",IFERROR(VLOOKUP(C50,RP!A:G,7,0),""))</f>
        <v/>
      </c>
      <c r="G50" t="str">
        <f>IF(C50="","",IFERROR(VLOOKUP(C50,RP!A:H,8,0),""))</f>
        <v/>
      </c>
      <c r="H50" s="35"/>
      <c r="K50" s="35" t="str">
        <f>IF(A50="","",SUMIF(PAGO!C:C,A50,PAGO!H:H))</f>
        <v/>
      </c>
      <c r="L50" s="35" t="str">
        <f t="shared" si="0"/>
        <v/>
      </c>
    </row>
    <row r="51" spans="2:12" x14ac:dyDescent="0.3">
      <c r="B51" s="36"/>
      <c r="D51" t="str">
        <f>IF(C51="","",IFERROR(VLOOKUP(C51,RP!A:E,5,0),""))</f>
        <v/>
      </c>
      <c r="E51" t="str">
        <f>IF(C51="","",IFERROR(VLOOKUP(C51,RP!A:F,6,0),""))</f>
        <v/>
      </c>
      <c r="F51" t="str">
        <f>IF(C51="","",IFERROR(VLOOKUP(C51,RP!A:G,7,0),""))</f>
        <v/>
      </c>
      <c r="G51" t="str">
        <f>IF(C51="","",IFERROR(VLOOKUP(C51,RP!A:H,8,0),""))</f>
        <v/>
      </c>
      <c r="H51" s="35"/>
      <c r="K51" s="35" t="str">
        <f>IF(A51="","",SUMIF(PAGO!C:C,A51,PAGO!H:H))</f>
        <v/>
      </c>
      <c r="L51" s="35" t="str">
        <f t="shared" si="0"/>
        <v/>
      </c>
    </row>
    <row r="52" spans="2:12" x14ac:dyDescent="0.3">
      <c r="B52" s="36"/>
      <c r="D52" t="str">
        <f>IF(C52="","",IFERROR(VLOOKUP(C52,RP!A:E,5,0),""))</f>
        <v/>
      </c>
      <c r="E52" t="str">
        <f>IF(C52="","",IFERROR(VLOOKUP(C52,RP!A:F,6,0),""))</f>
        <v/>
      </c>
      <c r="F52" t="str">
        <f>IF(C52="","",IFERROR(VLOOKUP(C52,RP!A:G,7,0),""))</f>
        <v/>
      </c>
      <c r="G52" t="str">
        <f>IF(C52="","",IFERROR(VLOOKUP(C52,RP!A:H,8,0),""))</f>
        <v/>
      </c>
      <c r="H52" s="35"/>
      <c r="K52" s="35" t="str">
        <f>IF(A52="","",SUMIF(PAGO!C:C,A52,PAGO!H:H))</f>
        <v/>
      </c>
      <c r="L52" s="35" t="str">
        <f t="shared" si="0"/>
        <v/>
      </c>
    </row>
    <row r="53" spans="2:12" x14ac:dyDescent="0.3">
      <c r="B53" s="36"/>
      <c r="D53" t="str">
        <f>IF(C53="","",IFERROR(VLOOKUP(C53,RP!A:E,5,0),""))</f>
        <v/>
      </c>
      <c r="E53" t="str">
        <f>IF(C53="","",IFERROR(VLOOKUP(C53,RP!A:F,6,0),""))</f>
        <v/>
      </c>
      <c r="F53" t="str">
        <f>IF(C53="","",IFERROR(VLOOKUP(C53,RP!A:G,7,0),""))</f>
        <v/>
      </c>
      <c r="G53" t="str">
        <f>IF(C53="","",IFERROR(VLOOKUP(C53,RP!A:H,8,0),""))</f>
        <v/>
      </c>
      <c r="H53" s="35"/>
      <c r="K53" s="35" t="str">
        <f>IF(A53="","",SUMIF(PAGO!C:C,A53,PAGO!H:H))</f>
        <v/>
      </c>
      <c r="L53" s="35" t="str">
        <f t="shared" si="0"/>
        <v/>
      </c>
    </row>
    <row r="54" spans="2:12" x14ac:dyDescent="0.3">
      <c r="B54" s="36"/>
      <c r="D54" t="str">
        <f>IF(C54="","",IFERROR(VLOOKUP(C54,RP!A:E,5,0),""))</f>
        <v/>
      </c>
      <c r="E54" t="str">
        <f>IF(C54="","",IFERROR(VLOOKUP(C54,RP!A:F,6,0),""))</f>
        <v/>
      </c>
      <c r="F54" t="str">
        <f>IF(C54="","",IFERROR(VLOOKUP(C54,RP!A:G,7,0),""))</f>
        <v/>
      </c>
      <c r="G54" t="str">
        <f>IF(C54="","",IFERROR(VLOOKUP(C54,RP!A:H,8,0),""))</f>
        <v/>
      </c>
      <c r="H54" s="35"/>
      <c r="K54" s="35" t="str">
        <f>IF(A54="","",SUMIF(PAGO!C:C,A54,PAGO!H:H))</f>
        <v/>
      </c>
      <c r="L54" s="35" t="str">
        <f t="shared" si="0"/>
        <v/>
      </c>
    </row>
    <row r="55" spans="2:12" x14ac:dyDescent="0.3">
      <c r="B55" s="36"/>
      <c r="D55" t="str">
        <f>IF(C55="","",IFERROR(VLOOKUP(C55,RP!A:E,5,0),""))</f>
        <v/>
      </c>
      <c r="E55" t="str">
        <f>IF(C55="","",IFERROR(VLOOKUP(C55,RP!A:F,6,0),""))</f>
        <v/>
      </c>
      <c r="F55" t="str">
        <f>IF(C55="","",IFERROR(VLOOKUP(C55,RP!A:G,7,0),""))</f>
        <v/>
      </c>
      <c r="G55" t="str">
        <f>IF(C55="","",IFERROR(VLOOKUP(C55,RP!A:H,8,0),""))</f>
        <v/>
      </c>
      <c r="H55" s="35"/>
      <c r="K55" s="35" t="str">
        <f>IF(A55="","",SUMIF(PAGO!C:C,A55,PAGO!H:H))</f>
        <v/>
      </c>
      <c r="L55" s="35" t="str">
        <f t="shared" si="0"/>
        <v/>
      </c>
    </row>
    <row r="56" spans="2:12" x14ac:dyDescent="0.3">
      <c r="B56" s="36"/>
      <c r="D56" t="str">
        <f>IF(C56="","",IFERROR(VLOOKUP(C56,RP!A:E,5,0),""))</f>
        <v/>
      </c>
      <c r="E56" t="str">
        <f>IF(C56="","",IFERROR(VLOOKUP(C56,RP!A:F,6,0),""))</f>
        <v/>
      </c>
      <c r="F56" t="str">
        <f>IF(C56="","",IFERROR(VLOOKUP(C56,RP!A:G,7,0),""))</f>
        <v/>
      </c>
      <c r="G56" t="str">
        <f>IF(C56="","",IFERROR(VLOOKUP(C56,RP!A:H,8,0),""))</f>
        <v/>
      </c>
      <c r="H56" s="35"/>
      <c r="K56" s="35" t="str">
        <f>IF(A56="","",SUMIF(PAGO!C:C,A56,PAGO!H:H))</f>
        <v/>
      </c>
      <c r="L56" s="35" t="str">
        <f t="shared" si="0"/>
        <v/>
      </c>
    </row>
    <row r="57" spans="2:12" x14ac:dyDescent="0.3">
      <c r="B57" s="36"/>
      <c r="D57" t="str">
        <f>IF(C57="","",IFERROR(VLOOKUP(C57,RP!A:E,5,0),""))</f>
        <v/>
      </c>
      <c r="E57" t="str">
        <f>IF(C57="","",IFERROR(VLOOKUP(C57,RP!A:F,6,0),""))</f>
        <v/>
      </c>
      <c r="F57" t="str">
        <f>IF(C57="","",IFERROR(VLOOKUP(C57,RP!A:G,7,0),""))</f>
        <v/>
      </c>
      <c r="G57" t="str">
        <f>IF(C57="","",IFERROR(VLOOKUP(C57,RP!A:H,8,0),""))</f>
        <v/>
      </c>
      <c r="H57" s="35"/>
      <c r="K57" s="35" t="str">
        <f>IF(A57="","",SUMIF(PAGO!C:C,A57,PAGO!H:H))</f>
        <v/>
      </c>
      <c r="L57" s="35" t="str">
        <f t="shared" si="0"/>
        <v/>
      </c>
    </row>
    <row r="58" spans="2:12" x14ac:dyDescent="0.3">
      <c r="B58" s="36"/>
      <c r="D58" t="str">
        <f>IF(C58="","",IFERROR(VLOOKUP(C58,RP!A:E,5,0),""))</f>
        <v/>
      </c>
      <c r="E58" t="str">
        <f>IF(C58="","",IFERROR(VLOOKUP(C58,RP!A:F,6,0),""))</f>
        <v/>
      </c>
      <c r="F58" t="str">
        <f>IF(C58="","",IFERROR(VLOOKUP(C58,RP!A:G,7,0),""))</f>
        <v/>
      </c>
      <c r="G58" t="str">
        <f>IF(C58="","",IFERROR(VLOOKUP(C58,RP!A:H,8,0),""))</f>
        <v/>
      </c>
      <c r="H58" s="35"/>
      <c r="K58" s="35" t="str">
        <f>IF(A58="","",SUMIF(PAGO!C:C,A58,PAGO!H:H))</f>
        <v/>
      </c>
      <c r="L58" s="35" t="str">
        <f t="shared" si="0"/>
        <v/>
      </c>
    </row>
    <row r="59" spans="2:12" x14ac:dyDescent="0.3">
      <c r="B59" s="36"/>
      <c r="D59" t="str">
        <f>IF(C59="","",IFERROR(VLOOKUP(C59,RP!A:E,5,0),""))</f>
        <v/>
      </c>
      <c r="E59" t="str">
        <f>IF(C59="","",IFERROR(VLOOKUP(C59,RP!A:F,6,0),""))</f>
        <v/>
      </c>
      <c r="F59" t="str">
        <f>IF(C59="","",IFERROR(VLOOKUP(C59,RP!A:G,7,0),""))</f>
        <v/>
      </c>
      <c r="G59" t="str">
        <f>IF(C59="","",IFERROR(VLOOKUP(C59,RP!A:H,8,0),""))</f>
        <v/>
      </c>
      <c r="H59" s="35"/>
      <c r="K59" s="35" t="str">
        <f>IF(A59="","",SUMIF(PAGO!C:C,A59,PAGO!H:H))</f>
        <v/>
      </c>
      <c r="L59" s="35" t="str">
        <f t="shared" si="0"/>
        <v/>
      </c>
    </row>
    <row r="60" spans="2:12" x14ac:dyDescent="0.3">
      <c r="B60" s="36"/>
      <c r="D60" t="str">
        <f>IF(C60="","",IFERROR(VLOOKUP(C60,RP!A:E,5,0),""))</f>
        <v/>
      </c>
      <c r="E60" t="str">
        <f>IF(C60="","",IFERROR(VLOOKUP(C60,RP!A:F,6,0),""))</f>
        <v/>
      </c>
      <c r="F60" t="str">
        <f>IF(C60="","",IFERROR(VLOOKUP(C60,RP!A:G,7,0),""))</f>
        <v/>
      </c>
      <c r="G60" t="str">
        <f>IF(C60="","",IFERROR(VLOOKUP(C60,RP!A:H,8,0),""))</f>
        <v/>
      </c>
      <c r="H60" s="35"/>
      <c r="K60" s="35" t="str">
        <f>IF(A60="","",SUMIF(PAGO!C:C,A60,PAGO!H:H))</f>
        <v/>
      </c>
      <c r="L60" s="35" t="str">
        <f t="shared" si="0"/>
        <v/>
      </c>
    </row>
    <row r="61" spans="2:12" x14ac:dyDescent="0.3">
      <c r="B61" s="36"/>
      <c r="D61" t="str">
        <f>IF(C61="","",IFERROR(VLOOKUP(C61,RP!A:E,5,0),""))</f>
        <v/>
      </c>
      <c r="E61" t="str">
        <f>IF(C61="","",IFERROR(VLOOKUP(C61,RP!A:F,6,0),""))</f>
        <v/>
      </c>
      <c r="F61" t="str">
        <f>IF(C61="","",IFERROR(VLOOKUP(C61,RP!A:G,7,0),""))</f>
        <v/>
      </c>
      <c r="G61" t="str">
        <f>IF(C61="","",IFERROR(VLOOKUP(C61,RP!A:H,8,0),""))</f>
        <v/>
      </c>
      <c r="H61" s="35"/>
      <c r="K61" s="35" t="str">
        <f>IF(A61="","",SUMIF(PAGO!C:C,A61,PAGO!H:H))</f>
        <v/>
      </c>
      <c r="L61" s="35" t="str">
        <f t="shared" si="0"/>
        <v/>
      </c>
    </row>
    <row r="62" spans="2:12" x14ac:dyDescent="0.3">
      <c r="B62" s="36"/>
      <c r="D62" t="str">
        <f>IF(C62="","",IFERROR(VLOOKUP(C62,RP!A:E,5,0),""))</f>
        <v/>
      </c>
      <c r="E62" t="str">
        <f>IF(C62="","",IFERROR(VLOOKUP(C62,RP!A:F,6,0),""))</f>
        <v/>
      </c>
      <c r="F62" t="str">
        <f>IF(C62="","",IFERROR(VLOOKUP(C62,RP!A:G,7,0),""))</f>
        <v/>
      </c>
      <c r="G62" t="str">
        <f>IF(C62="","",IFERROR(VLOOKUP(C62,RP!A:H,8,0),""))</f>
        <v/>
      </c>
      <c r="H62" s="35"/>
      <c r="K62" s="35" t="str">
        <f>IF(A62="","",SUMIF(PAGO!C:C,A62,PAGO!H:H))</f>
        <v/>
      </c>
      <c r="L62" s="35" t="str">
        <f t="shared" si="0"/>
        <v/>
      </c>
    </row>
    <row r="63" spans="2:12" x14ac:dyDescent="0.3">
      <c r="B63" s="36"/>
      <c r="D63" t="str">
        <f>IF(C63="","",IFERROR(VLOOKUP(C63,RP!A:E,5,0),""))</f>
        <v/>
      </c>
      <c r="E63" t="str">
        <f>IF(C63="","",IFERROR(VLOOKUP(C63,RP!A:F,6,0),""))</f>
        <v/>
      </c>
      <c r="F63" t="str">
        <f>IF(C63="","",IFERROR(VLOOKUP(C63,RP!A:G,7,0),""))</f>
        <v/>
      </c>
      <c r="G63" t="str">
        <f>IF(C63="","",IFERROR(VLOOKUP(C63,RP!A:H,8,0),""))</f>
        <v/>
      </c>
      <c r="H63" s="35"/>
      <c r="K63" s="35" t="str">
        <f>IF(A63="","",SUMIF(PAGO!C:C,A63,PAGO!H:H))</f>
        <v/>
      </c>
      <c r="L63" s="35" t="str">
        <f t="shared" si="0"/>
        <v/>
      </c>
    </row>
    <row r="64" spans="2:12" x14ac:dyDescent="0.3">
      <c r="B64" s="36"/>
      <c r="D64" t="str">
        <f>IF(C64="","",IFERROR(VLOOKUP(C64,RP!A:E,5,0),""))</f>
        <v/>
      </c>
      <c r="E64" t="str">
        <f>IF(C64="","",IFERROR(VLOOKUP(C64,RP!A:F,6,0),""))</f>
        <v/>
      </c>
      <c r="F64" t="str">
        <f>IF(C64="","",IFERROR(VLOOKUP(C64,RP!A:G,7,0),""))</f>
        <v/>
      </c>
      <c r="G64" t="str">
        <f>IF(C64="","",IFERROR(VLOOKUP(C64,RP!A:H,8,0),""))</f>
        <v/>
      </c>
      <c r="H64" s="35"/>
      <c r="K64" s="35" t="str">
        <f>IF(A64="","",SUMIF(PAGO!C:C,A64,PAGO!H:H))</f>
        <v/>
      </c>
      <c r="L64" s="35" t="str">
        <f t="shared" si="0"/>
        <v/>
      </c>
    </row>
    <row r="65" spans="2:12" x14ac:dyDescent="0.3">
      <c r="B65" s="36"/>
      <c r="D65" t="str">
        <f>IF(C65="","",IFERROR(VLOOKUP(C65,RP!A:E,5,0),""))</f>
        <v/>
      </c>
      <c r="E65" t="str">
        <f>IF(C65="","",IFERROR(VLOOKUP(C65,RP!A:F,6,0),""))</f>
        <v/>
      </c>
      <c r="F65" t="str">
        <f>IF(C65="","",IFERROR(VLOOKUP(C65,RP!A:G,7,0),""))</f>
        <v/>
      </c>
      <c r="G65" t="str">
        <f>IF(C65="","",IFERROR(VLOOKUP(C65,RP!A:H,8,0),""))</f>
        <v/>
      </c>
      <c r="H65" s="35"/>
      <c r="K65" s="35" t="str">
        <f>IF(A65="","",SUMIF(PAGO!C:C,A65,PAGO!H:H))</f>
        <v/>
      </c>
      <c r="L65" s="35" t="str">
        <f t="shared" si="0"/>
        <v/>
      </c>
    </row>
    <row r="66" spans="2:12" x14ac:dyDescent="0.3">
      <c r="B66" s="36"/>
      <c r="D66" t="str">
        <f>IF(C66="","",IFERROR(VLOOKUP(C66,RP!A:E,5,0),""))</f>
        <v/>
      </c>
      <c r="E66" t="str">
        <f>IF(C66="","",IFERROR(VLOOKUP(C66,RP!A:F,6,0),""))</f>
        <v/>
      </c>
      <c r="F66" t="str">
        <f>IF(C66="","",IFERROR(VLOOKUP(C66,RP!A:G,7,0),""))</f>
        <v/>
      </c>
      <c r="G66" t="str">
        <f>IF(C66="","",IFERROR(VLOOKUP(C66,RP!A:H,8,0),""))</f>
        <v/>
      </c>
      <c r="H66" s="35"/>
      <c r="K66" s="35" t="str">
        <f>IF(A66="","",SUMIF(PAGO!C:C,A66,PAGO!H:H))</f>
        <v/>
      </c>
      <c r="L66" s="35" t="str">
        <f t="shared" ref="L66:L129" si="1">IF(A66="","",H66-K66)</f>
        <v/>
      </c>
    </row>
    <row r="67" spans="2:12" x14ac:dyDescent="0.3">
      <c r="B67" s="36"/>
      <c r="D67" t="str">
        <f>IF(C67="","",IFERROR(VLOOKUP(C67,RP!A:E,5,0),""))</f>
        <v/>
      </c>
      <c r="E67" t="str">
        <f>IF(C67="","",IFERROR(VLOOKUP(C67,RP!A:F,6,0),""))</f>
        <v/>
      </c>
      <c r="F67" t="str">
        <f>IF(C67="","",IFERROR(VLOOKUP(C67,RP!A:G,7,0),""))</f>
        <v/>
      </c>
      <c r="G67" t="str">
        <f>IF(C67="","",IFERROR(VLOOKUP(C67,RP!A:H,8,0),""))</f>
        <v/>
      </c>
      <c r="H67" s="35"/>
      <c r="K67" s="35" t="str">
        <f>IF(A67="","",SUMIF(PAGO!C:C,A67,PAGO!H:H))</f>
        <v/>
      </c>
      <c r="L67" s="35" t="str">
        <f t="shared" si="1"/>
        <v/>
      </c>
    </row>
    <row r="68" spans="2:12" x14ac:dyDescent="0.3">
      <c r="B68" s="36"/>
      <c r="D68" t="str">
        <f>IF(C68="","",IFERROR(VLOOKUP(C68,RP!A:E,5,0),""))</f>
        <v/>
      </c>
      <c r="E68" t="str">
        <f>IF(C68="","",IFERROR(VLOOKUP(C68,RP!A:F,6,0),""))</f>
        <v/>
      </c>
      <c r="F68" t="str">
        <f>IF(C68="","",IFERROR(VLOOKUP(C68,RP!A:G,7,0),""))</f>
        <v/>
      </c>
      <c r="G68" t="str">
        <f>IF(C68="","",IFERROR(VLOOKUP(C68,RP!A:H,8,0),""))</f>
        <v/>
      </c>
      <c r="H68" s="35"/>
      <c r="K68" s="35" t="str">
        <f>IF(A68="","",SUMIF(PAGO!C:C,A68,PAGO!H:H))</f>
        <v/>
      </c>
      <c r="L68" s="35" t="str">
        <f t="shared" si="1"/>
        <v/>
      </c>
    </row>
    <row r="69" spans="2:12" x14ac:dyDescent="0.3">
      <c r="B69" s="36"/>
      <c r="D69" t="str">
        <f>IF(C69="","",IFERROR(VLOOKUP(C69,RP!A:E,5,0),""))</f>
        <v/>
      </c>
      <c r="E69" t="str">
        <f>IF(C69="","",IFERROR(VLOOKUP(C69,RP!A:F,6,0),""))</f>
        <v/>
      </c>
      <c r="F69" t="str">
        <f>IF(C69="","",IFERROR(VLOOKUP(C69,RP!A:G,7,0),""))</f>
        <v/>
      </c>
      <c r="G69" t="str">
        <f>IF(C69="","",IFERROR(VLOOKUP(C69,RP!A:H,8,0),""))</f>
        <v/>
      </c>
      <c r="H69" s="35"/>
      <c r="K69" s="35" t="str">
        <f>IF(A69="","",SUMIF(PAGO!C:C,A69,PAGO!H:H))</f>
        <v/>
      </c>
      <c r="L69" s="35" t="str">
        <f t="shared" si="1"/>
        <v/>
      </c>
    </row>
    <row r="70" spans="2:12" x14ac:dyDescent="0.3">
      <c r="B70" s="36"/>
      <c r="D70" t="str">
        <f>IF(C70="","",IFERROR(VLOOKUP(C70,RP!A:E,5,0),""))</f>
        <v/>
      </c>
      <c r="E70" t="str">
        <f>IF(C70="","",IFERROR(VLOOKUP(C70,RP!A:F,6,0),""))</f>
        <v/>
      </c>
      <c r="F70" t="str">
        <f>IF(C70="","",IFERROR(VLOOKUP(C70,RP!A:G,7,0),""))</f>
        <v/>
      </c>
      <c r="G70" t="str">
        <f>IF(C70="","",IFERROR(VLOOKUP(C70,RP!A:H,8,0),""))</f>
        <v/>
      </c>
      <c r="H70" s="35"/>
      <c r="K70" s="35" t="str">
        <f>IF(A70="","",SUMIF(PAGO!C:C,A70,PAGO!H:H))</f>
        <v/>
      </c>
      <c r="L70" s="35" t="str">
        <f t="shared" si="1"/>
        <v/>
      </c>
    </row>
    <row r="71" spans="2:12" x14ac:dyDescent="0.3">
      <c r="B71" s="36"/>
      <c r="D71" t="str">
        <f>IF(C71="","",IFERROR(VLOOKUP(C71,RP!A:E,5,0),""))</f>
        <v/>
      </c>
      <c r="E71" t="str">
        <f>IF(C71="","",IFERROR(VLOOKUP(C71,RP!A:F,6,0),""))</f>
        <v/>
      </c>
      <c r="F71" t="str">
        <f>IF(C71="","",IFERROR(VLOOKUP(C71,RP!A:G,7,0),""))</f>
        <v/>
      </c>
      <c r="G71" t="str">
        <f>IF(C71="","",IFERROR(VLOOKUP(C71,RP!A:H,8,0),""))</f>
        <v/>
      </c>
      <c r="H71" s="35"/>
      <c r="K71" s="35" t="str">
        <f>IF(A71="","",SUMIF(PAGO!C:C,A71,PAGO!H:H))</f>
        <v/>
      </c>
      <c r="L71" s="35" t="str">
        <f t="shared" si="1"/>
        <v/>
      </c>
    </row>
    <row r="72" spans="2:12" x14ac:dyDescent="0.3">
      <c r="B72" s="36"/>
      <c r="D72" t="str">
        <f>IF(C72="","",IFERROR(VLOOKUP(C72,RP!A:E,5,0),""))</f>
        <v/>
      </c>
      <c r="E72" t="str">
        <f>IF(C72="","",IFERROR(VLOOKUP(C72,RP!A:F,6,0),""))</f>
        <v/>
      </c>
      <c r="F72" t="str">
        <f>IF(C72="","",IFERROR(VLOOKUP(C72,RP!A:G,7,0),""))</f>
        <v/>
      </c>
      <c r="G72" t="str">
        <f>IF(C72="","",IFERROR(VLOOKUP(C72,RP!A:H,8,0),""))</f>
        <v/>
      </c>
      <c r="H72" s="35"/>
      <c r="K72" s="35" t="str">
        <f>IF(A72="","",SUMIF(PAGO!C:C,A72,PAGO!H:H))</f>
        <v/>
      </c>
      <c r="L72" s="35" t="str">
        <f t="shared" si="1"/>
        <v/>
      </c>
    </row>
    <row r="73" spans="2:12" x14ac:dyDescent="0.3">
      <c r="B73" s="36"/>
      <c r="D73" t="str">
        <f>IF(C73="","",IFERROR(VLOOKUP(C73,RP!A:E,5,0),""))</f>
        <v/>
      </c>
      <c r="E73" t="str">
        <f>IF(C73="","",IFERROR(VLOOKUP(C73,RP!A:F,6,0),""))</f>
        <v/>
      </c>
      <c r="F73" t="str">
        <f>IF(C73="","",IFERROR(VLOOKUP(C73,RP!A:G,7,0),""))</f>
        <v/>
      </c>
      <c r="G73" t="str">
        <f>IF(C73="","",IFERROR(VLOOKUP(C73,RP!A:H,8,0),""))</f>
        <v/>
      </c>
      <c r="H73" s="35"/>
      <c r="K73" s="35" t="str">
        <f>IF(A73="","",SUMIF(PAGO!C:C,A73,PAGO!H:H))</f>
        <v/>
      </c>
      <c r="L73" s="35" t="str">
        <f t="shared" si="1"/>
        <v/>
      </c>
    </row>
    <row r="74" spans="2:12" x14ac:dyDescent="0.3">
      <c r="B74" s="36"/>
      <c r="D74" t="str">
        <f>IF(C74="","",IFERROR(VLOOKUP(C74,RP!A:E,5,0),""))</f>
        <v/>
      </c>
      <c r="E74" t="str">
        <f>IF(C74="","",IFERROR(VLOOKUP(C74,RP!A:F,6,0),""))</f>
        <v/>
      </c>
      <c r="F74" t="str">
        <f>IF(C74="","",IFERROR(VLOOKUP(C74,RP!A:G,7,0),""))</f>
        <v/>
      </c>
      <c r="G74" t="str">
        <f>IF(C74="","",IFERROR(VLOOKUP(C74,RP!A:H,8,0),""))</f>
        <v/>
      </c>
      <c r="H74" s="35"/>
      <c r="K74" s="35" t="str">
        <f>IF(A74="","",SUMIF(PAGO!C:C,A74,PAGO!H:H))</f>
        <v/>
      </c>
      <c r="L74" s="35" t="str">
        <f t="shared" si="1"/>
        <v/>
      </c>
    </row>
    <row r="75" spans="2:12" x14ac:dyDescent="0.3">
      <c r="B75" s="36"/>
      <c r="D75" t="str">
        <f>IF(C75="","",IFERROR(VLOOKUP(C75,RP!A:E,5,0),""))</f>
        <v/>
      </c>
      <c r="E75" t="str">
        <f>IF(C75="","",IFERROR(VLOOKUP(C75,RP!A:F,6,0),""))</f>
        <v/>
      </c>
      <c r="F75" t="str">
        <f>IF(C75="","",IFERROR(VLOOKUP(C75,RP!A:G,7,0),""))</f>
        <v/>
      </c>
      <c r="G75" t="str">
        <f>IF(C75="","",IFERROR(VLOOKUP(C75,RP!A:H,8,0),""))</f>
        <v/>
      </c>
      <c r="H75" s="35"/>
      <c r="K75" s="35" t="str">
        <f>IF(A75="","",SUMIF(PAGO!C:C,A75,PAGO!H:H))</f>
        <v/>
      </c>
      <c r="L75" s="35" t="str">
        <f t="shared" si="1"/>
        <v/>
      </c>
    </row>
    <row r="76" spans="2:12" x14ac:dyDescent="0.3">
      <c r="B76" s="36"/>
      <c r="D76" t="str">
        <f>IF(C76="","",IFERROR(VLOOKUP(C76,RP!A:E,5,0),""))</f>
        <v/>
      </c>
      <c r="E76" t="str">
        <f>IF(C76="","",IFERROR(VLOOKUP(C76,RP!A:F,6,0),""))</f>
        <v/>
      </c>
      <c r="F76" t="str">
        <f>IF(C76="","",IFERROR(VLOOKUP(C76,RP!A:G,7,0),""))</f>
        <v/>
      </c>
      <c r="G76" t="str">
        <f>IF(C76="","",IFERROR(VLOOKUP(C76,RP!A:H,8,0),""))</f>
        <v/>
      </c>
      <c r="H76" s="35"/>
      <c r="K76" s="35" t="str">
        <f>IF(A76="","",SUMIF(PAGO!C:C,A76,PAGO!H:H))</f>
        <v/>
      </c>
      <c r="L76" s="35" t="str">
        <f t="shared" si="1"/>
        <v/>
      </c>
    </row>
    <row r="77" spans="2:12" x14ac:dyDescent="0.3">
      <c r="B77" s="36"/>
      <c r="D77" t="str">
        <f>IF(C77="","",IFERROR(VLOOKUP(C77,RP!A:E,5,0),""))</f>
        <v/>
      </c>
      <c r="E77" t="str">
        <f>IF(C77="","",IFERROR(VLOOKUP(C77,RP!A:F,6,0),""))</f>
        <v/>
      </c>
      <c r="F77" t="str">
        <f>IF(C77="","",IFERROR(VLOOKUP(C77,RP!A:G,7,0),""))</f>
        <v/>
      </c>
      <c r="G77" t="str">
        <f>IF(C77="","",IFERROR(VLOOKUP(C77,RP!A:H,8,0),""))</f>
        <v/>
      </c>
      <c r="H77" s="35"/>
      <c r="K77" s="35" t="str">
        <f>IF(A77="","",SUMIF(PAGO!C:C,A77,PAGO!H:H))</f>
        <v/>
      </c>
      <c r="L77" s="35" t="str">
        <f t="shared" si="1"/>
        <v/>
      </c>
    </row>
    <row r="78" spans="2:12" x14ac:dyDescent="0.3">
      <c r="B78" s="36"/>
      <c r="D78" t="str">
        <f>IF(C78="","",IFERROR(VLOOKUP(C78,RP!A:E,5,0),""))</f>
        <v/>
      </c>
      <c r="E78" t="str">
        <f>IF(C78="","",IFERROR(VLOOKUP(C78,RP!A:F,6,0),""))</f>
        <v/>
      </c>
      <c r="F78" t="str">
        <f>IF(C78="","",IFERROR(VLOOKUP(C78,RP!A:G,7,0),""))</f>
        <v/>
      </c>
      <c r="G78" t="str">
        <f>IF(C78="","",IFERROR(VLOOKUP(C78,RP!A:H,8,0),""))</f>
        <v/>
      </c>
      <c r="H78" s="35"/>
      <c r="K78" s="35" t="str">
        <f>IF(A78="","",SUMIF(PAGO!C:C,A78,PAGO!H:H))</f>
        <v/>
      </c>
      <c r="L78" s="35" t="str">
        <f t="shared" si="1"/>
        <v/>
      </c>
    </row>
    <row r="79" spans="2:12" x14ac:dyDescent="0.3">
      <c r="B79" s="36"/>
      <c r="D79" t="str">
        <f>IF(C79="","",IFERROR(VLOOKUP(C79,RP!A:E,5,0),""))</f>
        <v/>
      </c>
      <c r="E79" t="str">
        <f>IF(C79="","",IFERROR(VLOOKUP(C79,RP!A:F,6,0),""))</f>
        <v/>
      </c>
      <c r="F79" t="str">
        <f>IF(C79="","",IFERROR(VLOOKUP(C79,RP!A:G,7,0),""))</f>
        <v/>
      </c>
      <c r="G79" t="str">
        <f>IF(C79="","",IFERROR(VLOOKUP(C79,RP!A:H,8,0),""))</f>
        <v/>
      </c>
      <c r="H79" s="35"/>
      <c r="K79" s="35" t="str">
        <f>IF(A79="","",SUMIF(PAGO!C:C,A79,PAGO!H:H))</f>
        <v/>
      </c>
      <c r="L79" s="35" t="str">
        <f t="shared" si="1"/>
        <v/>
      </c>
    </row>
    <row r="80" spans="2:12" x14ac:dyDescent="0.3">
      <c r="B80" s="36"/>
      <c r="D80" t="str">
        <f>IF(C80="","",IFERROR(VLOOKUP(C80,RP!A:E,5,0),""))</f>
        <v/>
      </c>
      <c r="E80" t="str">
        <f>IF(C80="","",IFERROR(VLOOKUP(C80,RP!A:F,6,0),""))</f>
        <v/>
      </c>
      <c r="F80" t="str">
        <f>IF(C80="","",IFERROR(VLOOKUP(C80,RP!A:G,7,0),""))</f>
        <v/>
      </c>
      <c r="G80" t="str">
        <f>IF(C80="","",IFERROR(VLOOKUP(C80,RP!A:H,8,0),""))</f>
        <v/>
      </c>
      <c r="H80" s="35"/>
      <c r="K80" s="35" t="str">
        <f>IF(A80="","",SUMIF(PAGO!C:C,A80,PAGO!H:H))</f>
        <v/>
      </c>
      <c r="L80" s="35" t="str">
        <f t="shared" si="1"/>
        <v/>
      </c>
    </row>
    <row r="81" spans="2:12" x14ac:dyDescent="0.3">
      <c r="B81" s="36"/>
      <c r="D81" t="str">
        <f>IF(C81="","",IFERROR(VLOOKUP(C81,RP!A:E,5,0),""))</f>
        <v/>
      </c>
      <c r="E81" t="str">
        <f>IF(C81="","",IFERROR(VLOOKUP(C81,RP!A:F,6,0),""))</f>
        <v/>
      </c>
      <c r="F81" t="str">
        <f>IF(C81="","",IFERROR(VLOOKUP(C81,RP!A:G,7,0),""))</f>
        <v/>
      </c>
      <c r="G81" t="str">
        <f>IF(C81="","",IFERROR(VLOOKUP(C81,RP!A:H,8,0),""))</f>
        <v/>
      </c>
      <c r="H81" s="35"/>
      <c r="K81" s="35" t="str">
        <f>IF(A81="","",SUMIF(PAGO!C:C,A81,PAGO!H:H))</f>
        <v/>
      </c>
      <c r="L81" s="35" t="str">
        <f t="shared" si="1"/>
        <v/>
      </c>
    </row>
    <row r="82" spans="2:12" x14ac:dyDescent="0.3">
      <c r="B82" s="36"/>
      <c r="D82" t="str">
        <f>IF(C82="","",IFERROR(VLOOKUP(C82,RP!A:E,5,0),""))</f>
        <v/>
      </c>
      <c r="E82" t="str">
        <f>IF(C82="","",IFERROR(VLOOKUP(C82,RP!A:F,6,0),""))</f>
        <v/>
      </c>
      <c r="F82" t="str">
        <f>IF(C82="","",IFERROR(VLOOKUP(C82,RP!A:G,7,0),""))</f>
        <v/>
      </c>
      <c r="G82" t="str">
        <f>IF(C82="","",IFERROR(VLOOKUP(C82,RP!A:H,8,0),""))</f>
        <v/>
      </c>
      <c r="H82" s="35"/>
      <c r="K82" s="35" t="str">
        <f>IF(A82="","",SUMIF(PAGO!C:C,A82,PAGO!H:H))</f>
        <v/>
      </c>
      <c r="L82" s="35" t="str">
        <f t="shared" si="1"/>
        <v/>
      </c>
    </row>
    <row r="83" spans="2:12" x14ac:dyDescent="0.3">
      <c r="B83" s="36"/>
      <c r="D83" t="str">
        <f>IF(C83="","",IFERROR(VLOOKUP(C83,RP!A:E,5,0),""))</f>
        <v/>
      </c>
      <c r="E83" t="str">
        <f>IF(C83="","",IFERROR(VLOOKUP(C83,RP!A:F,6,0),""))</f>
        <v/>
      </c>
      <c r="F83" t="str">
        <f>IF(C83="","",IFERROR(VLOOKUP(C83,RP!A:G,7,0),""))</f>
        <v/>
      </c>
      <c r="G83" t="str">
        <f>IF(C83="","",IFERROR(VLOOKUP(C83,RP!A:H,8,0),""))</f>
        <v/>
      </c>
      <c r="H83" s="35"/>
      <c r="K83" s="35" t="str">
        <f>IF(A83="","",SUMIF(PAGO!C:C,A83,PAGO!H:H))</f>
        <v/>
      </c>
      <c r="L83" s="35" t="str">
        <f t="shared" si="1"/>
        <v/>
      </c>
    </row>
    <row r="84" spans="2:12" x14ac:dyDescent="0.3">
      <c r="B84" s="36"/>
      <c r="D84" t="str">
        <f>IF(C84="","",IFERROR(VLOOKUP(C84,RP!A:E,5,0),""))</f>
        <v/>
      </c>
      <c r="E84" t="str">
        <f>IF(C84="","",IFERROR(VLOOKUP(C84,RP!A:F,6,0),""))</f>
        <v/>
      </c>
      <c r="F84" t="str">
        <f>IF(C84="","",IFERROR(VLOOKUP(C84,RP!A:G,7,0),""))</f>
        <v/>
      </c>
      <c r="G84" t="str">
        <f>IF(C84="","",IFERROR(VLOOKUP(C84,RP!A:H,8,0),""))</f>
        <v/>
      </c>
      <c r="H84" s="35"/>
      <c r="K84" s="35" t="str">
        <f>IF(A84="","",SUMIF(PAGO!C:C,A84,PAGO!H:H))</f>
        <v/>
      </c>
      <c r="L84" s="35" t="str">
        <f t="shared" si="1"/>
        <v/>
      </c>
    </row>
    <row r="85" spans="2:12" x14ac:dyDescent="0.3">
      <c r="B85" s="36"/>
      <c r="D85" t="str">
        <f>IF(C85="","",IFERROR(VLOOKUP(C85,RP!A:E,5,0),""))</f>
        <v/>
      </c>
      <c r="E85" t="str">
        <f>IF(C85="","",IFERROR(VLOOKUP(C85,RP!A:F,6,0),""))</f>
        <v/>
      </c>
      <c r="F85" t="str">
        <f>IF(C85="","",IFERROR(VLOOKUP(C85,RP!A:G,7,0),""))</f>
        <v/>
      </c>
      <c r="G85" t="str">
        <f>IF(C85="","",IFERROR(VLOOKUP(C85,RP!A:H,8,0),""))</f>
        <v/>
      </c>
      <c r="H85" s="35"/>
      <c r="K85" s="35" t="str">
        <f>IF(A85="","",SUMIF(PAGO!C:C,A85,PAGO!H:H))</f>
        <v/>
      </c>
      <c r="L85" s="35" t="str">
        <f t="shared" si="1"/>
        <v/>
      </c>
    </row>
    <row r="86" spans="2:12" x14ac:dyDescent="0.3">
      <c r="B86" s="36"/>
      <c r="D86" t="str">
        <f>IF(C86="","",IFERROR(VLOOKUP(C86,RP!A:E,5,0),""))</f>
        <v/>
      </c>
      <c r="E86" t="str">
        <f>IF(C86="","",IFERROR(VLOOKUP(C86,RP!A:F,6,0),""))</f>
        <v/>
      </c>
      <c r="F86" t="str">
        <f>IF(C86="","",IFERROR(VLOOKUP(C86,RP!A:G,7,0),""))</f>
        <v/>
      </c>
      <c r="G86" t="str">
        <f>IF(C86="","",IFERROR(VLOOKUP(C86,RP!A:H,8,0),""))</f>
        <v/>
      </c>
      <c r="H86" s="35"/>
      <c r="K86" s="35" t="str">
        <f>IF(A86="","",SUMIF(PAGO!C:C,A86,PAGO!H:H))</f>
        <v/>
      </c>
      <c r="L86" s="35" t="str">
        <f t="shared" si="1"/>
        <v/>
      </c>
    </row>
    <row r="87" spans="2:12" x14ac:dyDescent="0.3">
      <c r="B87" s="36"/>
      <c r="D87" t="str">
        <f>IF(C87="","",IFERROR(VLOOKUP(C87,RP!A:E,5,0),""))</f>
        <v/>
      </c>
      <c r="E87" t="str">
        <f>IF(C87="","",IFERROR(VLOOKUP(C87,RP!A:F,6,0),""))</f>
        <v/>
      </c>
      <c r="F87" t="str">
        <f>IF(C87="","",IFERROR(VLOOKUP(C87,RP!A:G,7,0),""))</f>
        <v/>
      </c>
      <c r="G87" t="str">
        <f>IF(C87="","",IFERROR(VLOOKUP(C87,RP!A:H,8,0),""))</f>
        <v/>
      </c>
      <c r="H87" s="35"/>
      <c r="K87" s="35" t="str">
        <f>IF(A87="","",SUMIF(PAGO!C:C,A87,PAGO!H:H))</f>
        <v/>
      </c>
      <c r="L87" s="35" t="str">
        <f t="shared" si="1"/>
        <v/>
      </c>
    </row>
    <row r="88" spans="2:12" x14ac:dyDescent="0.3">
      <c r="B88" s="36"/>
      <c r="D88" t="str">
        <f>IF(C88="","",IFERROR(VLOOKUP(C88,RP!A:E,5,0),""))</f>
        <v/>
      </c>
      <c r="E88" t="str">
        <f>IF(C88="","",IFERROR(VLOOKUP(C88,RP!A:F,6,0),""))</f>
        <v/>
      </c>
      <c r="F88" t="str">
        <f>IF(C88="","",IFERROR(VLOOKUP(C88,RP!A:G,7,0),""))</f>
        <v/>
      </c>
      <c r="G88" t="str">
        <f>IF(C88="","",IFERROR(VLOOKUP(C88,RP!A:H,8,0),""))</f>
        <v/>
      </c>
      <c r="H88" s="35"/>
      <c r="K88" s="35" t="str">
        <f>IF(A88="","",SUMIF(PAGO!C:C,A88,PAGO!H:H))</f>
        <v/>
      </c>
      <c r="L88" s="35" t="str">
        <f t="shared" si="1"/>
        <v/>
      </c>
    </row>
    <row r="89" spans="2:12" x14ac:dyDescent="0.3">
      <c r="B89" s="36"/>
      <c r="D89" t="str">
        <f>IF(C89="","",IFERROR(VLOOKUP(C89,RP!A:E,5,0),""))</f>
        <v/>
      </c>
      <c r="E89" t="str">
        <f>IF(C89="","",IFERROR(VLOOKUP(C89,RP!A:F,6,0),""))</f>
        <v/>
      </c>
      <c r="F89" t="str">
        <f>IF(C89="","",IFERROR(VLOOKUP(C89,RP!A:G,7,0),""))</f>
        <v/>
      </c>
      <c r="G89" t="str">
        <f>IF(C89="","",IFERROR(VLOOKUP(C89,RP!A:H,8,0),""))</f>
        <v/>
      </c>
      <c r="H89" s="35"/>
      <c r="K89" s="35" t="str">
        <f>IF(A89="","",SUMIF(PAGO!C:C,A89,PAGO!H:H))</f>
        <v/>
      </c>
      <c r="L89" s="35" t="str">
        <f t="shared" si="1"/>
        <v/>
      </c>
    </row>
    <row r="90" spans="2:12" x14ac:dyDescent="0.3">
      <c r="B90" s="36"/>
      <c r="D90" t="str">
        <f>IF(C90="","",IFERROR(VLOOKUP(C90,RP!A:E,5,0),""))</f>
        <v/>
      </c>
      <c r="E90" t="str">
        <f>IF(C90="","",IFERROR(VLOOKUP(C90,RP!A:F,6,0),""))</f>
        <v/>
      </c>
      <c r="F90" t="str">
        <f>IF(C90="","",IFERROR(VLOOKUP(C90,RP!A:G,7,0),""))</f>
        <v/>
      </c>
      <c r="G90" t="str">
        <f>IF(C90="","",IFERROR(VLOOKUP(C90,RP!A:H,8,0),""))</f>
        <v/>
      </c>
      <c r="H90" s="35"/>
      <c r="K90" s="35" t="str">
        <f>IF(A90="","",SUMIF(PAGO!C:C,A90,PAGO!H:H))</f>
        <v/>
      </c>
      <c r="L90" s="35" t="str">
        <f t="shared" si="1"/>
        <v/>
      </c>
    </row>
    <row r="91" spans="2:12" x14ac:dyDescent="0.3">
      <c r="B91" s="36"/>
      <c r="D91" t="str">
        <f>IF(C91="","",IFERROR(VLOOKUP(C91,RP!A:E,5,0),""))</f>
        <v/>
      </c>
      <c r="E91" t="str">
        <f>IF(C91="","",IFERROR(VLOOKUP(C91,RP!A:F,6,0),""))</f>
        <v/>
      </c>
      <c r="F91" t="str">
        <f>IF(C91="","",IFERROR(VLOOKUP(C91,RP!A:G,7,0),""))</f>
        <v/>
      </c>
      <c r="G91" t="str">
        <f>IF(C91="","",IFERROR(VLOOKUP(C91,RP!A:H,8,0),""))</f>
        <v/>
      </c>
      <c r="H91" s="35"/>
      <c r="K91" s="35" t="str">
        <f>IF(A91="","",SUMIF(PAGO!C:C,A91,PAGO!H:H))</f>
        <v/>
      </c>
      <c r="L91" s="35" t="str">
        <f t="shared" si="1"/>
        <v/>
      </c>
    </row>
    <row r="92" spans="2:12" x14ac:dyDescent="0.3">
      <c r="B92" s="36"/>
      <c r="D92" t="str">
        <f>IF(C92="","",IFERROR(VLOOKUP(C92,RP!A:E,5,0),""))</f>
        <v/>
      </c>
      <c r="E92" t="str">
        <f>IF(C92="","",IFERROR(VLOOKUP(C92,RP!A:F,6,0),""))</f>
        <v/>
      </c>
      <c r="F92" t="str">
        <f>IF(C92="","",IFERROR(VLOOKUP(C92,RP!A:G,7,0),""))</f>
        <v/>
      </c>
      <c r="G92" t="str">
        <f>IF(C92="","",IFERROR(VLOOKUP(C92,RP!A:H,8,0),""))</f>
        <v/>
      </c>
      <c r="H92" s="35"/>
      <c r="K92" s="35" t="str">
        <f>IF(A92="","",SUMIF(PAGO!C:C,A92,PAGO!H:H))</f>
        <v/>
      </c>
      <c r="L92" s="35" t="str">
        <f t="shared" si="1"/>
        <v/>
      </c>
    </row>
    <row r="93" spans="2:12" x14ac:dyDescent="0.3">
      <c r="B93" s="36"/>
      <c r="D93" t="str">
        <f>IF(C93="","",IFERROR(VLOOKUP(C93,RP!A:E,5,0),""))</f>
        <v/>
      </c>
      <c r="E93" t="str">
        <f>IF(C93="","",IFERROR(VLOOKUP(C93,RP!A:F,6,0),""))</f>
        <v/>
      </c>
      <c r="F93" t="str">
        <f>IF(C93="","",IFERROR(VLOOKUP(C93,RP!A:G,7,0),""))</f>
        <v/>
      </c>
      <c r="G93" t="str">
        <f>IF(C93="","",IFERROR(VLOOKUP(C93,RP!A:H,8,0),""))</f>
        <v/>
      </c>
      <c r="H93" s="35"/>
      <c r="K93" s="35" t="str">
        <f>IF(A93="","",SUMIF(PAGO!C:C,A93,PAGO!H:H))</f>
        <v/>
      </c>
      <c r="L93" s="35" t="str">
        <f t="shared" si="1"/>
        <v/>
      </c>
    </row>
    <row r="94" spans="2:12" x14ac:dyDescent="0.3">
      <c r="B94" s="36"/>
      <c r="D94" t="str">
        <f>IF(C94="","",IFERROR(VLOOKUP(C94,RP!A:E,5,0),""))</f>
        <v/>
      </c>
      <c r="E94" t="str">
        <f>IF(C94="","",IFERROR(VLOOKUP(C94,RP!A:F,6,0),""))</f>
        <v/>
      </c>
      <c r="F94" t="str">
        <f>IF(C94="","",IFERROR(VLOOKUP(C94,RP!A:G,7,0),""))</f>
        <v/>
      </c>
      <c r="G94" t="str">
        <f>IF(C94="","",IFERROR(VLOOKUP(C94,RP!A:H,8,0),""))</f>
        <v/>
      </c>
      <c r="H94" s="35"/>
      <c r="K94" s="35" t="str">
        <f>IF(A94="","",SUMIF(PAGO!C:C,A94,PAGO!H:H))</f>
        <v/>
      </c>
      <c r="L94" s="35" t="str">
        <f t="shared" si="1"/>
        <v/>
      </c>
    </row>
    <row r="95" spans="2:12" x14ac:dyDescent="0.3">
      <c r="B95" s="36"/>
      <c r="D95" t="str">
        <f>IF(C95="","",IFERROR(VLOOKUP(C95,RP!A:E,5,0),""))</f>
        <v/>
      </c>
      <c r="E95" t="str">
        <f>IF(C95="","",IFERROR(VLOOKUP(C95,RP!A:F,6,0),""))</f>
        <v/>
      </c>
      <c r="F95" t="str">
        <f>IF(C95="","",IFERROR(VLOOKUP(C95,RP!A:G,7,0),""))</f>
        <v/>
      </c>
      <c r="G95" t="str">
        <f>IF(C95="","",IFERROR(VLOOKUP(C95,RP!A:H,8,0),""))</f>
        <v/>
      </c>
      <c r="H95" s="35"/>
      <c r="K95" s="35" t="str">
        <f>IF(A95="","",SUMIF(PAGO!C:C,A95,PAGO!H:H))</f>
        <v/>
      </c>
      <c r="L95" s="35" t="str">
        <f t="shared" si="1"/>
        <v/>
      </c>
    </row>
    <row r="96" spans="2:12" x14ac:dyDescent="0.3">
      <c r="B96" s="36"/>
      <c r="D96" t="str">
        <f>IF(C96="","",IFERROR(VLOOKUP(C96,RP!A:E,5,0),""))</f>
        <v/>
      </c>
      <c r="E96" t="str">
        <f>IF(C96="","",IFERROR(VLOOKUP(C96,RP!A:F,6,0),""))</f>
        <v/>
      </c>
      <c r="F96" t="str">
        <f>IF(C96="","",IFERROR(VLOOKUP(C96,RP!A:G,7,0),""))</f>
        <v/>
      </c>
      <c r="G96" t="str">
        <f>IF(C96="","",IFERROR(VLOOKUP(C96,RP!A:H,8,0),""))</f>
        <v/>
      </c>
      <c r="H96" s="35"/>
      <c r="K96" s="35" t="str">
        <f>IF(A96="","",SUMIF(PAGO!C:C,A96,PAGO!H:H))</f>
        <v/>
      </c>
      <c r="L96" s="35" t="str">
        <f t="shared" si="1"/>
        <v/>
      </c>
    </row>
    <row r="97" spans="2:12" x14ac:dyDescent="0.3">
      <c r="B97" s="36"/>
      <c r="D97" t="str">
        <f>IF(C97="","",IFERROR(VLOOKUP(C97,RP!A:E,5,0),""))</f>
        <v/>
      </c>
      <c r="E97" t="str">
        <f>IF(C97="","",IFERROR(VLOOKUP(C97,RP!A:F,6,0),""))</f>
        <v/>
      </c>
      <c r="F97" t="str">
        <f>IF(C97="","",IFERROR(VLOOKUP(C97,RP!A:G,7,0),""))</f>
        <v/>
      </c>
      <c r="G97" t="str">
        <f>IF(C97="","",IFERROR(VLOOKUP(C97,RP!A:H,8,0),""))</f>
        <v/>
      </c>
      <c r="H97" s="35"/>
      <c r="K97" s="35" t="str">
        <f>IF(A97="","",SUMIF(PAGO!C:C,A97,PAGO!H:H))</f>
        <v/>
      </c>
      <c r="L97" s="35" t="str">
        <f t="shared" si="1"/>
        <v/>
      </c>
    </row>
    <row r="98" spans="2:12" x14ac:dyDescent="0.3">
      <c r="B98" s="36"/>
      <c r="D98" t="str">
        <f>IF(C98="","",IFERROR(VLOOKUP(C98,RP!A:E,5,0),""))</f>
        <v/>
      </c>
      <c r="E98" t="str">
        <f>IF(C98="","",IFERROR(VLOOKUP(C98,RP!A:F,6,0),""))</f>
        <v/>
      </c>
      <c r="F98" t="str">
        <f>IF(C98="","",IFERROR(VLOOKUP(C98,RP!A:G,7,0),""))</f>
        <v/>
      </c>
      <c r="G98" t="str">
        <f>IF(C98="","",IFERROR(VLOOKUP(C98,RP!A:H,8,0),""))</f>
        <v/>
      </c>
      <c r="H98" s="35"/>
      <c r="K98" s="35" t="str">
        <f>IF(A98="","",SUMIF(PAGO!C:C,A98,PAGO!H:H))</f>
        <v/>
      </c>
      <c r="L98" s="35" t="str">
        <f t="shared" si="1"/>
        <v/>
      </c>
    </row>
    <row r="99" spans="2:12" x14ac:dyDescent="0.3">
      <c r="B99" s="36"/>
      <c r="D99" t="str">
        <f>IF(C99="","",IFERROR(VLOOKUP(C99,RP!A:E,5,0),""))</f>
        <v/>
      </c>
      <c r="E99" t="str">
        <f>IF(C99="","",IFERROR(VLOOKUP(C99,RP!A:F,6,0),""))</f>
        <v/>
      </c>
      <c r="F99" t="str">
        <f>IF(C99="","",IFERROR(VLOOKUP(C99,RP!A:G,7,0),""))</f>
        <v/>
      </c>
      <c r="G99" t="str">
        <f>IF(C99="","",IFERROR(VLOOKUP(C99,RP!A:H,8,0),""))</f>
        <v/>
      </c>
      <c r="H99" s="35"/>
      <c r="K99" s="35" t="str">
        <f>IF(A99="","",SUMIF(PAGO!C:C,A99,PAGO!H:H))</f>
        <v/>
      </c>
      <c r="L99" s="35" t="str">
        <f t="shared" si="1"/>
        <v/>
      </c>
    </row>
    <row r="100" spans="2:12" x14ac:dyDescent="0.3">
      <c r="B100" s="36"/>
      <c r="D100" t="str">
        <f>IF(C100="","",IFERROR(VLOOKUP(C100,RP!A:E,5,0),""))</f>
        <v/>
      </c>
      <c r="E100" t="str">
        <f>IF(C100="","",IFERROR(VLOOKUP(C100,RP!A:F,6,0),""))</f>
        <v/>
      </c>
      <c r="F100" t="str">
        <f>IF(C100="","",IFERROR(VLOOKUP(C100,RP!A:G,7,0),""))</f>
        <v/>
      </c>
      <c r="G100" t="str">
        <f>IF(C100="","",IFERROR(VLOOKUP(C100,RP!A:H,8,0),""))</f>
        <v/>
      </c>
      <c r="H100" s="35"/>
      <c r="K100" s="35" t="str">
        <f>IF(A100="","",SUMIF(PAGO!C:C,A100,PAGO!H:H))</f>
        <v/>
      </c>
      <c r="L100" s="35" t="str">
        <f t="shared" si="1"/>
        <v/>
      </c>
    </row>
    <row r="101" spans="2:12" x14ac:dyDescent="0.3">
      <c r="B101" s="36"/>
      <c r="D101" t="str">
        <f>IF(C101="","",IFERROR(VLOOKUP(C101,RP!A:E,5,0),""))</f>
        <v/>
      </c>
      <c r="E101" t="str">
        <f>IF(C101="","",IFERROR(VLOOKUP(C101,RP!A:F,6,0),""))</f>
        <v/>
      </c>
      <c r="F101" t="str">
        <f>IF(C101="","",IFERROR(VLOOKUP(C101,RP!A:G,7,0),""))</f>
        <v/>
      </c>
      <c r="G101" t="str">
        <f>IF(C101="","",IFERROR(VLOOKUP(C101,RP!A:H,8,0),""))</f>
        <v/>
      </c>
      <c r="H101" s="35"/>
      <c r="K101" s="35" t="str">
        <f>IF(A101="","",SUMIF(PAGO!C:C,A101,PAGO!H:H))</f>
        <v/>
      </c>
      <c r="L101" s="35" t="str">
        <f t="shared" si="1"/>
        <v/>
      </c>
    </row>
    <row r="102" spans="2:12" x14ac:dyDescent="0.3">
      <c r="B102" s="36"/>
      <c r="D102" t="str">
        <f>IF(C102="","",IFERROR(VLOOKUP(C102,RP!A:E,5,0),""))</f>
        <v/>
      </c>
      <c r="E102" t="str">
        <f>IF(C102="","",IFERROR(VLOOKUP(C102,RP!A:F,6,0),""))</f>
        <v/>
      </c>
      <c r="F102" t="str">
        <f>IF(C102="","",IFERROR(VLOOKUP(C102,RP!A:G,7,0),""))</f>
        <v/>
      </c>
      <c r="G102" t="str">
        <f>IF(C102="","",IFERROR(VLOOKUP(C102,RP!A:H,8,0),""))</f>
        <v/>
      </c>
      <c r="H102" s="35"/>
      <c r="K102" s="35" t="str">
        <f>IF(A102="","",SUMIF(PAGO!C:C,A102,PAGO!H:H))</f>
        <v/>
      </c>
      <c r="L102" s="35" t="str">
        <f t="shared" si="1"/>
        <v/>
      </c>
    </row>
    <row r="103" spans="2:12" x14ac:dyDescent="0.3">
      <c r="B103" s="36"/>
      <c r="D103" t="str">
        <f>IF(C103="","",IFERROR(VLOOKUP(C103,RP!A:E,5,0),""))</f>
        <v/>
      </c>
      <c r="E103" t="str">
        <f>IF(C103="","",IFERROR(VLOOKUP(C103,RP!A:F,6,0),""))</f>
        <v/>
      </c>
      <c r="F103" t="str">
        <f>IF(C103="","",IFERROR(VLOOKUP(C103,RP!A:G,7,0),""))</f>
        <v/>
      </c>
      <c r="G103" t="str">
        <f>IF(C103="","",IFERROR(VLOOKUP(C103,RP!A:H,8,0),""))</f>
        <v/>
      </c>
      <c r="H103" s="35"/>
      <c r="K103" s="35" t="str">
        <f>IF(A103="","",SUMIF(PAGO!C:C,A103,PAGO!H:H))</f>
        <v/>
      </c>
      <c r="L103" s="35" t="str">
        <f t="shared" si="1"/>
        <v/>
      </c>
    </row>
    <row r="104" spans="2:12" x14ac:dyDescent="0.3">
      <c r="B104" s="36"/>
      <c r="D104" t="str">
        <f>IF(C104="","",IFERROR(VLOOKUP(C104,RP!A:E,5,0),""))</f>
        <v/>
      </c>
      <c r="E104" t="str">
        <f>IF(C104="","",IFERROR(VLOOKUP(C104,RP!A:F,6,0),""))</f>
        <v/>
      </c>
      <c r="F104" t="str">
        <f>IF(C104="","",IFERROR(VLOOKUP(C104,RP!A:G,7,0),""))</f>
        <v/>
      </c>
      <c r="G104" t="str">
        <f>IF(C104="","",IFERROR(VLOOKUP(C104,RP!A:H,8,0),""))</f>
        <v/>
      </c>
      <c r="H104" s="35"/>
      <c r="K104" s="35" t="str">
        <f>IF(A104="","",SUMIF(PAGO!C:C,A104,PAGO!H:H))</f>
        <v/>
      </c>
      <c r="L104" s="35" t="str">
        <f t="shared" si="1"/>
        <v/>
      </c>
    </row>
    <row r="105" spans="2:12" x14ac:dyDescent="0.3">
      <c r="B105" s="36"/>
      <c r="D105" t="str">
        <f>IF(C105="","",IFERROR(VLOOKUP(C105,RP!A:E,5,0),""))</f>
        <v/>
      </c>
      <c r="E105" t="str">
        <f>IF(C105="","",IFERROR(VLOOKUP(C105,RP!A:F,6,0),""))</f>
        <v/>
      </c>
      <c r="F105" t="str">
        <f>IF(C105="","",IFERROR(VLOOKUP(C105,RP!A:G,7,0),""))</f>
        <v/>
      </c>
      <c r="G105" t="str">
        <f>IF(C105="","",IFERROR(VLOOKUP(C105,RP!A:H,8,0),""))</f>
        <v/>
      </c>
      <c r="H105" s="35"/>
      <c r="K105" s="35" t="str">
        <f>IF(A105="","",SUMIF(PAGO!C:C,A105,PAGO!H:H))</f>
        <v/>
      </c>
      <c r="L105" s="35" t="str">
        <f t="shared" si="1"/>
        <v/>
      </c>
    </row>
    <row r="106" spans="2:12" x14ac:dyDescent="0.3">
      <c r="B106" s="36"/>
      <c r="D106" t="str">
        <f>IF(C106="","",IFERROR(VLOOKUP(C106,RP!A:E,5,0),""))</f>
        <v/>
      </c>
      <c r="E106" t="str">
        <f>IF(C106="","",IFERROR(VLOOKUP(C106,RP!A:F,6,0),""))</f>
        <v/>
      </c>
      <c r="F106" t="str">
        <f>IF(C106="","",IFERROR(VLOOKUP(C106,RP!A:G,7,0),""))</f>
        <v/>
      </c>
      <c r="G106" t="str">
        <f>IF(C106="","",IFERROR(VLOOKUP(C106,RP!A:H,8,0),""))</f>
        <v/>
      </c>
      <c r="H106" s="35"/>
      <c r="K106" s="35" t="str">
        <f>IF(A106="","",SUMIF(PAGO!C:C,A106,PAGO!H:H))</f>
        <v/>
      </c>
      <c r="L106" s="35" t="str">
        <f t="shared" si="1"/>
        <v/>
      </c>
    </row>
    <row r="107" spans="2:12" x14ac:dyDescent="0.3">
      <c r="B107" s="36"/>
      <c r="D107" t="str">
        <f>IF(C107="","",IFERROR(VLOOKUP(C107,RP!A:E,5,0),""))</f>
        <v/>
      </c>
      <c r="E107" t="str">
        <f>IF(C107="","",IFERROR(VLOOKUP(C107,RP!A:F,6,0),""))</f>
        <v/>
      </c>
      <c r="F107" t="str">
        <f>IF(C107="","",IFERROR(VLOOKUP(C107,RP!A:G,7,0),""))</f>
        <v/>
      </c>
      <c r="G107" t="str">
        <f>IF(C107="","",IFERROR(VLOOKUP(C107,RP!A:H,8,0),""))</f>
        <v/>
      </c>
      <c r="H107" s="35"/>
      <c r="K107" s="35" t="str">
        <f>IF(A107="","",SUMIF(PAGO!C:C,A107,PAGO!H:H))</f>
        <v/>
      </c>
      <c r="L107" s="35" t="str">
        <f t="shared" si="1"/>
        <v/>
      </c>
    </row>
    <row r="108" spans="2:12" x14ac:dyDescent="0.3">
      <c r="B108" s="36"/>
      <c r="D108" t="str">
        <f>IF(C108="","",IFERROR(VLOOKUP(C108,RP!A:E,5,0),""))</f>
        <v/>
      </c>
      <c r="E108" t="str">
        <f>IF(C108="","",IFERROR(VLOOKUP(C108,RP!A:F,6,0),""))</f>
        <v/>
      </c>
      <c r="F108" t="str">
        <f>IF(C108="","",IFERROR(VLOOKUP(C108,RP!A:G,7,0),""))</f>
        <v/>
      </c>
      <c r="G108" t="str">
        <f>IF(C108="","",IFERROR(VLOOKUP(C108,RP!A:H,8,0),""))</f>
        <v/>
      </c>
      <c r="H108" s="35"/>
      <c r="K108" s="35" t="str">
        <f>IF(A108="","",SUMIF(PAGO!C:C,A108,PAGO!H:H))</f>
        <v/>
      </c>
      <c r="L108" s="35" t="str">
        <f t="shared" si="1"/>
        <v/>
      </c>
    </row>
    <row r="109" spans="2:12" x14ac:dyDescent="0.3">
      <c r="B109" s="36"/>
      <c r="D109" t="str">
        <f>IF(C109="","",IFERROR(VLOOKUP(C109,RP!A:E,5,0),""))</f>
        <v/>
      </c>
      <c r="E109" t="str">
        <f>IF(C109="","",IFERROR(VLOOKUP(C109,RP!A:F,6,0),""))</f>
        <v/>
      </c>
      <c r="F109" t="str">
        <f>IF(C109="","",IFERROR(VLOOKUP(C109,RP!A:G,7,0),""))</f>
        <v/>
      </c>
      <c r="G109" t="str">
        <f>IF(C109="","",IFERROR(VLOOKUP(C109,RP!A:H,8,0),""))</f>
        <v/>
      </c>
      <c r="H109" s="35"/>
      <c r="K109" s="35" t="str">
        <f>IF(A109="","",SUMIF(PAGO!C:C,A109,PAGO!H:H))</f>
        <v/>
      </c>
      <c r="L109" s="35" t="str">
        <f t="shared" si="1"/>
        <v/>
      </c>
    </row>
    <row r="110" spans="2:12" x14ac:dyDescent="0.3">
      <c r="B110" s="36"/>
      <c r="D110" t="str">
        <f>IF(C110="","",IFERROR(VLOOKUP(C110,RP!A:E,5,0),""))</f>
        <v/>
      </c>
      <c r="E110" t="str">
        <f>IF(C110="","",IFERROR(VLOOKUP(C110,RP!A:F,6,0),""))</f>
        <v/>
      </c>
      <c r="F110" t="str">
        <f>IF(C110="","",IFERROR(VLOOKUP(C110,RP!A:G,7,0),""))</f>
        <v/>
      </c>
      <c r="G110" t="str">
        <f>IF(C110="","",IFERROR(VLOOKUP(C110,RP!A:H,8,0),""))</f>
        <v/>
      </c>
      <c r="H110" s="35"/>
      <c r="K110" s="35" t="str">
        <f>IF(A110="","",SUMIF(PAGO!C:C,A110,PAGO!H:H))</f>
        <v/>
      </c>
      <c r="L110" s="35" t="str">
        <f t="shared" si="1"/>
        <v/>
      </c>
    </row>
    <row r="111" spans="2:12" x14ac:dyDescent="0.3">
      <c r="B111" s="36"/>
      <c r="D111" t="str">
        <f>IF(C111="","",IFERROR(VLOOKUP(C111,RP!A:E,5,0),""))</f>
        <v/>
      </c>
      <c r="E111" t="str">
        <f>IF(C111="","",IFERROR(VLOOKUP(C111,RP!A:F,6,0),""))</f>
        <v/>
      </c>
      <c r="F111" t="str">
        <f>IF(C111="","",IFERROR(VLOOKUP(C111,RP!A:G,7,0),""))</f>
        <v/>
      </c>
      <c r="G111" t="str">
        <f>IF(C111="","",IFERROR(VLOOKUP(C111,RP!A:H,8,0),""))</f>
        <v/>
      </c>
      <c r="H111" s="35"/>
      <c r="K111" s="35" t="str">
        <f>IF(A111="","",SUMIF(PAGO!C:C,A111,PAGO!H:H))</f>
        <v/>
      </c>
      <c r="L111" s="35" t="str">
        <f t="shared" si="1"/>
        <v/>
      </c>
    </row>
    <row r="112" spans="2:12" x14ac:dyDescent="0.3">
      <c r="B112" s="36"/>
      <c r="D112" t="str">
        <f>IF(C112="","",IFERROR(VLOOKUP(C112,RP!A:E,5,0),""))</f>
        <v/>
      </c>
      <c r="E112" t="str">
        <f>IF(C112="","",IFERROR(VLOOKUP(C112,RP!A:F,6,0),""))</f>
        <v/>
      </c>
      <c r="F112" t="str">
        <f>IF(C112="","",IFERROR(VLOOKUP(C112,RP!A:G,7,0),""))</f>
        <v/>
      </c>
      <c r="G112" t="str">
        <f>IF(C112="","",IFERROR(VLOOKUP(C112,RP!A:H,8,0),""))</f>
        <v/>
      </c>
      <c r="H112" s="35"/>
      <c r="K112" s="35" t="str">
        <f>IF(A112="","",SUMIF(PAGO!C:C,A112,PAGO!H:H))</f>
        <v/>
      </c>
      <c r="L112" s="35" t="str">
        <f t="shared" si="1"/>
        <v/>
      </c>
    </row>
    <row r="113" spans="2:12" x14ac:dyDescent="0.3">
      <c r="B113" s="36"/>
      <c r="D113" t="str">
        <f>IF(C113="","",IFERROR(VLOOKUP(C113,RP!A:E,5,0),""))</f>
        <v/>
      </c>
      <c r="E113" t="str">
        <f>IF(C113="","",IFERROR(VLOOKUP(C113,RP!A:F,6,0),""))</f>
        <v/>
      </c>
      <c r="F113" t="str">
        <f>IF(C113="","",IFERROR(VLOOKUP(C113,RP!A:G,7,0),""))</f>
        <v/>
      </c>
      <c r="G113" t="str">
        <f>IF(C113="","",IFERROR(VLOOKUP(C113,RP!A:H,8,0),""))</f>
        <v/>
      </c>
      <c r="H113" s="35"/>
      <c r="K113" s="35" t="str">
        <f>IF(A113="","",SUMIF(PAGO!C:C,A113,PAGO!H:H))</f>
        <v/>
      </c>
      <c r="L113" s="35" t="str">
        <f t="shared" si="1"/>
        <v/>
      </c>
    </row>
    <row r="114" spans="2:12" x14ac:dyDescent="0.3">
      <c r="B114" s="36"/>
      <c r="D114" t="str">
        <f>IF(C114="","",IFERROR(VLOOKUP(C114,RP!A:E,5,0),""))</f>
        <v/>
      </c>
      <c r="E114" t="str">
        <f>IF(C114="","",IFERROR(VLOOKUP(C114,RP!A:F,6,0),""))</f>
        <v/>
      </c>
      <c r="F114" t="str">
        <f>IF(C114="","",IFERROR(VLOOKUP(C114,RP!A:G,7,0),""))</f>
        <v/>
      </c>
      <c r="G114" t="str">
        <f>IF(C114="","",IFERROR(VLOOKUP(C114,RP!A:H,8,0),""))</f>
        <v/>
      </c>
      <c r="H114" s="35"/>
      <c r="K114" s="35" t="str">
        <f>IF(A114="","",SUMIF(PAGO!C:C,A114,PAGO!H:H))</f>
        <v/>
      </c>
      <c r="L114" s="35" t="str">
        <f t="shared" si="1"/>
        <v/>
      </c>
    </row>
    <row r="115" spans="2:12" x14ac:dyDescent="0.3">
      <c r="B115" s="36"/>
      <c r="D115" t="str">
        <f>IF(C115="","",IFERROR(VLOOKUP(C115,RP!A:E,5,0),""))</f>
        <v/>
      </c>
      <c r="E115" t="str">
        <f>IF(C115="","",IFERROR(VLOOKUP(C115,RP!A:F,6,0),""))</f>
        <v/>
      </c>
      <c r="F115" t="str">
        <f>IF(C115="","",IFERROR(VLOOKUP(C115,RP!A:G,7,0),""))</f>
        <v/>
      </c>
      <c r="G115" t="str">
        <f>IF(C115="","",IFERROR(VLOOKUP(C115,RP!A:H,8,0),""))</f>
        <v/>
      </c>
      <c r="H115" s="35"/>
      <c r="K115" s="35" t="str">
        <f>IF(A115="","",SUMIF(PAGO!C:C,A115,PAGO!H:H))</f>
        <v/>
      </c>
      <c r="L115" s="35" t="str">
        <f t="shared" si="1"/>
        <v/>
      </c>
    </row>
    <row r="116" spans="2:12" x14ac:dyDescent="0.3">
      <c r="B116" s="36"/>
      <c r="D116" t="str">
        <f>IF(C116="","",IFERROR(VLOOKUP(C116,RP!A:E,5,0),""))</f>
        <v/>
      </c>
      <c r="E116" t="str">
        <f>IF(C116="","",IFERROR(VLOOKUP(C116,RP!A:F,6,0),""))</f>
        <v/>
      </c>
      <c r="F116" t="str">
        <f>IF(C116="","",IFERROR(VLOOKUP(C116,RP!A:G,7,0),""))</f>
        <v/>
      </c>
      <c r="G116" t="str">
        <f>IF(C116="","",IFERROR(VLOOKUP(C116,RP!A:H,8,0),""))</f>
        <v/>
      </c>
      <c r="H116" s="35"/>
      <c r="K116" s="35" t="str">
        <f>IF(A116="","",SUMIF(PAGO!C:C,A116,PAGO!H:H))</f>
        <v/>
      </c>
      <c r="L116" s="35" t="str">
        <f t="shared" si="1"/>
        <v/>
      </c>
    </row>
    <row r="117" spans="2:12" x14ac:dyDescent="0.3">
      <c r="B117" s="36"/>
      <c r="D117" t="str">
        <f>IF(C117="","",IFERROR(VLOOKUP(C117,RP!A:E,5,0),""))</f>
        <v/>
      </c>
      <c r="E117" t="str">
        <f>IF(C117="","",IFERROR(VLOOKUP(C117,RP!A:F,6,0),""))</f>
        <v/>
      </c>
      <c r="F117" t="str">
        <f>IF(C117="","",IFERROR(VLOOKUP(C117,RP!A:G,7,0),""))</f>
        <v/>
      </c>
      <c r="G117" t="str">
        <f>IF(C117="","",IFERROR(VLOOKUP(C117,RP!A:H,8,0),""))</f>
        <v/>
      </c>
      <c r="H117" s="35"/>
      <c r="K117" s="35" t="str">
        <f>IF(A117="","",SUMIF(PAGO!C:C,A117,PAGO!H:H))</f>
        <v/>
      </c>
      <c r="L117" s="35" t="str">
        <f t="shared" si="1"/>
        <v/>
      </c>
    </row>
    <row r="118" spans="2:12" x14ac:dyDescent="0.3">
      <c r="B118" s="36"/>
      <c r="D118" t="str">
        <f>IF(C118="","",IFERROR(VLOOKUP(C118,RP!A:E,5,0),""))</f>
        <v/>
      </c>
      <c r="E118" t="str">
        <f>IF(C118="","",IFERROR(VLOOKUP(C118,RP!A:F,6,0),""))</f>
        <v/>
      </c>
      <c r="F118" t="str">
        <f>IF(C118="","",IFERROR(VLOOKUP(C118,RP!A:G,7,0),""))</f>
        <v/>
      </c>
      <c r="G118" t="str">
        <f>IF(C118="","",IFERROR(VLOOKUP(C118,RP!A:H,8,0),""))</f>
        <v/>
      </c>
      <c r="H118" s="35"/>
      <c r="K118" s="35" t="str">
        <f>IF(A118="","",SUMIF(PAGO!C:C,A118,PAGO!H:H))</f>
        <v/>
      </c>
      <c r="L118" s="35" t="str">
        <f t="shared" si="1"/>
        <v/>
      </c>
    </row>
    <row r="119" spans="2:12" x14ac:dyDescent="0.3">
      <c r="B119" s="36"/>
      <c r="D119" t="str">
        <f>IF(C119="","",IFERROR(VLOOKUP(C119,RP!A:E,5,0),""))</f>
        <v/>
      </c>
      <c r="E119" t="str">
        <f>IF(C119="","",IFERROR(VLOOKUP(C119,RP!A:F,6,0),""))</f>
        <v/>
      </c>
      <c r="F119" t="str">
        <f>IF(C119="","",IFERROR(VLOOKUP(C119,RP!A:G,7,0),""))</f>
        <v/>
      </c>
      <c r="G119" t="str">
        <f>IF(C119="","",IFERROR(VLOOKUP(C119,RP!A:H,8,0),""))</f>
        <v/>
      </c>
      <c r="H119" s="35"/>
      <c r="K119" s="35" t="str">
        <f>IF(A119="","",SUMIF(PAGO!C:C,A119,PAGO!H:H))</f>
        <v/>
      </c>
      <c r="L119" s="35" t="str">
        <f t="shared" si="1"/>
        <v/>
      </c>
    </row>
    <row r="120" spans="2:12" x14ac:dyDescent="0.3">
      <c r="B120" s="36"/>
      <c r="D120" t="str">
        <f>IF(C120="","",IFERROR(VLOOKUP(C120,RP!A:E,5,0),""))</f>
        <v/>
      </c>
      <c r="E120" t="str">
        <f>IF(C120="","",IFERROR(VLOOKUP(C120,RP!A:F,6,0),""))</f>
        <v/>
      </c>
      <c r="F120" t="str">
        <f>IF(C120="","",IFERROR(VLOOKUP(C120,RP!A:G,7,0),""))</f>
        <v/>
      </c>
      <c r="G120" t="str">
        <f>IF(C120="","",IFERROR(VLOOKUP(C120,RP!A:H,8,0),""))</f>
        <v/>
      </c>
      <c r="H120" s="35"/>
      <c r="K120" s="35" t="str">
        <f>IF(A120="","",SUMIF(PAGO!C:C,A120,PAGO!H:H))</f>
        <v/>
      </c>
      <c r="L120" s="35" t="str">
        <f t="shared" si="1"/>
        <v/>
      </c>
    </row>
    <row r="121" spans="2:12" x14ac:dyDescent="0.3">
      <c r="B121" s="36"/>
      <c r="D121" t="str">
        <f>IF(C121="","",IFERROR(VLOOKUP(C121,RP!A:E,5,0),""))</f>
        <v/>
      </c>
      <c r="E121" t="str">
        <f>IF(C121="","",IFERROR(VLOOKUP(C121,RP!A:F,6,0),""))</f>
        <v/>
      </c>
      <c r="F121" t="str">
        <f>IF(C121="","",IFERROR(VLOOKUP(C121,RP!A:G,7,0),""))</f>
        <v/>
      </c>
      <c r="G121" t="str">
        <f>IF(C121="","",IFERROR(VLOOKUP(C121,RP!A:H,8,0),""))</f>
        <v/>
      </c>
      <c r="H121" s="35"/>
      <c r="K121" s="35" t="str">
        <f>IF(A121="","",SUMIF(PAGO!C:C,A121,PAGO!H:H))</f>
        <v/>
      </c>
      <c r="L121" s="35" t="str">
        <f t="shared" si="1"/>
        <v/>
      </c>
    </row>
    <row r="122" spans="2:12" x14ac:dyDescent="0.3">
      <c r="B122" s="36"/>
      <c r="D122" t="str">
        <f>IF(C122="","",IFERROR(VLOOKUP(C122,RP!A:E,5,0),""))</f>
        <v/>
      </c>
      <c r="E122" t="str">
        <f>IF(C122="","",IFERROR(VLOOKUP(C122,RP!A:F,6,0),""))</f>
        <v/>
      </c>
      <c r="F122" t="str">
        <f>IF(C122="","",IFERROR(VLOOKUP(C122,RP!A:G,7,0),""))</f>
        <v/>
      </c>
      <c r="G122" t="str">
        <f>IF(C122="","",IFERROR(VLOOKUP(C122,RP!A:H,8,0),""))</f>
        <v/>
      </c>
      <c r="H122" s="35"/>
      <c r="K122" s="35" t="str">
        <f>IF(A122="","",SUMIF(PAGO!C:C,A122,PAGO!H:H))</f>
        <v/>
      </c>
      <c r="L122" s="35" t="str">
        <f t="shared" si="1"/>
        <v/>
      </c>
    </row>
    <row r="123" spans="2:12" x14ac:dyDescent="0.3">
      <c r="B123" s="36"/>
      <c r="D123" t="str">
        <f>IF(C123="","",IFERROR(VLOOKUP(C123,RP!A:E,5,0),""))</f>
        <v/>
      </c>
      <c r="E123" t="str">
        <f>IF(C123="","",IFERROR(VLOOKUP(C123,RP!A:F,6,0),""))</f>
        <v/>
      </c>
      <c r="F123" t="str">
        <f>IF(C123="","",IFERROR(VLOOKUP(C123,RP!A:G,7,0),""))</f>
        <v/>
      </c>
      <c r="G123" t="str">
        <f>IF(C123="","",IFERROR(VLOOKUP(C123,RP!A:H,8,0),""))</f>
        <v/>
      </c>
      <c r="H123" s="35"/>
      <c r="K123" s="35" t="str">
        <f>IF(A123="","",SUMIF(PAGO!C:C,A123,PAGO!H:H))</f>
        <v/>
      </c>
      <c r="L123" s="35" t="str">
        <f t="shared" si="1"/>
        <v/>
      </c>
    </row>
    <row r="124" spans="2:12" x14ac:dyDescent="0.3">
      <c r="B124" s="36"/>
      <c r="D124" t="str">
        <f>IF(C124="","",IFERROR(VLOOKUP(C124,RP!A:E,5,0),""))</f>
        <v/>
      </c>
      <c r="E124" t="str">
        <f>IF(C124="","",IFERROR(VLOOKUP(C124,RP!A:F,6,0),""))</f>
        <v/>
      </c>
      <c r="F124" t="str">
        <f>IF(C124="","",IFERROR(VLOOKUP(C124,RP!A:G,7,0),""))</f>
        <v/>
      </c>
      <c r="G124" t="str">
        <f>IF(C124="","",IFERROR(VLOOKUP(C124,RP!A:H,8,0),""))</f>
        <v/>
      </c>
      <c r="H124" s="35"/>
      <c r="K124" s="35" t="str">
        <f>IF(A124="","",SUMIF(PAGO!C:C,A124,PAGO!H:H))</f>
        <v/>
      </c>
      <c r="L124" s="35" t="str">
        <f t="shared" si="1"/>
        <v/>
      </c>
    </row>
    <row r="125" spans="2:12" x14ac:dyDescent="0.3">
      <c r="B125" s="36"/>
      <c r="D125" t="str">
        <f>IF(C125="","",IFERROR(VLOOKUP(C125,RP!A:E,5,0),""))</f>
        <v/>
      </c>
      <c r="E125" t="str">
        <f>IF(C125="","",IFERROR(VLOOKUP(C125,RP!A:F,6,0),""))</f>
        <v/>
      </c>
      <c r="F125" t="str">
        <f>IF(C125="","",IFERROR(VLOOKUP(C125,RP!A:G,7,0),""))</f>
        <v/>
      </c>
      <c r="G125" t="str">
        <f>IF(C125="","",IFERROR(VLOOKUP(C125,RP!A:H,8,0),""))</f>
        <v/>
      </c>
      <c r="H125" s="35"/>
      <c r="K125" s="35" t="str">
        <f>IF(A125="","",SUMIF(PAGO!C:C,A125,PAGO!H:H))</f>
        <v/>
      </c>
      <c r="L125" s="35" t="str">
        <f t="shared" si="1"/>
        <v/>
      </c>
    </row>
    <row r="126" spans="2:12" x14ac:dyDescent="0.3">
      <c r="B126" s="36"/>
      <c r="D126" t="str">
        <f>IF(C126="","",IFERROR(VLOOKUP(C126,RP!A:E,5,0),""))</f>
        <v/>
      </c>
      <c r="E126" t="str">
        <f>IF(C126="","",IFERROR(VLOOKUP(C126,RP!A:F,6,0),""))</f>
        <v/>
      </c>
      <c r="F126" t="str">
        <f>IF(C126="","",IFERROR(VLOOKUP(C126,RP!A:G,7,0),""))</f>
        <v/>
      </c>
      <c r="G126" t="str">
        <f>IF(C126="","",IFERROR(VLOOKUP(C126,RP!A:H,8,0),""))</f>
        <v/>
      </c>
      <c r="H126" s="35"/>
      <c r="K126" s="35" t="str">
        <f>IF(A126="","",SUMIF(PAGO!C:C,A126,PAGO!H:H))</f>
        <v/>
      </c>
      <c r="L126" s="35" t="str">
        <f t="shared" si="1"/>
        <v/>
      </c>
    </row>
    <row r="127" spans="2:12" x14ac:dyDescent="0.3">
      <c r="B127" s="36"/>
      <c r="D127" t="str">
        <f>IF(C127="","",IFERROR(VLOOKUP(C127,RP!A:E,5,0),""))</f>
        <v/>
      </c>
      <c r="E127" t="str">
        <f>IF(C127="","",IFERROR(VLOOKUP(C127,RP!A:F,6,0),""))</f>
        <v/>
      </c>
      <c r="F127" t="str">
        <f>IF(C127="","",IFERROR(VLOOKUP(C127,RP!A:G,7,0),""))</f>
        <v/>
      </c>
      <c r="G127" t="str">
        <f>IF(C127="","",IFERROR(VLOOKUP(C127,RP!A:H,8,0),""))</f>
        <v/>
      </c>
      <c r="H127" s="35"/>
      <c r="K127" s="35" t="str">
        <f>IF(A127="","",SUMIF(PAGO!C:C,A127,PAGO!H:H))</f>
        <v/>
      </c>
      <c r="L127" s="35" t="str">
        <f t="shared" si="1"/>
        <v/>
      </c>
    </row>
    <row r="128" spans="2:12" x14ac:dyDescent="0.3">
      <c r="B128" s="36"/>
      <c r="D128" t="str">
        <f>IF(C128="","",IFERROR(VLOOKUP(C128,RP!A:E,5,0),""))</f>
        <v/>
      </c>
      <c r="E128" t="str">
        <f>IF(C128="","",IFERROR(VLOOKUP(C128,RP!A:F,6,0),""))</f>
        <v/>
      </c>
      <c r="F128" t="str">
        <f>IF(C128="","",IFERROR(VLOOKUP(C128,RP!A:G,7,0),""))</f>
        <v/>
      </c>
      <c r="G128" t="str">
        <f>IF(C128="","",IFERROR(VLOOKUP(C128,RP!A:H,8,0),""))</f>
        <v/>
      </c>
      <c r="H128" s="35"/>
      <c r="K128" s="35" t="str">
        <f>IF(A128="","",SUMIF(PAGO!C:C,A128,PAGO!H:H))</f>
        <v/>
      </c>
      <c r="L128" s="35" t="str">
        <f t="shared" si="1"/>
        <v/>
      </c>
    </row>
    <row r="129" spans="2:12" x14ac:dyDescent="0.3">
      <c r="B129" s="36"/>
      <c r="D129" t="str">
        <f>IF(C129="","",IFERROR(VLOOKUP(C129,RP!A:E,5,0),""))</f>
        <v/>
      </c>
      <c r="E129" t="str">
        <f>IF(C129="","",IFERROR(VLOOKUP(C129,RP!A:F,6,0),""))</f>
        <v/>
      </c>
      <c r="F129" t="str">
        <f>IF(C129="","",IFERROR(VLOOKUP(C129,RP!A:G,7,0),""))</f>
        <v/>
      </c>
      <c r="G129" t="str">
        <f>IF(C129="","",IFERROR(VLOOKUP(C129,RP!A:H,8,0),""))</f>
        <v/>
      </c>
      <c r="H129" s="35"/>
      <c r="K129" s="35" t="str">
        <f>IF(A129="","",SUMIF(PAGO!C:C,A129,PAGO!H:H))</f>
        <v/>
      </c>
      <c r="L129" s="35" t="str">
        <f t="shared" si="1"/>
        <v/>
      </c>
    </row>
    <row r="130" spans="2:12" x14ac:dyDescent="0.3">
      <c r="B130" s="36"/>
      <c r="D130" t="str">
        <f>IF(C130="","",IFERROR(VLOOKUP(C130,RP!A:E,5,0),""))</f>
        <v/>
      </c>
      <c r="E130" t="str">
        <f>IF(C130="","",IFERROR(VLOOKUP(C130,RP!A:F,6,0),""))</f>
        <v/>
      </c>
      <c r="F130" t="str">
        <f>IF(C130="","",IFERROR(VLOOKUP(C130,RP!A:G,7,0),""))</f>
        <v/>
      </c>
      <c r="G130" t="str">
        <f>IF(C130="","",IFERROR(VLOOKUP(C130,RP!A:H,8,0),""))</f>
        <v/>
      </c>
      <c r="H130" s="35"/>
      <c r="K130" s="35" t="str">
        <f>IF(A130="","",SUMIF(PAGO!C:C,A130,PAGO!H:H))</f>
        <v/>
      </c>
      <c r="L130" s="35" t="str">
        <f t="shared" ref="L130:L193" si="2">IF(A130="","",H130-K130)</f>
        <v/>
      </c>
    </row>
    <row r="131" spans="2:12" x14ac:dyDescent="0.3">
      <c r="B131" s="36"/>
      <c r="D131" t="str">
        <f>IF(C131="","",IFERROR(VLOOKUP(C131,RP!A:E,5,0),""))</f>
        <v/>
      </c>
      <c r="E131" t="str">
        <f>IF(C131="","",IFERROR(VLOOKUP(C131,RP!A:F,6,0),""))</f>
        <v/>
      </c>
      <c r="F131" t="str">
        <f>IF(C131="","",IFERROR(VLOOKUP(C131,RP!A:G,7,0),""))</f>
        <v/>
      </c>
      <c r="G131" t="str">
        <f>IF(C131="","",IFERROR(VLOOKUP(C131,RP!A:H,8,0),""))</f>
        <v/>
      </c>
      <c r="H131" s="35"/>
      <c r="K131" s="35" t="str">
        <f>IF(A131="","",SUMIF(PAGO!C:C,A131,PAGO!H:H))</f>
        <v/>
      </c>
      <c r="L131" s="35" t="str">
        <f t="shared" si="2"/>
        <v/>
      </c>
    </row>
    <row r="132" spans="2:12" x14ac:dyDescent="0.3">
      <c r="B132" s="36"/>
      <c r="D132" t="str">
        <f>IF(C132="","",IFERROR(VLOOKUP(C132,RP!A:E,5,0),""))</f>
        <v/>
      </c>
      <c r="E132" t="str">
        <f>IF(C132="","",IFERROR(VLOOKUP(C132,RP!A:F,6,0),""))</f>
        <v/>
      </c>
      <c r="F132" t="str">
        <f>IF(C132="","",IFERROR(VLOOKUP(C132,RP!A:G,7,0),""))</f>
        <v/>
      </c>
      <c r="G132" t="str">
        <f>IF(C132="","",IFERROR(VLOOKUP(C132,RP!A:H,8,0),""))</f>
        <v/>
      </c>
      <c r="H132" s="35"/>
      <c r="K132" s="35" t="str">
        <f>IF(A132="","",SUMIF(PAGO!C:C,A132,PAGO!H:H))</f>
        <v/>
      </c>
      <c r="L132" s="35" t="str">
        <f t="shared" si="2"/>
        <v/>
      </c>
    </row>
    <row r="133" spans="2:12" x14ac:dyDescent="0.3">
      <c r="B133" s="36"/>
      <c r="D133" t="str">
        <f>IF(C133="","",IFERROR(VLOOKUP(C133,RP!A:E,5,0),""))</f>
        <v/>
      </c>
      <c r="E133" t="str">
        <f>IF(C133="","",IFERROR(VLOOKUP(C133,RP!A:F,6,0),""))</f>
        <v/>
      </c>
      <c r="F133" t="str">
        <f>IF(C133="","",IFERROR(VLOOKUP(C133,RP!A:G,7,0),""))</f>
        <v/>
      </c>
      <c r="G133" t="str">
        <f>IF(C133="","",IFERROR(VLOOKUP(C133,RP!A:H,8,0),""))</f>
        <v/>
      </c>
      <c r="H133" s="35"/>
      <c r="K133" s="35" t="str">
        <f>IF(A133="","",SUMIF(PAGO!C:C,A133,PAGO!H:H))</f>
        <v/>
      </c>
      <c r="L133" s="35" t="str">
        <f t="shared" si="2"/>
        <v/>
      </c>
    </row>
    <row r="134" spans="2:12" x14ac:dyDescent="0.3">
      <c r="B134" s="36"/>
      <c r="D134" t="str">
        <f>IF(C134="","",IFERROR(VLOOKUP(C134,RP!A:E,5,0),""))</f>
        <v/>
      </c>
      <c r="E134" t="str">
        <f>IF(C134="","",IFERROR(VLOOKUP(C134,RP!A:F,6,0),""))</f>
        <v/>
      </c>
      <c r="F134" t="str">
        <f>IF(C134="","",IFERROR(VLOOKUP(C134,RP!A:G,7,0),""))</f>
        <v/>
      </c>
      <c r="G134" t="str">
        <f>IF(C134="","",IFERROR(VLOOKUP(C134,RP!A:H,8,0),""))</f>
        <v/>
      </c>
      <c r="H134" s="35"/>
      <c r="K134" s="35" t="str">
        <f>IF(A134="","",SUMIF(PAGO!C:C,A134,PAGO!H:H))</f>
        <v/>
      </c>
      <c r="L134" s="35" t="str">
        <f t="shared" si="2"/>
        <v/>
      </c>
    </row>
    <row r="135" spans="2:12" x14ac:dyDescent="0.3">
      <c r="B135" s="36"/>
      <c r="D135" t="str">
        <f>IF(C135="","",IFERROR(VLOOKUP(C135,RP!A:E,5,0),""))</f>
        <v/>
      </c>
      <c r="E135" t="str">
        <f>IF(C135="","",IFERROR(VLOOKUP(C135,RP!A:F,6,0),""))</f>
        <v/>
      </c>
      <c r="F135" t="str">
        <f>IF(C135="","",IFERROR(VLOOKUP(C135,RP!A:G,7,0),""))</f>
        <v/>
      </c>
      <c r="G135" t="str">
        <f>IF(C135="","",IFERROR(VLOOKUP(C135,RP!A:H,8,0),""))</f>
        <v/>
      </c>
      <c r="H135" s="35"/>
      <c r="K135" s="35" t="str">
        <f>IF(A135="","",SUMIF(PAGO!C:C,A135,PAGO!H:H))</f>
        <v/>
      </c>
      <c r="L135" s="35" t="str">
        <f t="shared" si="2"/>
        <v/>
      </c>
    </row>
    <row r="136" spans="2:12" x14ac:dyDescent="0.3">
      <c r="B136" s="36"/>
      <c r="D136" t="str">
        <f>IF(C136="","",IFERROR(VLOOKUP(C136,RP!A:E,5,0),""))</f>
        <v/>
      </c>
      <c r="E136" t="str">
        <f>IF(C136="","",IFERROR(VLOOKUP(C136,RP!A:F,6,0),""))</f>
        <v/>
      </c>
      <c r="F136" t="str">
        <f>IF(C136="","",IFERROR(VLOOKUP(C136,RP!A:G,7,0),""))</f>
        <v/>
      </c>
      <c r="G136" t="str">
        <f>IF(C136="","",IFERROR(VLOOKUP(C136,RP!A:H,8,0),""))</f>
        <v/>
      </c>
      <c r="H136" s="35"/>
      <c r="K136" s="35" t="str">
        <f>IF(A136="","",SUMIF(PAGO!C:C,A136,PAGO!H:H))</f>
        <v/>
      </c>
      <c r="L136" s="35" t="str">
        <f t="shared" si="2"/>
        <v/>
      </c>
    </row>
    <row r="137" spans="2:12" x14ac:dyDescent="0.3">
      <c r="B137" s="36"/>
      <c r="D137" t="str">
        <f>IF(C137="","",IFERROR(VLOOKUP(C137,RP!A:E,5,0),""))</f>
        <v/>
      </c>
      <c r="E137" t="str">
        <f>IF(C137="","",IFERROR(VLOOKUP(C137,RP!A:F,6,0),""))</f>
        <v/>
      </c>
      <c r="F137" t="str">
        <f>IF(C137="","",IFERROR(VLOOKUP(C137,RP!A:G,7,0),""))</f>
        <v/>
      </c>
      <c r="G137" t="str">
        <f>IF(C137="","",IFERROR(VLOOKUP(C137,RP!A:H,8,0),""))</f>
        <v/>
      </c>
      <c r="H137" s="35"/>
      <c r="K137" s="35" t="str">
        <f>IF(A137="","",SUMIF(PAGO!C:C,A137,PAGO!H:H))</f>
        <v/>
      </c>
      <c r="L137" s="35" t="str">
        <f t="shared" si="2"/>
        <v/>
      </c>
    </row>
    <row r="138" spans="2:12" x14ac:dyDescent="0.3">
      <c r="B138" s="36"/>
      <c r="D138" t="str">
        <f>IF(C138="","",IFERROR(VLOOKUP(C138,RP!A:E,5,0),""))</f>
        <v/>
      </c>
      <c r="E138" t="str">
        <f>IF(C138="","",IFERROR(VLOOKUP(C138,RP!A:F,6,0),""))</f>
        <v/>
      </c>
      <c r="F138" t="str">
        <f>IF(C138="","",IFERROR(VLOOKUP(C138,RP!A:G,7,0),""))</f>
        <v/>
      </c>
      <c r="G138" t="str">
        <f>IF(C138="","",IFERROR(VLOOKUP(C138,RP!A:H,8,0),""))</f>
        <v/>
      </c>
      <c r="H138" s="35"/>
      <c r="K138" s="35" t="str">
        <f>IF(A138="","",SUMIF(PAGO!C:C,A138,PAGO!H:H))</f>
        <v/>
      </c>
      <c r="L138" s="35" t="str">
        <f t="shared" si="2"/>
        <v/>
      </c>
    </row>
    <row r="139" spans="2:12" x14ac:dyDescent="0.3">
      <c r="B139" s="36"/>
      <c r="D139" t="str">
        <f>IF(C139="","",IFERROR(VLOOKUP(C139,RP!A:E,5,0),""))</f>
        <v/>
      </c>
      <c r="E139" t="str">
        <f>IF(C139="","",IFERROR(VLOOKUP(C139,RP!A:F,6,0),""))</f>
        <v/>
      </c>
      <c r="F139" t="str">
        <f>IF(C139="","",IFERROR(VLOOKUP(C139,RP!A:G,7,0),""))</f>
        <v/>
      </c>
      <c r="G139" t="str">
        <f>IF(C139="","",IFERROR(VLOOKUP(C139,RP!A:H,8,0),""))</f>
        <v/>
      </c>
      <c r="H139" s="35"/>
      <c r="K139" s="35" t="str">
        <f>IF(A139="","",SUMIF(PAGO!C:C,A139,PAGO!H:H))</f>
        <v/>
      </c>
      <c r="L139" s="35" t="str">
        <f t="shared" si="2"/>
        <v/>
      </c>
    </row>
    <row r="140" spans="2:12" x14ac:dyDescent="0.3">
      <c r="B140" s="36"/>
      <c r="D140" t="str">
        <f>IF(C140="","",IFERROR(VLOOKUP(C140,RP!A:E,5,0),""))</f>
        <v/>
      </c>
      <c r="E140" t="str">
        <f>IF(C140="","",IFERROR(VLOOKUP(C140,RP!A:F,6,0),""))</f>
        <v/>
      </c>
      <c r="F140" t="str">
        <f>IF(C140="","",IFERROR(VLOOKUP(C140,RP!A:G,7,0),""))</f>
        <v/>
      </c>
      <c r="G140" t="str">
        <f>IF(C140="","",IFERROR(VLOOKUP(C140,RP!A:H,8,0),""))</f>
        <v/>
      </c>
      <c r="H140" s="35"/>
      <c r="K140" s="35" t="str">
        <f>IF(A140="","",SUMIF(PAGO!C:C,A140,PAGO!H:H))</f>
        <v/>
      </c>
      <c r="L140" s="35" t="str">
        <f t="shared" si="2"/>
        <v/>
      </c>
    </row>
    <row r="141" spans="2:12" x14ac:dyDescent="0.3">
      <c r="B141" s="36"/>
      <c r="D141" t="str">
        <f>IF(C141="","",IFERROR(VLOOKUP(C141,RP!A:E,5,0),""))</f>
        <v/>
      </c>
      <c r="E141" t="str">
        <f>IF(C141="","",IFERROR(VLOOKUP(C141,RP!A:F,6,0),""))</f>
        <v/>
      </c>
      <c r="F141" t="str">
        <f>IF(C141="","",IFERROR(VLOOKUP(C141,RP!A:G,7,0),""))</f>
        <v/>
      </c>
      <c r="G141" t="str">
        <f>IF(C141="","",IFERROR(VLOOKUP(C141,RP!A:H,8,0),""))</f>
        <v/>
      </c>
      <c r="H141" s="35"/>
      <c r="K141" s="35" t="str">
        <f>IF(A141="","",SUMIF(PAGO!C:C,A141,PAGO!H:H))</f>
        <v/>
      </c>
      <c r="L141" s="35" t="str">
        <f t="shared" si="2"/>
        <v/>
      </c>
    </row>
    <row r="142" spans="2:12" x14ac:dyDescent="0.3">
      <c r="B142" s="36"/>
      <c r="D142" t="str">
        <f>IF(C142="","",IFERROR(VLOOKUP(C142,RP!A:E,5,0),""))</f>
        <v/>
      </c>
      <c r="E142" t="str">
        <f>IF(C142="","",IFERROR(VLOOKUP(C142,RP!A:F,6,0),""))</f>
        <v/>
      </c>
      <c r="F142" t="str">
        <f>IF(C142="","",IFERROR(VLOOKUP(C142,RP!A:G,7,0),""))</f>
        <v/>
      </c>
      <c r="G142" t="str">
        <f>IF(C142="","",IFERROR(VLOOKUP(C142,RP!A:H,8,0),""))</f>
        <v/>
      </c>
      <c r="H142" s="35"/>
      <c r="K142" s="35" t="str">
        <f>IF(A142="","",SUMIF(PAGO!C:C,A142,PAGO!H:H))</f>
        <v/>
      </c>
      <c r="L142" s="35" t="str">
        <f t="shared" si="2"/>
        <v/>
      </c>
    </row>
    <row r="143" spans="2:12" x14ac:dyDescent="0.3">
      <c r="B143" s="36"/>
      <c r="D143" t="str">
        <f>IF(C143="","",IFERROR(VLOOKUP(C143,RP!A:E,5,0),""))</f>
        <v/>
      </c>
      <c r="E143" t="str">
        <f>IF(C143="","",IFERROR(VLOOKUP(C143,RP!A:F,6,0),""))</f>
        <v/>
      </c>
      <c r="F143" t="str">
        <f>IF(C143="","",IFERROR(VLOOKUP(C143,RP!A:G,7,0),""))</f>
        <v/>
      </c>
      <c r="G143" t="str">
        <f>IF(C143="","",IFERROR(VLOOKUP(C143,RP!A:H,8,0),""))</f>
        <v/>
      </c>
      <c r="H143" s="35"/>
      <c r="K143" s="35" t="str">
        <f>IF(A143="","",SUMIF(PAGO!C:C,A143,PAGO!H:H))</f>
        <v/>
      </c>
      <c r="L143" s="35" t="str">
        <f t="shared" si="2"/>
        <v/>
      </c>
    </row>
    <row r="144" spans="2:12" x14ac:dyDescent="0.3">
      <c r="B144" s="36"/>
      <c r="D144" t="str">
        <f>IF(C144="","",IFERROR(VLOOKUP(C144,RP!A:E,5,0),""))</f>
        <v/>
      </c>
      <c r="E144" t="str">
        <f>IF(C144="","",IFERROR(VLOOKUP(C144,RP!A:F,6,0),""))</f>
        <v/>
      </c>
      <c r="F144" t="str">
        <f>IF(C144="","",IFERROR(VLOOKUP(C144,RP!A:G,7,0),""))</f>
        <v/>
      </c>
      <c r="G144" t="str">
        <f>IF(C144="","",IFERROR(VLOOKUP(C144,RP!A:H,8,0),""))</f>
        <v/>
      </c>
      <c r="H144" s="35"/>
      <c r="K144" s="35" t="str">
        <f>IF(A144="","",SUMIF(PAGO!C:C,A144,PAGO!H:H))</f>
        <v/>
      </c>
      <c r="L144" s="35" t="str">
        <f t="shared" si="2"/>
        <v/>
      </c>
    </row>
    <row r="145" spans="2:12" x14ac:dyDescent="0.3">
      <c r="B145" s="36"/>
      <c r="D145" t="str">
        <f>IF(C145="","",IFERROR(VLOOKUP(C145,RP!A:E,5,0),""))</f>
        <v/>
      </c>
      <c r="E145" t="str">
        <f>IF(C145="","",IFERROR(VLOOKUP(C145,RP!A:F,6,0),""))</f>
        <v/>
      </c>
      <c r="F145" t="str">
        <f>IF(C145="","",IFERROR(VLOOKUP(C145,RP!A:G,7,0),""))</f>
        <v/>
      </c>
      <c r="G145" t="str">
        <f>IF(C145="","",IFERROR(VLOOKUP(C145,RP!A:H,8,0),""))</f>
        <v/>
      </c>
      <c r="H145" s="35"/>
      <c r="K145" s="35" t="str">
        <f>IF(A145="","",SUMIF(PAGO!C:C,A145,PAGO!H:H))</f>
        <v/>
      </c>
      <c r="L145" s="35" t="str">
        <f t="shared" si="2"/>
        <v/>
      </c>
    </row>
    <row r="146" spans="2:12" x14ac:dyDescent="0.3">
      <c r="B146" s="36"/>
      <c r="D146" t="str">
        <f>IF(C146="","",IFERROR(VLOOKUP(C146,RP!A:E,5,0),""))</f>
        <v/>
      </c>
      <c r="E146" t="str">
        <f>IF(C146="","",IFERROR(VLOOKUP(C146,RP!A:F,6,0),""))</f>
        <v/>
      </c>
      <c r="F146" t="str">
        <f>IF(C146="","",IFERROR(VLOOKUP(C146,RP!A:G,7,0),""))</f>
        <v/>
      </c>
      <c r="G146" t="str">
        <f>IF(C146="","",IFERROR(VLOOKUP(C146,RP!A:H,8,0),""))</f>
        <v/>
      </c>
      <c r="H146" s="35"/>
      <c r="K146" s="35" t="str">
        <f>IF(A146="","",SUMIF(PAGO!C:C,A146,PAGO!H:H))</f>
        <v/>
      </c>
      <c r="L146" s="35" t="str">
        <f t="shared" si="2"/>
        <v/>
      </c>
    </row>
    <row r="147" spans="2:12" x14ac:dyDescent="0.3">
      <c r="B147" s="36"/>
      <c r="D147" t="str">
        <f>IF(C147="","",IFERROR(VLOOKUP(C147,RP!A:E,5,0),""))</f>
        <v/>
      </c>
      <c r="E147" t="str">
        <f>IF(C147="","",IFERROR(VLOOKUP(C147,RP!A:F,6,0),""))</f>
        <v/>
      </c>
      <c r="F147" t="str">
        <f>IF(C147="","",IFERROR(VLOOKUP(C147,RP!A:G,7,0),""))</f>
        <v/>
      </c>
      <c r="G147" t="str">
        <f>IF(C147="","",IFERROR(VLOOKUP(C147,RP!A:H,8,0),""))</f>
        <v/>
      </c>
      <c r="H147" s="35"/>
      <c r="K147" s="35" t="str">
        <f>IF(A147="","",SUMIF(PAGO!C:C,A147,PAGO!H:H))</f>
        <v/>
      </c>
      <c r="L147" s="35" t="str">
        <f t="shared" si="2"/>
        <v/>
      </c>
    </row>
    <row r="148" spans="2:12" x14ac:dyDescent="0.3">
      <c r="B148" s="36"/>
      <c r="D148" t="str">
        <f>IF(C148="","",IFERROR(VLOOKUP(C148,RP!A:E,5,0),""))</f>
        <v/>
      </c>
      <c r="E148" t="str">
        <f>IF(C148="","",IFERROR(VLOOKUP(C148,RP!A:F,6,0),""))</f>
        <v/>
      </c>
      <c r="F148" t="str">
        <f>IF(C148="","",IFERROR(VLOOKUP(C148,RP!A:G,7,0),""))</f>
        <v/>
      </c>
      <c r="G148" t="str">
        <f>IF(C148="","",IFERROR(VLOOKUP(C148,RP!A:H,8,0),""))</f>
        <v/>
      </c>
      <c r="H148" s="35"/>
      <c r="K148" s="35" t="str">
        <f>IF(A148="","",SUMIF(PAGO!C:C,A148,PAGO!H:H))</f>
        <v/>
      </c>
      <c r="L148" s="35" t="str">
        <f t="shared" si="2"/>
        <v/>
      </c>
    </row>
    <row r="149" spans="2:12" x14ac:dyDescent="0.3">
      <c r="B149" s="36"/>
      <c r="D149" t="str">
        <f>IF(C149="","",IFERROR(VLOOKUP(C149,RP!A:E,5,0),""))</f>
        <v/>
      </c>
      <c r="E149" t="str">
        <f>IF(C149="","",IFERROR(VLOOKUP(C149,RP!A:F,6,0),""))</f>
        <v/>
      </c>
      <c r="F149" t="str">
        <f>IF(C149="","",IFERROR(VLOOKUP(C149,RP!A:G,7,0),""))</f>
        <v/>
      </c>
      <c r="G149" t="str">
        <f>IF(C149="","",IFERROR(VLOOKUP(C149,RP!A:H,8,0),""))</f>
        <v/>
      </c>
      <c r="H149" s="35"/>
      <c r="K149" s="35" t="str">
        <f>IF(A149="","",SUMIF(PAGO!C:C,A149,PAGO!H:H))</f>
        <v/>
      </c>
      <c r="L149" s="35" t="str">
        <f t="shared" si="2"/>
        <v/>
      </c>
    </row>
    <row r="150" spans="2:12" x14ac:dyDescent="0.3">
      <c r="B150" s="36"/>
      <c r="D150" t="str">
        <f>IF(C150="","",IFERROR(VLOOKUP(C150,RP!A:E,5,0),""))</f>
        <v/>
      </c>
      <c r="E150" t="str">
        <f>IF(C150="","",IFERROR(VLOOKUP(C150,RP!A:F,6,0),""))</f>
        <v/>
      </c>
      <c r="F150" t="str">
        <f>IF(C150="","",IFERROR(VLOOKUP(C150,RP!A:G,7,0),""))</f>
        <v/>
      </c>
      <c r="G150" t="str">
        <f>IF(C150="","",IFERROR(VLOOKUP(C150,RP!A:H,8,0),""))</f>
        <v/>
      </c>
      <c r="H150" s="35"/>
      <c r="K150" s="35" t="str">
        <f>IF(A150="","",SUMIF(PAGO!C:C,A150,PAGO!H:H))</f>
        <v/>
      </c>
      <c r="L150" s="35" t="str">
        <f t="shared" si="2"/>
        <v/>
      </c>
    </row>
    <row r="151" spans="2:12" x14ac:dyDescent="0.3">
      <c r="B151" s="36"/>
      <c r="D151" t="str">
        <f>IF(C151="","",IFERROR(VLOOKUP(C151,RP!A:E,5,0),""))</f>
        <v/>
      </c>
      <c r="E151" t="str">
        <f>IF(C151="","",IFERROR(VLOOKUP(C151,RP!A:F,6,0),""))</f>
        <v/>
      </c>
      <c r="F151" t="str">
        <f>IF(C151="","",IFERROR(VLOOKUP(C151,RP!A:G,7,0),""))</f>
        <v/>
      </c>
      <c r="G151" t="str">
        <f>IF(C151="","",IFERROR(VLOOKUP(C151,RP!A:H,8,0),""))</f>
        <v/>
      </c>
      <c r="H151" s="35"/>
      <c r="K151" s="35" t="str">
        <f>IF(A151="","",SUMIF(PAGO!C:C,A151,PAGO!H:H))</f>
        <v/>
      </c>
      <c r="L151" s="35" t="str">
        <f t="shared" si="2"/>
        <v/>
      </c>
    </row>
    <row r="152" spans="2:12" x14ac:dyDescent="0.3">
      <c r="B152" s="36"/>
      <c r="D152" t="str">
        <f>IF(C152="","",IFERROR(VLOOKUP(C152,RP!A:E,5,0),""))</f>
        <v/>
      </c>
      <c r="E152" t="str">
        <f>IF(C152="","",IFERROR(VLOOKUP(C152,RP!A:F,6,0),""))</f>
        <v/>
      </c>
      <c r="F152" t="str">
        <f>IF(C152="","",IFERROR(VLOOKUP(C152,RP!A:G,7,0),""))</f>
        <v/>
      </c>
      <c r="G152" t="str">
        <f>IF(C152="","",IFERROR(VLOOKUP(C152,RP!A:H,8,0),""))</f>
        <v/>
      </c>
      <c r="H152" s="35"/>
      <c r="K152" s="35" t="str">
        <f>IF(A152="","",SUMIF(PAGO!C:C,A152,PAGO!H:H))</f>
        <v/>
      </c>
      <c r="L152" s="35" t="str">
        <f t="shared" si="2"/>
        <v/>
      </c>
    </row>
    <row r="153" spans="2:12" x14ac:dyDescent="0.3">
      <c r="B153" s="36"/>
      <c r="D153" t="str">
        <f>IF(C153="","",IFERROR(VLOOKUP(C153,RP!A:E,5,0),""))</f>
        <v/>
      </c>
      <c r="E153" t="str">
        <f>IF(C153="","",IFERROR(VLOOKUP(C153,RP!A:F,6,0),""))</f>
        <v/>
      </c>
      <c r="F153" t="str">
        <f>IF(C153="","",IFERROR(VLOOKUP(C153,RP!A:G,7,0),""))</f>
        <v/>
      </c>
      <c r="G153" t="str">
        <f>IF(C153="","",IFERROR(VLOOKUP(C153,RP!A:H,8,0),""))</f>
        <v/>
      </c>
      <c r="H153" s="35"/>
      <c r="K153" s="35" t="str">
        <f>IF(A153="","",SUMIF(PAGO!C:C,A153,PAGO!H:H))</f>
        <v/>
      </c>
      <c r="L153" s="35" t="str">
        <f t="shared" si="2"/>
        <v/>
      </c>
    </row>
    <row r="154" spans="2:12" x14ac:dyDescent="0.3">
      <c r="B154" s="36"/>
      <c r="D154" t="str">
        <f>IF(C154="","",IFERROR(VLOOKUP(C154,RP!A:E,5,0),""))</f>
        <v/>
      </c>
      <c r="E154" t="str">
        <f>IF(C154="","",IFERROR(VLOOKUP(C154,RP!A:F,6,0),""))</f>
        <v/>
      </c>
      <c r="F154" t="str">
        <f>IF(C154="","",IFERROR(VLOOKUP(C154,RP!A:G,7,0),""))</f>
        <v/>
      </c>
      <c r="G154" t="str">
        <f>IF(C154="","",IFERROR(VLOOKUP(C154,RP!A:H,8,0),""))</f>
        <v/>
      </c>
      <c r="H154" s="35"/>
      <c r="K154" s="35" t="str">
        <f>IF(A154="","",SUMIF(PAGO!C:C,A154,PAGO!H:H))</f>
        <v/>
      </c>
      <c r="L154" s="35" t="str">
        <f t="shared" si="2"/>
        <v/>
      </c>
    </row>
    <row r="155" spans="2:12" x14ac:dyDescent="0.3">
      <c r="B155" s="36"/>
      <c r="D155" t="str">
        <f>IF(C155="","",IFERROR(VLOOKUP(C155,RP!A:E,5,0),""))</f>
        <v/>
      </c>
      <c r="E155" t="str">
        <f>IF(C155="","",IFERROR(VLOOKUP(C155,RP!A:F,6,0),""))</f>
        <v/>
      </c>
      <c r="F155" t="str">
        <f>IF(C155="","",IFERROR(VLOOKUP(C155,RP!A:G,7,0),""))</f>
        <v/>
      </c>
      <c r="G155" t="str">
        <f>IF(C155="","",IFERROR(VLOOKUP(C155,RP!A:H,8,0),""))</f>
        <v/>
      </c>
      <c r="H155" s="35"/>
      <c r="K155" s="35" t="str">
        <f>IF(A155="","",SUMIF(PAGO!C:C,A155,PAGO!H:H))</f>
        <v/>
      </c>
      <c r="L155" s="35" t="str">
        <f t="shared" si="2"/>
        <v/>
      </c>
    </row>
    <row r="156" spans="2:12" x14ac:dyDescent="0.3">
      <c r="B156" s="36"/>
      <c r="D156" t="str">
        <f>IF(C156="","",IFERROR(VLOOKUP(C156,RP!A:E,5,0),""))</f>
        <v/>
      </c>
      <c r="E156" t="str">
        <f>IF(C156="","",IFERROR(VLOOKUP(C156,RP!A:F,6,0),""))</f>
        <v/>
      </c>
      <c r="F156" t="str">
        <f>IF(C156="","",IFERROR(VLOOKUP(C156,RP!A:G,7,0),""))</f>
        <v/>
      </c>
      <c r="G156" t="str">
        <f>IF(C156="","",IFERROR(VLOOKUP(C156,RP!A:H,8,0),""))</f>
        <v/>
      </c>
      <c r="H156" s="35"/>
      <c r="K156" s="35" t="str">
        <f>IF(A156="","",SUMIF(PAGO!C:C,A156,PAGO!H:H))</f>
        <v/>
      </c>
      <c r="L156" s="35" t="str">
        <f t="shared" si="2"/>
        <v/>
      </c>
    </row>
    <row r="157" spans="2:12" x14ac:dyDescent="0.3">
      <c r="B157" s="36"/>
      <c r="D157" t="str">
        <f>IF(C157="","",IFERROR(VLOOKUP(C157,RP!A:E,5,0),""))</f>
        <v/>
      </c>
      <c r="E157" t="str">
        <f>IF(C157="","",IFERROR(VLOOKUP(C157,RP!A:F,6,0),""))</f>
        <v/>
      </c>
      <c r="F157" t="str">
        <f>IF(C157="","",IFERROR(VLOOKUP(C157,RP!A:G,7,0),""))</f>
        <v/>
      </c>
      <c r="G157" t="str">
        <f>IF(C157="","",IFERROR(VLOOKUP(C157,RP!A:H,8,0),""))</f>
        <v/>
      </c>
      <c r="H157" s="35"/>
      <c r="K157" s="35" t="str">
        <f>IF(A157="","",SUMIF(PAGO!C:C,A157,PAGO!H:H))</f>
        <v/>
      </c>
      <c r="L157" s="35" t="str">
        <f t="shared" si="2"/>
        <v/>
      </c>
    </row>
    <row r="158" spans="2:12" x14ac:dyDescent="0.3">
      <c r="B158" s="36"/>
      <c r="D158" t="str">
        <f>IF(C158="","",IFERROR(VLOOKUP(C158,RP!A:E,5,0),""))</f>
        <v/>
      </c>
      <c r="E158" t="str">
        <f>IF(C158="","",IFERROR(VLOOKUP(C158,RP!A:F,6,0),""))</f>
        <v/>
      </c>
      <c r="F158" t="str">
        <f>IF(C158="","",IFERROR(VLOOKUP(C158,RP!A:G,7,0),""))</f>
        <v/>
      </c>
      <c r="G158" t="str">
        <f>IF(C158="","",IFERROR(VLOOKUP(C158,RP!A:H,8,0),""))</f>
        <v/>
      </c>
      <c r="H158" s="35"/>
      <c r="K158" s="35" t="str">
        <f>IF(A158="","",SUMIF(PAGO!C:C,A158,PAGO!H:H))</f>
        <v/>
      </c>
      <c r="L158" s="35" t="str">
        <f t="shared" si="2"/>
        <v/>
      </c>
    </row>
    <row r="159" spans="2:12" x14ac:dyDescent="0.3">
      <c r="B159" s="36"/>
      <c r="D159" t="str">
        <f>IF(C159="","",IFERROR(VLOOKUP(C159,RP!A:E,5,0),""))</f>
        <v/>
      </c>
      <c r="E159" t="str">
        <f>IF(C159="","",IFERROR(VLOOKUP(C159,RP!A:F,6,0),""))</f>
        <v/>
      </c>
      <c r="F159" t="str">
        <f>IF(C159="","",IFERROR(VLOOKUP(C159,RP!A:G,7,0),""))</f>
        <v/>
      </c>
      <c r="G159" t="str">
        <f>IF(C159="","",IFERROR(VLOOKUP(C159,RP!A:H,8,0),""))</f>
        <v/>
      </c>
      <c r="H159" s="35"/>
      <c r="K159" s="35" t="str">
        <f>IF(A159="","",SUMIF(PAGO!C:C,A159,PAGO!H:H))</f>
        <v/>
      </c>
      <c r="L159" s="35" t="str">
        <f t="shared" si="2"/>
        <v/>
      </c>
    </row>
    <row r="160" spans="2:12" x14ac:dyDescent="0.3">
      <c r="B160" s="36"/>
      <c r="D160" t="str">
        <f>IF(C160="","",IFERROR(VLOOKUP(C160,RP!A:E,5,0),""))</f>
        <v/>
      </c>
      <c r="E160" t="str">
        <f>IF(C160="","",IFERROR(VLOOKUP(C160,RP!A:F,6,0),""))</f>
        <v/>
      </c>
      <c r="F160" t="str">
        <f>IF(C160="","",IFERROR(VLOOKUP(C160,RP!A:G,7,0),""))</f>
        <v/>
      </c>
      <c r="G160" t="str">
        <f>IF(C160="","",IFERROR(VLOOKUP(C160,RP!A:H,8,0),""))</f>
        <v/>
      </c>
      <c r="H160" s="35"/>
      <c r="K160" s="35" t="str">
        <f>IF(A160="","",SUMIF(PAGO!C:C,A160,PAGO!H:H))</f>
        <v/>
      </c>
      <c r="L160" s="35" t="str">
        <f t="shared" si="2"/>
        <v/>
      </c>
    </row>
    <row r="161" spans="2:12" x14ac:dyDescent="0.3">
      <c r="B161" s="36"/>
      <c r="D161" t="str">
        <f>IF(C161="","",IFERROR(VLOOKUP(C161,RP!A:E,5,0),""))</f>
        <v/>
      </c>
      <c r="E161" t="str">
        <f>IF(C161="","",IFERROR(VLOOKUP(C161,RP!A:F,6,0),""))</f>
        <v/>
      </c>
      <c r="F161" t="str">
        <f>IF(C161="","",IFERROR(VLOOKUP(C161,RP!A:G,7,0),""))</f>
        <v/>
      </c>
      <c r="G161" t="str">
        <f>IF(C161="","",IFERROR(VLOOKUP(C161,RP!A:H,8,0),""))</f>
        <v/>
      </c>
      <c r="H161" s="35"/>
      <c r="K161" s="35" t="str">
        <f>IF(A161="","",SUMIF(PAGO!C:C,A161,PAGO!H:H))</f>
        <v/>
      </c>
      <c r="L161" s="35" t="str">
        <f t="shared" si="2"/>
        <v/>
      </c>
    </row>
    <row r="162" spans="2:12" x14ac:dyDescent="0.3">
      <c r="B162" s="36"/>
      <c r="D162" t="str">
        <f>IF(C162="","",IFERROR(VLOOKUP(C162,RP!A:E,5,0),""))</f>
        <v/>
      </c>
      <c r="E162" t="str">
        <f>IF(C162="","",IFERROR(VLOOKUP(C162,RP!A:F,6,0),""))</f>
        <v/>
      </c>
      <c r="F162" t="str">
        <f>IF(C162="","",IFERROR(VLOOKUP(C162,RP!A:G,7,0),""))</f>
        <v/>
      </c>
      <c r="G162" t="str">
        <f>IF(C162="","",IFERROR(VLOOKUP(C162,RP!A:H,8,0),""))</f>
        <v/>
      </c>
      <c r="H162" s="35"/>
      <c r="K162" s="35" t="str">
        <f>IF(A162="","",SUMIF(PAGO!C:C,A162,PAGO!H:H))</f>
        <v/>
      </c>
      <c r="L162" s="35" t="str">
        <f t="shared" si="2"/>
        <v/>
      </c>
    </row>
    <row r="163" spans="2:12" x14ac:dyDescent="0.3">
      <c r="B163" s="36"/>
      <c r="D163" t="str">
        <f>IF(C163="","",IFERROR(VLOOKUP(C163,RP!A:E,5,0),""))</f>
        <v/>
      </c>
      <c r="E163" t="str">
        <f>IF(C163="","",IFERROR(VLOOKUP(C163,RP!A:F,6,0),""))</f>
        <v/>
      </c>
      <c r="F163" t="str">
        <f>IF(C163="","",IFERROR(VLOOKUP(C163,RP!A:G,7,0),""))</f>
        <v/>
      </c>
      <c r="G163" t="str">
        <f>IF(C163="","",IFERROR(VLOOKUP(C163,RP!A:H,8,0),""))</f>
        <v/>
      </c>
      <c r="H163" s="35"/>
      <c r="K163" s="35" t="str">
        <f>IF(A163="","",SUMIF(PAGO!C:C,A163,PAGO!H:H))</f>
        <v/>
      </c>
      <c r="L163" s="35" t="str">
        <f t="shared" si="2"/>
        <v/>
      </c>
    </row>
    <row r="164" spans="2:12" x14ac:dyDescent="0.3">
      <c r="B164" s="36"/>
      <c r="D164" t="str">
        <f>IF(C164="","",IFERROR(VLOOKUP(C164,RP!A:E,5,0),""))</f>
        <v/>
      </c>
      <c r="E164" t="str">
        <f>IF(C164="","",IFERROR(VLOOKUP(C164,RP!A:F,6,0),""))</f>
        <v/>
      </c>
      <c r="F164" t="str">
        <f>IF(C164="","",IFERROR(VLOOKUP(C164,RP!A:G,7,0),""))</f>
        <v/>
      </c>
      <c r="G164" t="str">
        <f>IF(C164="","",IFERROR(VLOOKUP(C164,RP!A:H,8,0),""))</f>
        <v/>
      </c>
      <c r="H164" s="35"/>
      <c r="K164" s="35" t="str">
        <f>IF(A164="","",SUMIF(PAGO!C:C,A164,PAGO!H:H))</f>
        <v/>
      </c>
      <c r="L164" s="35" t="str">
        <f t="shared" si="2"/>
        <v/>
      </c>
    </row>
    <row r="165" spans="2:12" x14ac:dyDescent="0.3">
      <c r="B165" s="36"/>
      <c r="D165" t="str">
        <f>IF(C165="","",IFERROR(VLOOKUP(C165,RP!A:E,5,0),""))</f>
        <v/>
      </c>
      <c r="E165" t="str">
        <f>IF(C165="","",IFERROR(VLOOKUP(C165,RP!A:F,6,0),""))</f>
        <v/>
      </c>
      <c r="F165" t="str">
        <f>IF(C165="","",IFERROR(VLOOKUP(C165,RP!A:G,7,0),""))</f>
        <v/>
      </c>
      <c r="G165" t="str">
        <f>IF(C165="","",IFERROR(VLOOKUP(C165,RP!A:H,8,0),""))</f>
        <v/>
      </c>
      <c r="H165" s="35"/>
      <c r="K165" s="35" t="str">
        <f>IF(A165="","",SUMIF(PAGO!C:C,A165,PAGO!H:H))</f>
        <v/>
      </c>
      <c r="L165" s="35" t="str">
        <f t="shared" si="2"/>
        <v/>
      </c>
    </row>
    <row r="166" spans="2:12" x14ac:dyDescent="0.3">
      <c r="B166" s="36"/>
      <c r="D166" t="str">
        <f>IF(C166="","",IFERROR(VLOOKUP(C166,RP!A:E,5,0),""))</f>
        <v/>
      </c>
      <c r="E166" t="str">
        <f>IF(C166="","",IFERROR(VLOOKUP(C166,RP!A:F,6,0),""))</f>
        <v/>
      </c>
      <c r="F166" t="str">
        <f>IF(C166="","",IFERROR(VLOOKUP(C166,RP!A:G,7,0),""))</f>
        <v/>
      </c>
      <c r="G166" t="str">
        <f>IF(C166="","",IFERROR(VLOOKUP(C166,RP!A:H,8,0),""))</f>
        <v/>
      </c>
      <c r="H166" s="35"/>
      <c r="K166" s="35" t="str">
        <f>IF(A166="","",SUMIF(PAGO!C:C,A166,PAGO!H:H))</f>
        <v/>
      </c>
      <c r="L166" s="35" t="str">
        <f t="shared" si="2"/>
        <v/>
      </c>
    </row>
    <row r="167" spans="2:12" x14ac:dyDescent="0.3">
      <c r="B167" s="36"/>
      <c r="D167" t="str">
        <f>IF(C167="","",IFERROR(VLOOKUP(C167,RP!A:E,5,0),""))</f>
        <v/>
      </c>
      <c r="E167" t="str">
        <f>IF(C167="","",IFERROR(VLOOKUP(C167,RP!A:F,6,0),""))</f>
        <v/>
      </c>
      <c r="F167" t="str">
        <f>IF(C167="","",IFERROR(VLOOKUP(C167,RP!A:G,7,0),""))</f>
        <v/>
      </c>
      <c r="G167" t="str">
        <f>IF(C167="","",IFERROR(VLOOKUP(C167,RP!A:H,8,0),""))</f>
        <v/>
      </c>
      <c r="H167" s="35"/>
      <c r="K167" s="35" t="str">
        <f>IF(A167="","",SUMIF(PAGO!C:C,A167,PAGO!H:H))</f>
        <v/>
      </c>
      <c r="L167" s="35" t="str">
        <f t="shared" si="2"/>
        <v/>
      </c>
    </row>
    <row r="168" spans="2:12" x14ac:dyDescent="0.3">
      <c r="B168" s="36"/>
      <c r="D168" t="str">
        <f>IF(C168="","",IFERROR(VLOOKUP(C168,RP!A:E,5,0),""))</f>
        <v/>
      </c>
      <c r="E168" t="str">
        <f>IF(C168="","",IFERROR(VLOOKUP(C168,RP!A:F,6,0),""))</f>
        <v/>
      </c>
      <c r="F168" t="str">
        <f>IF(C168="","",IFERROR(VLOOKUP(C168,RP!A:G,7,0),""))</f>
        <v/>
      </c>
      <c r="G168" t="str">
        <f>IF(C168="","",IFERROR(VLOOKUP(C168,RP!A:H,8,0),""))</f>
        <v/>
      </c>
      <c r="H168" s="35"/>
      <c r="K168" s="35" t="str">
        <f>IF(A168="","",SUMIF(PAGO!C:C,A168,PAGO!H:H))</f>
        <v/>
      </c>
      <c r="L168" s="35" t="str">
        <f t="shared" si="2"/>
        <v/>
      </c>
    </row>
    <row r="169" spans="2:12" x14ac:dyDescent="0.3">
      <c r="B169" s="36"/>
      <c r="D169" t="str">
        <f>IF(C169="","",IFERROR(VLOOKUP(C169,RP!A:E,5,0),""))</f>
        <v/>
      </c>
      <c r="E169" t="str">
        <f>IF(C169="","",IFERROR(VLOOKUP(C169,RP!A:F,6,0),""))</f>
        <v/>
      </c>
      <c r="F169" t="str">
        <f>IF(C169="","",IFERROR(VLOOKUP(C169,RP!A:G,7,0),""))</f>
        <v/>
      </c>
      <c r="G169" t="str">
        <f>IF(C169="","",IFERROR(VLOOKUP(C169,RP!A:H,8,0),""))</f>
        <v/>
      </c>
      <c r="H169" s="35"/>
      <c r="K169" s="35" t="str">
        <f>IF(A169="","",SUMIF(PAGO!C:C,A169,PAGO!H:H))</f>
        <v/>
      </c>
      <c r="L169" s="35" t="str">
        <f t="shared" si="2"/>
        <v/>
      </c>
    </row>
    <row r="170" spans="2:12" x14ac:dyDescent="0.3">
      <c r="B170" s="36"/>
      <c r="D170" t="str">
        <f>IF(C170="","",IFERROR(VLOOKUP(C170,RP!A:E,5,0),""))</f>
        <v/>
      </c>
      <c r="E170" t="str">
        <f>IF(C170="","",IFERROR(VLOOKUP(C170,RP!A:F,6,0),""))</f>
        <v/>
      </c>
      <c r="F170" t="str">
        <f>IF(C170="","",IFERROR(VLOOKUP(C170,RP!A:G,7,0),""))</f>
        <v/>
      </c>
      <c r="G170" t="str">
        <f>IF(C170="","",IFERROR(VLOOKUP(C170,RP!A:H,8,0),""))</f>
        <v/>
      </c>
      <c r="H170" s="35"/>
      <c r="K170" s="35" t="str">
        <f>IF(A170="","",SUMIF(PAGO!C:C,A170,PAGO!H:H))</f>
        <v/>
      </c>
      <c r="L170" s="35" t="str">
        <f t="shared" si="2"/>
        <v/>
      </c>
    </row>
    <row r="171" spans="2:12" x14ac:dyDescent="0.3">
      <c r="B171" s="36"/>
      <c r="D171" t="str">
        <f>IF(C171="","",IFERROR(VLOOKUP(C171,RP!A:E,5,0),""))</f>
        <v/>
      </c>
      <c r="E171" t="str">
        <f>IF(C171="","",IFERROR(VLOOKUP(C171,RP!A:F,6,0),""))</f>
        <v/>
      </c>
      <c r="F171" t="str">
        <f>IF(C171="","",IFERROR(VLOOKUP(C171,RP!A:G,7,0),""))</f>
        <v/>
      </c>
      <c r="G171" t="str">
        <f>IF(C171="","",IFERROR(VLOOKUP(C171,RP!A:H,8,0),""))</f>
        <v/>
      </c>
      <c r="H171" s="35"/>
      <c r="K171" s="35" t="str">
        <f>IF(A171="","",SUMIF(PAGO!C:C,A171,PAGO!H:H))</f>
        <v/>
      </c>
      <c r="L171" s="35" t="str">
        <f t="shared" si="2"/>
        <v/>
      </c>
    </row>
    <row r="172" spans="2:12" x14ac:dyDescent="0.3">
      <c r="B172" s="36"/>
      <c r="D172" t="str">
        <f>IF(C172="","",IFERROR(VLOOKUP(C172,RP!A:E,5,0),""))</f>
        <v/>
      </c>
      <c r="E172" t="str">
        <f>IF(C172="","",IFERROR(VLOOKUP(C172,RP!A:F,6,0),""))</f>
        <v/>
      </c>
      <c r="F172" t="str">
        <f>IF(C172="","",IFERROR(VLOOKUP(C172,RP!A:G,7,0),""))</f>
        <v/>
      </c>
      <c r="G172" t="str">
        <f>IF(C172="","",IFERROR(VLOOKUP(C172,RP!A:H,8,0),""))</f>
        <v/>
      </c>
      <c r="H172" s="35"/>
      <c r="K172" s="35" t="str">
        <f>IF(A172="","",SUMIF(PAGO!C:C,A172,PAGO!H:H))</f>
        <v/>
      </c>
      <c r="L172" s="35" t="str">
        <f t="shared" si="2"/>
        <v/>
      </c>
    </row>
    <row r="173" spans="2:12" x14ac:dyDescent="0.3">
      <c r="B173" s="36"/>
      <c r="D173" t="str">
        <f>IF(C173="","",IFERROR(VLOOKUP(C173,RP!A:E,5,0),""))</f>
        <v/>
      </c>
      <c r="E173" t="str">
        <f>IF(C173="","",IFERROR(VLOOKUP(C173,RP!A:F,6,0),""))</f>
        <v/>
      </c>
      <c r="F173" t="str">
        <f>IF(C173="","",IFERROR(VLOOKUP(C173,RP!A:G,7,0),""))</f>
        <v/>
      </c>
      <c r="G173" t="str">
        <f>IF(C173="","",IFERROR(VLOOKUP(C173,RP!A:H,8,0),""))</f>
        <v/>
      </c>
      <c r="H173" s="35"/>
      <c r="K173" s="35" t="str">
        <f>IF(A173="","",SUMIF(PAGO!C:C,A173,PAGO!H:H))</f>
        <v/>
      </c>
      <c r="L173" s="35" t="str">
        <f t="shared" si="2"/>
        <v/>
      </c>
    </row>
    <row r="174" spans="2:12" x14ac:dyDescent="0.3">
      <c r="B174" s="36"/>
      <c r="D174" t="str">
        <f>IF(C174="","",IFERROR(VLOOKUP(C174,RP!A:E,5,0),""))</f>
        <v/>
      </c>
      <c r="E174" t="str">
        <f>IF(C174="","",IFERROR(VLOOKUP(C174,RP!A:F,6,0),""))</f>
        <v/>
      </c>
      <c r="F174" t="str">
        <f>IF(C174="","",IFERROR(VLOOKUP(C174,RP!A:G,7,0),""))</f>
        <v/>
      </c>
      <c r="G174" t="str">
        <f>IF(C174="","",IFERROR(VLOOKUP(C174,RP!A:H,8,0),""))</f>
        <v/>
      </c>
      <c r="H174" s="35"/>
      <c r="K174" s="35" t="str">
        <f>IF(A174="","",SUMIF(PAGO!C:C,A174,PAGO!H:H))</f>
        <v/>
      </c>
      <c r="L174" s="35" t="str">
        <f t="shared" si="2"/>
        <v/>
      </c>
    </row>
    <row r="175" spans="2:12" x14ac:dyDescent="0.3">
      <c r="B175" s="36"/>
      <c r="D175" t="str">
        <f>IF(C175="","",IFERROR(VLOOKUP(C175,RP!A:E,5,0),""))</f>
        <v/>
      </c>
      <c r="E175" t="str">
        <f>IF(C175="","",IFERROR(VLOOKUP(C175,RP!A:F,6,0),""))</f>
        <v/>
      </c>
      <c r="F175" t="str">
        <f>IF(C175="","",IFERROR(VLOOKUP(C175,RP!A:G,7,0),""))</f>
        <v/>
      </c>
      <c r="G175" t="str">
        <f>IF(C175="","",IFERROR(VLOOKUP(C175,RP!A:H,8,0),""))</f>
        <v/>
      </c>
      <c r="H175" s="35"/>
      <c r="K175" s="35" t="str">
        <f>IF(A175="","",SUMIF(PAGO!C:C,A175,PAGO!H:H))</f>
        <v/>
      </c>
      <c r="L175" s="35" t="str">
        <f t="shared" si="2"/>
        <v/>
      </c>
    </row>
    <row r="176" spans="2:12" x14ac:dyDescent="0.3">
      <c r="B176" s="36"/>
      <c r="D176" t="str">
        <f>IF(C176="","",IFERROR(VLOOKUP(C176,RP!A:E,5,0),""))</f>
        <v/>
      </c>
      <c r="E176" t="str">
        <f>IF(C176="","",IFERROR(VLOOKUP(C176,RP!A:F,6,0),""))</f>
        <v/>
      </c>
      <c r="F176" t="str">
        <f>IF(C176="","",IFERROR(VLOOKUP(C176,RP!A:G,7,0),""))</f>
        <v/>
      </c>
      <c r="G176" t="str">
        <f>IF(C176="","",IFERROR(VLOOKUP(C176,RP!A:H,8,0),""))</f>
        <v/>
      </c>
      <c r="H176" s="35"/>
      <c r="K176" s="35" t="str">
        <f>IF(A176="","",SUMIF(PAGO!C:C,A176,PAGO!H:H))</f>
        <v/>
      </c>
      <c r="L176" s="35" t="str">
        <f t="shared" si="2"/>
        <v/>
      </c>
    </row>
    <row r="177" spans="2:12" x14ac:dyDescent="0.3">
      <c r="B177" s="36"/>
      <c r="D177" t="str">
        <f>IF(C177="","",IFERROR(VLOOKUP(C177,RP!A:E,5,0),""))</f>
        <v/>
      </c>
      <c r="E177" t="str">
        <f>IF(C177="","",IFERROR(VLOOKUP(C177,RP!A:F,6,0),""))</f>
        <v/>
      </c>
      <c r="F177" t="str">
        <f>IF(C177="","",IFERROR(VLOOKUP(C177,RP!A:G,7,0),""))</f>
        <v/>
      </c>
      <c r="G177" t="str">
        <f>IF(C177="","",IFERROR(VLOOKUP(C177,RP!A:H,8,0),""))</f>
        <v/>
      </c>
      <c r="H177" s="35"/>
      <c r="K177" s="35" t="str">
        <f>IF(A177="","",SUMIF(PAGO!C:C,A177,PAGO!H:H))</f>
        <v/>
      </c>
      <c r="L177" s="35" t="str">
        <f t="shared" si="2"/>
        <v/>
      </c>
    </row>
    <row r="178" spans="2:12" x14ac:dyDescent="0.3">
      <c r="B178" s="36"/>
      <c r="D178" t="str">
        <f>IF(C178="","",IFERROR(VLOOKUP(C178,RP!A:E,5,0),""))</f>
        <v/>
      </c>
      <c r="E178" t="str">
        <f>IF(C178="","",IFERROR(VLOOKUP(C178,RP!A:F,6,0),""))</f>
        <v/>
      </c>
      <c r="F178" t="str">
        <f>IF(C178="","",IFERROR(VLOOKUP(C178,RP!A:G,7,0),""))</f>
        <v/>
      </c>
      <c r="G178" t="str">
        <f>IF(C178="","",IFERROR(VLOOKUP(C178,RP!A:H,8,0),""))</f>
        <v/>
      </c>
      <c r="H178" s="35"/>
      <c r="K178" s="35" t="str">
        <f>IF(A178="","",SUMIF(PAGO!C:C,A178,PAGO!H:H))</f>
        <v/>
      </c>
      <c r="L178" s="35" t="str">
        <f t="shared" si="2"/>
        <v/>
      </c>
    </row>
    <row r="179" spans="2:12" x14ac:dyDescent="0.3">
      <c r="B179" s="36"/>
      <c r="D179" t="str">
        <f>IF(C179="","",IFERROR(VLOOKUP(C179,RP!A:E,5,0),""))</f>
        <v/>
      </c>
      <c r="E179" t="str">
        <f>IF(C179="","",IFERROR(VLOOKUP(C179,RP!A:F,6,0),""))</f>
        <v/>
      </c>
      <c r="F179" t="str">
        <f>IF(C179="","",IFERROR(VLOOKUP(C179,RP!A:G,7,0),""))</f>
        <v/>
      </c>
      <c r="G179" t="str">
        <f>IF(C179="","",IFERROR(VLOOKUP(C179,RP!A:H,8,0),""))</f>
        <v/>
      </c>
      <c r="H179" s="35"/>
      <c r="K179" s="35" t="str">
        <f>IF(A179="","",SUMIF(PAGO!C:C,A179,PAGO!H:H))</f>
        <v/>
      </c>
      <c r="L179" s="35" t="str">
        <f t="shared" si="2"/>
        <v/>
      </c>
    </row>
    <row r="180" spans="2:12" x14ac:dyDescent="0.3">
      <c r="B180" s="36"/>
      <c r="D180" t="str">
        <f>IF(C180="","",IFERROR(VLOOKUP(C180,RP!A:E,5,0),""))</f>
        <v/>
      </c>
      <c r="E180" t="str">
        <f>IF(C180="","",IFERROR(VLOOKUP(C180,RP!A:F,6,0),""))</f>
        <v/>
      </c>
      <c r="F180" t="str">
        <f>IF(C180="","",IFERROR(VLOOKUP(C180,RP!A:G,7,0),""))</f>
        <v/>
      </c>
      <c r="G180" t="str">
        <f>IF(C180="","",IFERROR(VLOOKUP(C180,RP!A:H,8,0),""))</f>
        <v/>
      </c>
      <c r="H180" s="35"/>
      <c r="K180" s="35" t="str">
        <f>IF(A180="","",SUMIF(PAGO!C:C,A180,PAGO!H:H))</f>
        <v/>
      </c>
      <c r="L180" s="35" t="str">
        <f t="shared" si="2"/>
        <v/>
      </c>
    </row>
    <row r="181" spans="2:12" x14ac:dyDescent="0.3">
      <c r="B181" s="36"/>
      <c r="D181" t="str">
        <f>IF(C181="","",IFERROR(VLOOKUP(C181,RP!A:E,5,0),""))</f>
        <v/>
      </c>
      <c r="E181" t="str">
        <f>IF(C181="","",IFERROR(VLOOKUP(C181,RP!A:F,6,0),""))</f>
        <v/>
      </c>
      <c r="F181" t="str">
        <f>IF(C181="","",IFERROR(VLOOKUP(C181,RP!A:G,7,0),""))</f>
        <v/>
      </c>
      <c r="G181" t="str">
        <f>IF(C181="","",IFERROR(VLOOKUP(C181,RP!A:H,8,0),""))</f>
        <v/>
      </c>
      <c r="H181" s="35"/>
      <c r="K181" s="35" t="str">
        <f>IF(A181="","",SUMIF(PAGO!C:C,A181,PAGO!H:H))</f>
        <v/>
      </c>
      <c r="L181" s="35" t="str">
        <f t="shared" si="2"/>
        <v/>
      </c>
    </row>
    <row r="182" spans="2:12" x14ac:dyDescent="0.3">
      <c r="B182" s="36"/>
      <c r="D182" t="str">
        <f>IF(C182="","",IFERROR(VLOOKUP(C182,RP!A:E,5,0),""))</f>
        <v/>
      </c>
      <c r="E182" t="str">
        <f>IF(C182="","",IFERROR(VLOOKUP(C182,RP!A:F,6,0),""))</f>
        <v/>
      </c>
      <c r="F182" t="str">
        <f>IF(C182="","",IFERROR(VLOOKUP(C182,RP!A:G,7,0),""))</f>
        <v/>
      </c>
      <c r="G182" t="str">
        <f>IF(C182="","",IFERROR(VLOOKUP(C182,RP!A:H,8,0),""))</f>
        <v/>
      </c>
      <c r="H182" s="35"/>
      <c r="K182" s="35" t="str">
        <f>IF(A182="","",SUMIF(PAGO!C:C,A182,PAGO!H:H))</f>
        <v/>
      </c>
      <c r="L182" s="35" t="str">
        <f t="shared" si="2"/>
        <v/>
      </c>
    </row>
    <row r="183" spans="2:12" x14ac:dyDescent="0.3">
      <c r="B183" s="36"/>
      <c r="D183" t="str">
        <f>IF(C183="","",IFERROR(VLOOKUP(C183,RP!A:E,5,0),""))</f>
        <v/>
      </c>
      <c r="E183" t="str">
        <f>IF(C183="","",IFERROR(VLOOKUP(C183,RP!A:F,6,0),""))</f>
        <v/>
      </c>
      <c r="F183" t="str">
        <f>IF(C183="","",IFERROR(VLOOKUP(C183,RP!A:G,7,0),""))</f>
        <v/>
      </c>
      <c r="G183" t="str">
        <f>IF(C183="","",IFERROR(VLOOKUP(C183,RP!A:H,8,0),""))</f>
        <v/>
      </c>
      <c r="H183" s="35"/>
      <c r="K183" s="35" t="str">
        <f>IF(A183="","",SUMIF(PAGO!C:C,A183,PAGO!H:H))</f>
        <v/>
      </c>
      <c r="L183" s="35" t="str">
        <f t="shared" si="2"/>
        <v/>
      </c>
    </row>
    <row r="184" spans="2:12" x14ac:dyDescent="0.3">
      <c r="B184" s="36"/>
      <c r="D184" t="str">
        <f>IF(C184="","",IFERROR(VLOOKUP(C184,RP!A:E,5,0),""))</f>
        <v/>
      </c>
      <c r="E184" t="str">
        <f>IF(C184="","",IFERROR(VLOOKUP(C184,RP!A:F,6,0),""))</f>
        <v/>
      </c>
      <c r="F184" t="str">
        <f>IF(C184="","",IFERROR(VLOOKUP(C184,RP!A:G,7,0),""))</f>
        <v/>
      </c>
      <c r="G184" t="str">
        <f>IF(C184="","",IFERROR(VLOOKUP(C184,RP!A:H,8,0),""))</f>
        <v/>
      </c>
      <c r="H184" s="35"/>
      <c r="K184" s="35" t="str">
        <f>IF(A184="","",SUMIF(PAGO!C:C,A184,PAGO!H:H))</f>
        <v/>
      </c>
      <c r="L184" s="35" t="str">
        <f t="shared" si="2"/>
        <v/>
      </c>
    </row>
    <row r="185" spans="2:12" x14ac:dyDescent="0.3">
      <c r="B185" s="36"/>
      <c r="D185" t="str">
        <f>IF(C185="","",IFERROR(VLOOKUP(C185,RP!A:E,5,0),""))</f>
        <v/>
      </c>
      <c r="E185" t="str">
        <f>IF(C185="","",IFERROR(VLOOKUP(C185,RP!A:F,6,0),""))</f>
        <v/>
      </c>
      <c r="F185" t="str">
        <f>IF(C185="","",IFERROR(VLOOKUP(C185,RP!A:G,7,0),""))</f>
        <v/>
      </c>
      <c r="G185" t="str">
        <f>IF(C185="","",IFERROR(VLOOKUP(C185,RP!A:H,8,0),""))</f>
        <v/>
      </c>
      <c r="H185" s="35"/>
      <c r="K185" s="35" t="str">
        <f>IF(A185="","",SUMIF(PAGO!C:C,A185,PAGO!H:H))</f>
        <v/>
      </c>
      <c r="L185" s="35" t="str">
        <f t="shared" si="2"/>
        <v/>
      </c>
    </row>
    <row r="186" spans="2:12" x14ac:dyDescent="0.3">
      <c r="B186" s="36"/>
      <c r="D186" t="str">
        <f>IF(C186="","",IFERROR(VLOOKUP(C186,RP!A:E,5,0),""))</f>
        <v/>
      </c>
      <c r="E186" t="str">
        <f>IF(C186="","",IFERROR(VLOOKUP(C186,RP!A:F,6,0),""))</f>
        <v/>
      </c>
      <c r="F186" t="str">
        <f>IF(C186="","",IFERROR(VLOOKUP(C186,RP!A:G,7,0),""))</f>
        <v/>
      </c>
      <c r="G186" t="str">
        <f>IF(C186="","",IFERROR(VLOOKUP(C186,RP!A:H,8,0),""))</f>
        <v/>
      </c>
      <c r="H186" s="35"/>
      <c r="K186" s="35" t="str">
        <f>IF(A186="","",SUMIF(PAGO!C:C,A186,PAGO!H:H))</f>
        <v/>
      </c>
      <c r="L186" s="35" t="str">
        <f t="shared" si="2"/>
        <v/>
      </c>
    </row>
    <row r="187" spans="2:12" x14ac:dyDescent="0.3">
      <c r="B187" s="36"/>
      <c r="D187" t="str">
        <f>IF(C187="","",IFERROR(VLOOKUP(C187,RP!A:E,5,0),""))</f>
        <v/>
      </c>
      <c r="E187" t="str">
        <f>IF(C187="","",IFERROR(VLOOKUP(C187,RP!A:F,6,0),""))</f>
        <v/>
      </c>
      <c r="F187" t="str">
        <f>IF(C187="","",IFERROR(VLOOKUP(C187,RP!A:G,7,0),""))</f>
        <v/>
      </c>
      <c r="G187" t="str">
        <f>IF(C187="","",IFERROR(VLOOKUP(C187,RP!A:H,8,0),""))</f>
        <v/>
      </c>
      <c r="H187" s="35"/>
      <c r="K187" s="35" t="str">
        <f>IF(A187="","",SUMIF(PAGO!C:C,A187,PAGO!H:H))</f>
        <v/>
      </c>
      <c r="L187" s="35" t="str">
        <f t="shared" si="2"/>
        <v/>
      </c>
    </row>
    <row r="188" spans="2:12" x14ac:dyDescent="0.3">
      <c r="B188" s="36"/>
      <c r="D188" t="str">
        <f>IF(C188="","",IFERROR(VLOOKUP(C188,RP!A:E,5,0),""))</f>
        <v/>
      </c>
      <c r="E188" t="str">
        <f>IF(C188="","",IFERROR(VLOOKUP(C188,RP!A:F,6,0),""))</f>
        <v/>
      </c>
      <c r="F188" t="str">
        <f>IF(C188="","",IFERROR(VLOOKUP(C188,RP!A:G,7,0),""))</f>
        <v/>
      </c>
      <c r="G188" t="str">
        <f>IF(C188="","",IFERROR(VLOOKUP(C188,RP!A:H,8,0),""))</f>
        <v/>
      </c>
      <c r="H188" s="35"/>
      <c r="K188" s="35" t="str">
        <f>IF(A188="","",SUMIF(PAGO!C:C,A188,PAGO!H:H))</f>
        <v/>
      </c>
      <c r="L188" s="35" t="str">
        <f t="shared" si="2"/>
        <v/>
      </c>
    </row>
    <row r="189" spans="2:12" x14ac:dyDescent="0.3">
      <c r="B189" s="36"/>
      <c r="D189" t="str">
        <f>IF(C189="","",IFERROR(VLOOKUP(C189,RP!A:E,5,0),""))</f>
        <v/>
      </c>
      <c r="E189" t="str">
        <f>IF(C189="","",IFERROR(VLOOKUP(C189,RP!A:F,6,0),""))</f>
        <v/>
      </c>
      <c r="F189" t="str">
        <f>IF(C189="","",IFERROR(VLOOKUP(C189,RP!A:G,7,0),""))</f>
        <v/>
      </c>
      <c r="G189" t="str">
        <f>IF(C189="","",IFERROR(VLOOKUP(C189,RP!A:H,8,0),""))</f>
        <v/>
      </c>
      <c r="H189" s="35"/>
      <c r="K189" s="35" t="str">
        <f>IF(A189="","",SUMIF(PAGO!C:C,A189,PAGO!H:H))</f>
        <v/>
      </c>
      <c r="L189" s="35" t="str">
        <f t="shared" si="2"/>
        <v/>
      </c>
    </row>
    <row r="190" spans="2:12" x14ac:dyDescent="0.3">
      <c r="B190" s="36"/>
      <c r="D190" t="str">
        <f>IF(C190="","",IFERROR(VLOOKUP(C190,RP!A:E,5,0),""))</f>
        <v/>
      </c>
      <c r="E190" t="str">
        <f>IF(C190="","",IFERROR(VLOOKUP(C190,RP!A:F,6,0),""))</f>
        <v/>
      </c>
      <c r="F190" t="str">
        <f>IF(C190="","",IFERROR(VLOOKUP(C190,RP!A:G,7,0),""))</f>
        <v/>
      </c>
      <c r="G190" t="str">
        <f>IF(C190="","",IFERROR(VLOOKUP(C190,RP!A:H,8,0),""))</f>
        <v/>
      </c>
      <c r="H190" s="35"/>
      <c r="K190" s="35" t="str">
        <f>IF(A190="","",SUMIF(PAGO!C:C,A190,PAGO!H:H))</f>
        <v/>
      </c>
      <c r="L190" s="35" t="str">
        <f t="shared" si="2"/>
        <v/>
      </c>
    </row>
    <row r="191" spans="2:12" x14ac:dyDescent="0.3">
      <c r="B191" s="36"/>
      <c r="D191" t="str">
        <f>IF(C191="","",IFERROR(VLOOKUP(C191,RP!A:E,5,0),""))</f>
        <v/>
      </c>
      <c r="E191" t="str">
        <f>IF(C191="","",IFERROR(VLOOKUP(C191,RP!A:F,6,0),""))</f>
        <v/>
      </c>
      <c r="F191" t="str">
        <f>IF(C191="","",IFERROR(VLOOKUP(C191,RP!A:G,7,0),""))</f>
        <v/>
      </c>
      <c r="G191" t="str">
        <f>IF(C191="","",IFERROR(VLOOKUP(C191,RP!A:H,8,0),""))</f>
        <v/>
      </c>
      <c r="H191" s="35"/>
      <c r="K191" s="35" t="str">
        <f>IF(A191="","",SUMIF(PAGO!C:C,A191,PAGO!H:H))</f>
        <v/>
      </c>
      <c r="L191" s="35" t="str">
        <f t="shared" si="2"/>
        <v/>
      </c>
    </row>
    <row r="192" spans="2:12" x14ac:dyDescent="0.3">
      <c r="B192" s="36"/>
      <c r="D192" t="str">
        <f>IF(C192="","",IFERROR(VLOOKUP(C192,RP!A:E,5,0),""))</f>
        <v/>
      </c>
      <c r="E192" t="str">
        <f>IF(C192="","",IFERROR(VLOOKUP(C192,RP!A:F,6,0),""))</f>
        <v/>
      </c>
      <c r="F192" t="str">
        <f>IF(C192="","",IFERROR(VLOOKUP(C192,RP!A:G,7,0),""))</f>
        <v/>
      </c>
      <c r="G192" t="str">
        <f>IF(C192="","",IFERROR(VLOOKUP(C192,RP!A:H,8,0),""))</f>
        <v/>
      </c>
      <c r="H192" s="35"/>
      <c r="K192" s="35" t="str">
        <f>IF(A192="","",SUMIF(PAGO!C:C,A192,PAGO!H:H))</f>
        <v/>
      </c>
      <c r="L192" s="35" t="str">
        <f t="shared" si="2"/>
        <v/>
      </c>
    </row>
    <row r="193" spans="2:12" x14ac:dyDescent="0.3">
      <c r="B193" s="36"/>
      <c r="D193" t="str">
        <f>IF(C193="","",IFERROR(VLOOKUP(C193,RP!A:E,5,0),""))</f>
        <v/>
      </c>
      <c r="E193" t="str">
        <f>IF(C193="","",IFERROR(VLOOKUP(C193,RP!A:F,6,0),""))</f>
        <v/>
      </c>
      <c r="F193" t="str">
        <f>IF(C193="","",IFERROR(VLOOKUP(C193,RP!A:G,7,0),""))</f>
        <v/>
      </c>
      <c r="G193" t="str">
        <f>IF(C193="","",IFERROR(VLOOKUP(C193,RP!A:H,8,0),""))</f>
        <v/>
      </c>
      <c r="H193" s="35"/>
      <c r="K193" s="35" t="str">
        <f>IF(A193="","",SUMIF(PAGO!C:C,A193,PAGO!H:H))</f>
        <v/>
      </c>
      <c r="L193" s="35" t="str">
        <f t="shared" si="2"/>
        <v/>
      </c>
    </row>
    <row r="194" spans="2:12" x14ac:dyDescent="0.3">
      <c r="B194" s="36"/>
      <c r="D194" t="str">
        <f>IF(C194="","",IFERROR(VLOOKUP(C194,RP!A:E,5,0),""))</f>
        <v/>
      </c>
      <c r="E194" t="str">
        <f>IF(C194="","",IFERROR(VLOOKUP(C194,RP!A:F,6,0),""))</f>
        <v/>
      </c>
      <c r="F194" t="str">
        <f>IF(C194="","",IFERROR(VLOOKUP(C194,RP!A:G,7,0),""))</f>
        <v/>
      </c>
      <c r="G194" t="str">
        <f>IF(C194="","",IFERROR(VLOOKUP(C194,RP!A:H,8,0),""))</f>
        <v/>
      </c>
      <c r="H194" s="35"/>
      <c r="K194" s="35" t="str">
        <f>IF(A194="","",SUMIF(PAGO!C:C,A194,PAGO!H:H))</f>
        <v/>
      </c>
      <c r="L194" s="35" t="str">
        <f t="shared" ref="L194:L257" si="3">IF(A194="","",H194-K194)</f>
        <v/>
      </c>
    </row>
    <row r="195" spans="2:12" x14ac:dyDescent="0.3">
      <c r="B195" s="36"/>
      <c r="D195" t="str">
        <f>IF(C195="","",IFERROR(VLOOKUP(C195,RP!A:E,5,0),""))</f>
        <v/>
      </c>
      <c r="E195" t="str">
        <f>IF(C195="","",IFERROR(VLOOKUP(C195,RP!A:F,6,0),""))</f>
        <v/>
      </c>
      <c r="F195" t="str">
        <f>IF(C195="","",IFERROR(VLOOKUP(C195,RP!A:G,7,0),""))</f>
        <v/>
      </c>
      <c r="G195" t="str">
        <f>IF(C195="","",IFERROR(VLOOKUP(C195,RP!A:H,8,0),""))</f>
        <v/>
      </c>
      <c r="H195" s="35"/>
      <c r="K195" s="35" t="str">
        <f>IF(A195="","",SUMIF(PAGO!C:C,A195,PAGO!H:H))</f>
        <v/>
      </c>
      <c r="L195" s="35" t="str">
        <f t="shared" si="3"/>
        <v/>
      </c>
    </row>
    <row r="196" spans="2:12" x14ac:dyDescent="0.3">
      <c r="B196" s="36"/>
      <c r="D196" t="str">
        <f>IF(C196="","",IFERROR(VLOOKUP(C196,RP!A:E,5,0),""))</f>
        <v/>
      </c>
      <c r="E196" t="str">
        <f>IF(C196="","",IFERROR(VLOOKUP(C196,RP!A:F,6,0),""))</f>
        <v/>
      </c>
      <c r="F196" t="str">
        <f>IF(C196="","",IFERROR(VLOOKUP(C196,RP!A:G,7,0),""))</f>
        <v/>
      </c>
      <c r="G196" t="str">
        <f>IF(C196="","",IFERROR(VLOOKUP(C196,RP!A:H,8,0),""))</f>
        <v/>
      </c>
      <c r="H196" s="35"/>
      <c r="K196" s="35" t="str">
        <f>IF(A196="","",SUMIF(PAGO!C:C,A196,PAGO!H:H))</f>
        <v/>
      </c>
      <c r="L196" s="35" t="str">
        <f t="shared" si="3"/>
        <v/>
      </c>
    </row>
    <row r="197" spans="2:12" x14ac:dyDescent="0.3">
      <c r="B197" s="36"/>
      <c r="D197" t="str">
        <f>IF(C197="","",IFERROR(VLOOKUP(C197,RP!A:E,5,0),""))</f>
        <v/>
      </c>
      <c r="E197" t="str">
        <f>IF(C197="","",IFERROR(VLOOKUP(C197,RP!A:F,6,0),""))</f>
        <v/>
      </c>
      <c r="F197" t="str">
        <f>IF(C197="","",IFERROR(VLOOKUP(C197,RP!A:G,7,0),""))</f>
        <v/>
      </c>
      <c r="G197" t="str">
        <f>IF(C197="","",IFERROR(VLOOKUP(C197,RP!A:H,8,0),""))</f>
        <v/>
      </c>
      <c r="H197" s="35"/>
      <c r="K197" s="35" t="str">
        <f>IF(A197="","",SUMIF(PAGO!C:C,A197,PAGO!H:H))</f>
        <v/>
      </c>
      <c r="L197" s="35" t="str">
        <f t="shared" si="3"/>
        <v/>
      </c>
    </row>
    <row r="198" spans="2:12" x14ac:dyDescent="0.3">
      <c r="B198" s="36"/>
      <c r="D198" t="str">
        <f>IF(C198="","",IFERROR(VLOOKUP(C198,RP!A:E,5,0),""))</f>
        <v/>
      </c>
      <c r="E198" t="str">
        <f>IF(C198="","",IFERROR(VLOOKUP(C198,RP!A:F,6,0),""))</f>
        <v/>
      </c>
      <c r="F198" t="str">
        <f>IF(C198="","",IFERROR(VLOOKUP(C198,RP!A:G,7,0),""))</f>
        <v/>
      </c>
      <c r="G198" t="str">
        <f>IF(C198="","",IFERROR(VLOOKUP(C198,RP!A:H,8,0),""))</f>
        <v/>
      </c>
      <c r="H198" s="35"/>
      <c r="K198" s="35" t="str">
        <f>IF(A198="","",SUMIF(PAGO!C:C,A198,PAGO!H:H))</f>
        <v/>
      </c>
      <c r="L198" s="35" t="str">
        <f t="shared" si="3"/>
        <v/>
      </c>
    </row>
    <row r="199" spans="2:12" x14ac:dyDescent="0.3">
      <c r="B199" s="36"/>
      <c r="D199" t="str">
        <f>IF(C199="","",IFERROR(VLOOKUP(C199,RP!A:E,5,0),""))</f>
        <v/>
      </c>
      <c r="E199" t="str">
        <f>IF(C199="","",IFERROR(VLOOKUP(C199,RP!A:F,6,0),""))</f>
        <v/>
      </c>
      <c r="F199" t="str">
        <f>IF(C199="","",IFERROR(VLOOKUP(C199,RP!A:G,7,0),""))</f>
        <v/>
      </c>
      <c r="G199" t="str">
        <f>IF(C199="","",IFERROR(VLOOKUP(C199,RP!A:H,8,0),""))</f>
        <v/>
      </c>
      <c r="H199" s="35"/>
      <c r="K199" s="35" t="str">
        <f>IF(A199="","",SUMIF(PAGO!C:C,A199,PAGO!H:H))</f>
        <v/>
      </c>
      <c r="L199" s="35" t="str">
        <f t="shared" si="3"/>
        <v/>
      </c>
    </row>
    <row r="200" spans="2:12" x14ac:dyDescent="0.3">
      <c r="B200" s="36"/>
      <c r="D200" t="str">
        <f>IF(C200="","",IFERROR(VLOOKUP(C200,RP!A:E,5,0),""))</f>
        <v/>
      </c>
      <c r="E200" t="str">
        <f>IF(C200="","",IFERROR(VLOOKUP(C200,RP!A:F,6,0),""))</f>
        <v/>
      </c>
      <c r="F200" t="str">
        <f>IF(C200="","",IFERROR(VLOOKUP(C200,RP!A:G,7,0),""))</f>
        <v/>
      </c>
      <c r="G200" t="str">
        <f>IF(C200="","",IFERROR(VLOOKUP(C200,RP!A:H,8,0),""))</f>
        <v/>
      </c>
      <c r="H200" s="35"/>
      <c r="K200" s="35" t="str">
        <f>IF(A200="","",SUMIF(PAGO!C:C,A200,PAGO!H:H))</f>
        <v/>
      </c>
      <c r="L200" s="35" t="str">
        <f t="shared" si="3"/>
        <v/>
      </c>
    </row>
    <row r="201" spans="2:12" x14ac:dyDescent="0.3">
      <c r="B201" s="36"/>
      <c r="D201" t="str">
        <f>IF(C201="","",IFERROR(VLOOKUP(C201,RP!A:E,5,0),""))</f>
        <v/>
      </c>
      <c r="E201" t="str">
        <f>IF(C201="","",IFERROR(VLOOKUP(C201,RP!A:F,6,0),""))</f>
        <v/>
      </c>
      <c r="F201" t="str">
        <f>IF(C201="","",IFERROR(VLOOKUP(C201,RP!A:G,7,0),""))</f>
        <v/>
      </c>
      <c r="G201" t="str">
        <f>IF(C201="","",IFERROR(VLOOKUP(C201,RP!A:H,8,0),""))</f>
        <v/>
      </c>
      <c r="H201" s="35"/>
      <c r="K201" s="35" t="str">
        <f>IF(A201="","",SUMIF(PAGO!C:C,A201,PAGO!H:H))</f>
        <v/>
      </c>
      <c r="L201" s="35" t="str">
        <f t="shared" si="3"/>
        <v/>
      </c>
    </row>
    <row r="202" spans="2:12" x14ac:dyDescent="0.3">
      <c r="B202" s="36"/>
      <c r="D202" t="str">
        <f>IF(C202="","",IFERROR(VLOOKUP(C202,RP!A:E,5,0),""))</f>
        <v/>
      </c>
      <c r="E202" t="str">
        <f>IF(C202="","",IFERROR(VLOOKUP(C202,RP!A:F,6,0),""))</f>
        <v/>
      </c>
      <c r="F202" t="str">
        <f>IF(C202="","",IFERROR(VLOOKUP(C202,RP!A:G,7,0),""))</f>
        <v/>
      </c>
      <c r="G202" t="str">
        <f>IF(C202="","",IFERROR(VLOOKUP(C202,RP!A:H,8,0),""))</f>
        <v/>
      </c>
      <c r="H202" s="35"/>
      <c r="K202" s="35" t="str">
        <f>IF(A202="","",SUMIF(PAGO!C:C,A202,PAGO!H:H))</f>
        <v/>
      </c>
      <c r="L202" s="35" t="str">
        <f t="shared" si="3"/>
        <v/>
      </c>
    </row>
    <row r="203" spans="2:12" x14ac:dyDescent="0.3">
      <c r="B203" s="36"/>
      <c r="D203" t="str">
        <f>IF(C203="","",IFERROR(VLOOKUP(C203,RP!A:E,5,0),""))</f>
        <v/>
      </c>
      <c r="E203" t="str">
        <f>IF(C203="","",IFERROR(VLOOKUP(C203,RP!A:F,6,0),""))</f>
        <v/>
      </c>
      <c r="F203" t="str">
        <f>IF(C203="","",IFERROR(VLOOKUP(C203,RP!A:G,7,0),""))</f>
        <v/>
      </c>
      <c r="G203" t="str">
        <f>IF(C203="","",IFERROR(VLOOKUP(C203,RP!A:H,8,0),""))</f>
        <v/>
      </c>
      <c r="H203" s="35"/>
      <c r="K203" s="35" t="str">
        <f>IF(A203="","",SUMIF(PAGO!C:C,A203,PAGO!H:H))</f>
        <v/>
      </c>
      <c r="L203" s="35" t="str">
        <f t="shared" si="3"/>
        <v/>
      </c>
    </row>
    <row r="204" spans="2:12" x14ac:dyDescent="0.3">
      <c r="B204" s="36"/>
      <c r="D204" t="str">
        <f>IF(C204="","",IFERROR(VLOOKUP(C204,RP!A:E,5,0),""))</f>
        <v/>
      </c>
      <c r="E204" t="str">
        <f>IF(C204="","",IFERROR(VLOOKUP(C204,RP!A:F,6,0),""))</f>
        <v/>
      </c>
      <c r="F204" t="str">
        <f>IF(C204="","",IFERROR(VLOOKUP(C204,RP!A:G,7,0),""))</f>
        <v/>
      </c>
      <c r="G204" t="str">
        <f>IF(C204="","",IFERROR(VLOOKUP(C204,RP!A:H,8,0),""))</f>
        <v/>
      </c>
      <c r="H204" s="35"/>
      <c r="K204" s="35" t="str">
        <f>IF(A204="","",SUMIF(PAGO!C:C,A204,PAGO!H:H))</f>
        <v/>
      </c>
      <c r="L204" s="35" t="str">
        <f t="shared" si="3"/>
        <v/>
      </c>
    </row>
    <row r="205" spans="2:12" x14ac:dyDescent="0.3">
      <c r="B205" s="36"/>
      <c r="D205" t="str">
        <f>IF(C205="","",IFERROR(VLOOKUP(C205,RP!A:E,5,0),""))</f>
        <v/>
      </c>
      <c r="E205" t="str">
        <f>IF(C205="","",IFERROR(VLOOKUP(C205,RP!A:F,6,0),""))</f>
        <v/>
      </c>
      <c r="F205" t="str">
        <f>IF(C205="","",IFERROR(VLOOKUP(C205,RP!A:G,7,0),""))</f>
        <v/>
      </c>
      <c r="G205" t="str">
        <f>IF(C205="","",IFERROR(VLOOKUP(C205,RP!A:H,8,0),""))</f>
        <v/>
      </c>
      <c r="H205" s="35"/>
      <c r="K205" s="35" t="str">
        <f>IF(A205="","",SUMIF(PAGO!C:C,A205,PAGO!H:H))</f>
        <v/>
      </c>
      <c r="L205" s="35" t="str">
        <f t="shared" si="3"/>
        <v/>
      </c>
    </row>
    <row r="206" spans="2:12" x14ac:dyDescent="0.3">
      <c r="B206" s="36"/>
      <c r="D206" t="str">
        <f>IF(C206="","",IFERROR(VLOOKUP(C206,RP!A:E,5,0),""))</f>
        <v/>
      </c>
      <c r="E206" t="str">
        <f>IF(C206="","",IFERROR(VLOOKUP(C206,RP!A:F,6,0),""))</f>
        <v/>
      </c>
      <c r="F206" t="str">
        <f>IF(C206="","",IFERROR(VLOOKUP(C206,RP!A:G,7,0),""))</f>
        <v/>
      </c>
      <c r="G206" t="str">
        <f>IF(C206="","",IFERROR(VLOOKUP(C206,RP!A:H,8,0),""))</f>
        <v/>
      </c>
      <c r="H206" s="35"/>
      <c r="K206" s="35" t="str">
        <f>IF(A206="","",SUMIF(PAGO!C:C,A206,PAGO!H:H))</f>
        <v/>
      </c>
      <c r="L206" s="35" t="str">
        <f t="shared" si="3"/>
        <v/>
      </c>
    </row>
    <row r="207" spans="2:12" x14ac:dyDescent="0.3">
      <c r="B207" s="36"/>
      <c r="D207" t="str">
        <f>IF(C207="","",IFERROR(VLOOKUP(C207,RP!A:E,5,0),""))</f>
        <v/>
      </c>
      <c r="E207" t="str">
        <f>IF(C207="","",IFERROR(VLOOKUP(C207,RP!A:F,6,0),""))</f>
        <v/>
      </c>
      <c r="F207" t="str">
        <f>IF(C207="","",IFERROR(VLOOKUP(C207,RP!A:G,7,0),""))</f>
        <v/>
      </c>
      <c r="G207" t="str">
        <f>IF(C207="","",IFERROR(VLOOKUP(C207,RP!A:H,8,0),""))</f>
        <v/>
      </c>
      <c r="H207" s="35"/>
      <c r="K207" s="35" t="str">
        <f>IF(A207="","",SUMIF(PAGO!C:C,A207,PAGO!H:H))</f>
        <v/>
      </c>
      <c r="L207" s="35" t="str">
        <f t="shared" si="3"/>
        <v/>
      </c>
    </row>
    <row r="208" spans="2:12" x14ac:dyDescent="0.3">
      <c r="B208" s="36"/>
      <c r="D208" t="str">
        <f>IF(C208="","",IFERROR(VLOOKUP(C208,RP!A:E,5,0),""))</f>
        <v/>
      </c>
      <c r="E208" t="str">
        <f>IF(C208="","",IFERROR(VLOOKUP(C208,RP!A:F,6,0),""))</f>
        <v/>
      </c>
      <c r="F208" t="str">
        <f>IF(C208="","",IFERROR(VLOOKUP(C208,RP!A:G,7,0),""))</f>
        <v/>
      </c>
      <c r="G208" t="str">
        <f>IF(C208="","",IFERROR(VLOOKUP(C208,RP!A:H,8,0),""))</f>
        <v/>
      </c>
      <c r="H208" s="35"/>
      <c r="K208" s="35" t="str">
        <f>IF(A208="","",SUMIF(PAGO!C:C,A208,PAGO!H:H))</f>
        <v/>
      </c>
      <c r="L208" s="35" t="str">
        <f t="shared" si="3"/>
        <v/>
      </c>
    </row>
    <row r="209" spans="2:12" x14ac:dyDescent="0.3">
      <c r="B209" s="36"/>
      <c r="D209" t="str">
        <f>IF(C209="","",IFERROR(VLOOKUP(C209,RP!A:E,5,0),""))</f>
        <v/>
      </c>
      <c r="E209" t="str">
        <f>IF(C209="","",IFERROR(VLOOKUP(C209,RP!A:F,6,0),""))</f>
        <v/>
      </c>
      <c r="F209" t="str">
        <f>IF(C209="","",IFERROR(VLOOKUP(C209,RP!A:G,7,0),""))</f>
        <v/>
      </c>
      <c r="G209" t="str">
        <f>IF(C209="","",IFERROR(VLOOKUP(C209,RP!A:H,8,0),""))</f>
        <v/>
      </c>
      <c r="H209" s="35"/>
      <c r="K209" s="35" t="str">
        <f>IF(A209="","",SUMIF(PAGO!C:C,A209,PAGO!H:H))</f>
        <v/>
      </c>
      <c r="L209" s="35" t="str">
        <f t="shared" si="3"/>
        <v/>
      </c>
    </row>
    <row r="210" spans="2:12" x14ac:dyDescent="0.3">
      <c r="B210" s="36"/>
      <c r="D210" t="str">
        <f>IF(C210="","",IFERROR(VLOOKUP(C210,RP!A:E,5,0),""))</f>
        <v/>
      </c>
      <c r="E210" t="str">
        <f>IF(C210="","",IFERROR(VLOOKUP(C210,RP!A:F,6,0),""))</f>
        <v/>
      </c>
      <c r="F210" t="str">
        <f>IF(C210="","",IFERROR(VLOOKUP(C210,RP!A:G,7,0),""))</f>
        <v/>
      </c>
      <c r="G210" t="str">
        <f>IF(C210="","",IFERROR(VLOOKUP(C210,RP!A:H,8,0),""))</f>
        <v/>
      </c>
      <c r="H210" s="35"/>
      <c r="K210" s="35" t="str">
        <f>IF(A210="","",SUMIF(PAGO!C:C,A210,PAGO!H:H))</f>
        <v/>
      </c>
      <c r="L210" s="35" t="str">
        <f t="shared" si="3"/>
        <v/>
      </c>
    </row>
    <row r="211" spans="2:12" x14ac:dyDescent="0.3">
      <c r="B211" s="36"/>
      <c r="D211" t="str">
        <f>IF(C211="","",IFERROR(VLOOKUP(C211,RP!A:E,5,0),""))</f>
        <v/>
      </c>
      <c r="E211" t="str">
        <f>IF(C211="","",IFERROR(VLOOKUP(C211,RP!A:F,6,0),""))</f>
        <v/>
      </c>
      <c r="F211" t="str">
        <f>IF(C211="","",IFERROR(VLOOKUP(C211,RP!A:G,7,0),""))</f>
        <v/>
      </c>
      <c r="G211" t="str">
        <f>IF(C211="","",IFERROR(VLOOKUP(C211,RP!A:H,8,0),""))</f>
        <v/>
      </c>
      <c r="H211" s="35"/>
      <c r="K211" s="35" t="str">
        <f>IF(A211="","",SUMIF(PAGO!C:C,A211,PAGO!H:H))</f>
        <v/>
      </c>
      <c r="L211" s="35" t="str">
        <f t="shared" si="3"/>
        <v/>
      </c>
    </row>
    <row r="212" spans="2:12" x14ac:dyDescent="0.3">
      <c r="B212" s="36"/>
      <c r="D212" t="str">
        <f>IF(C212="","",IFERROR(VLOOKUP(C212,RP!A:E,5,0),""))</f>
        <v/>
      </c>
      <c r="E212" t="str">
        <f>IF(C212="","",IFERROR(VLOOKUP(C212,RP!A:F,6,0),""))</f>
        <v/>
      </c>
      <c r="F212" t="str">
        <f>IF(C212="","",IFERROR(VLOOKUP(C212,RP!A:G,7,0),""))</f>
        <v/>
      </c>
      <c r="G212" t="str">
        <f>IF(C212="","",IFERROR(VLOOKUP(C212,RP!A:H,8,0),""))</f>
        <v/>
      </c>
      <c r="H212" s="35"/>
      <c r="K212" s="35" t="str">
        <f>IF(A212="","",SUMIF(PAGO!C:C,A212,PAGO!H:H))</f>
        <v/>
      </c>
      <c r="L212" s="35" t="str">
        <f t="shared" si="3"/>
        <v/>
      </c>
    </row>
    <row r="213" spans="2:12" x14ac:dyDescent="0.3">
      <c r="B213" s="36"/>
      <c r="D213" t="str">
        <f>IF(C213="","",IFERROR(VLOOKUP(C213,RP!A:E,5,0),""))</f>
        <v/>
      </c>
      <c r="E213" t="str">
        <f>IF(C213="","",IFERROR(VLOOKUP(C213,RP!A:F,6,0),""))</f>
        <v/>
      </c>
      <c r="F213" t="str">
        <f>IF(C213="","",IFERROR(VLOOKUP(C213,RP!A:G,7,0),""))</f>
        <v/>
      </c>
      <c r="G213" t="str">
        <f>IF(C213="","",IFERROR(VLOOKUP(C213,RP!A:H,8,0),""))</f>
        <v/>
      </c>
      <c r="H213" s="35"/>
      <c r="K213" s="35" t="str">
        <f>IF(A213="","",SUMIF(PAGO!C:C,A213,PAGO!H:H))</f>
        <v/>
      </c>
      <c r="L213" s="35" t="str">
        <f t="shared" si="3"/>
        <v/>
      </c>
    </row>
    <row r="214" spans="2:12" x14ac:dyDescent="0.3">
      <c r="B214" s="36"/>
      <c r="D214" t="str">
        <f>IF(C214="","",IFERROR(VLOOKUP(C214,RP!A:E,5,0),""))</f>
        <v/>
      </c>
      <c r="E214" t="str">
        <f>IF(C214="","",IFERROR(VLOOKUP(C214,RP!A:F,6,0),""))</f>
        <v/>
      </c>
      <c r="F214" t="str">
        <f>IF(C214="","",IFERROR(VLOOKUP(C214,RP!A:G,7,0),""))</f>
        <v/>
      </c>
      <c r="G214" t="str">
        <f>IF(C214="","",IFERROR(VLOOKUP(C214,RP!A:H,8,0),""))</f>
        <v/>
      </c>
      <c r="H214" s="35"/>
      <c r="K214" s="35" t="str">
        <f>IF(A214="","",SUMIF(PAGO!C:C,A214,PAGO!H:H))</f>
        <v/>
      </c>
      <c r="L214" s="35" t="str">
        <f t="shared" si="3"/>
        <v/>
      </c>
    </row>
    <row r="215" spans="2:12" x14ac:dyDescent="0.3">
      <c r="B215" s="36"/>
      <c r="D215" t="str">
        <f>IF(C215="","",IFERROR(VLOOKUP(C215,RP!A:E,5,0),""))</f>
        <v/>
      </c>
      <c r="E215" t="str">
        <f>IF(C215="","",IFERROR(VLOOKUP(C215,RP!A:F,6,0),""))</f>
        <v/>
      </c>
      <c r="F215" t="str">
        <f>IF(C215="","",IFERROR(VLOOKUP(C215,RP!A:G,7,0),""))</f>
        <v/>
      </c>
      <c r="G215" t="str">
        <f>IF(C215="","",IFERROR(VLOOKUP(C215,RP!A:H,8,0),""))</f>
        <v/>
      </c>
      <c r="H215" s="35"/>
      <c r="K215" s="35" t="str">
        <f>IF(A215="","",SUMIF(PAGO!C:C,A215,PAGO!H:H))</f>
        <v/>
      </c>
      <c r="L215" s="35" t="str">
        <f t="shared" si="3"/>
        <v/>
      </c>
    </row>
    <row r="216" spans="2:12" x14ac:dyDescent="0.3">
      <c r="B216" s="36"/>
      <c r="D216" t="str">
        <f>IF(C216="","",IFERROR(VLOOKUP(C216,RP!A:E,5,0),""))</f>
        <v/>
      </c>
      <c r="E216" t="str">
        <f>IF(C216="","",IFERROR(VLOOKUP(C216,RP!A:F,6,0),""))</f>
        <v/>
      </c>
      <c r="F216" t="str">
        <f>IF(C216="","",IFERROR(VLOOKUP(C216,RP!A:G,7,0),""))</f>
        <v/>
      </c>
      <c r="G216" t="str">
        <f>IF(C216="","",IFERROR(VLOOKUP(C216,RP!A:H,8,0),""))</f>
        <v/>
      </c>
      <c r="H216" s="35"/>
      <c r="K216" s="35" t="str">
        <f>IF(A216="","",SUMIF(PAGO!C:C,A216,PAGO!H:H))</f>
        <v/>
      </c>
      <c r="L216" s="35" t="str">
        <f t="shared" si="3"/>
        <v/>
      </c>
    </row>
    <row r="217" spans="2:12" x14ac:dyDescent="0.3">
      <c r="B217" s="36"/>
      <c r="D217" t="str">
        <f>IF(C217="","",IFERROR(VLOOKUP(C217,RP!A:E,5,0),""))</f>
        <v/>
      </c>
      <c r="E217" t="str">
        <f>IF(C217="","",IFERROR(VLOOKUP(C217,RP!A:F,6,0),""))</f>
        <v/>
      </c>
      <c r="F217" t="str">
        <f>IF(C217="","",IFERROR(VLOOKUP(C217,RP!A:G,7,0),""))</f>
        <v/>
      </c>
      <c r="G217" t="str">
        <f>IF(C217="","",IFERROR(VLOOKUP(C217,RP!A:H,8,0),""))</f>
        <v/>
      </c>
      <c r="H217" s="35"/>
      <c r="K217" s="35" t="str">
        <f>IF(A217="","",SUMIF(PAGO!C:C,A217,PAGO!H:H))</f>
        <v/>
      </c>
      <c r="L217" s="35" t="str">
        <f t="shared" si="3"/>
        <v/>
      </c>
    </row>
    <row r="218" spans="2:12" x14ac:dyDescent="0.3">
      <c r="B218" s="36"/>
      <c r="D218" t="str">
        <f>IF(C218="","",IFERROR(VLOOKUP(C218,RP!A:E,5,0),""))</f>
        <v/>
      </c>
      <c r="E218" t="str">
        <f>IF(C218="","",IFERROR(VLOOKUP(C218,RP!A:F,6,0),""))</f>
        <v/>
      </c>
      <c r="F218" t="str">
        <f>IF(C218="","",IFERROR(VLOOKUP(C218,RP!A:G,7,0),""))</f>
        <v/>
      </c>
      <c r="G218" t="str">
        <f>IF(C218="","",IFERROR(VLOOKUP(C218,RP!A:H,8,0),""))</f>
        <v/>
      </c>
      <c r="H218" s="35"/>
      <c r="K218" s="35" t="str">
        <f>IF(A218="","",SUMIF(PAGO!C:C,A218,PAGO!H:H))</f>
        <v/>
      </c>
      <c r="L218" s="35" t="str">
        <f t="shared" si="3"/>
        <v/>
      </c>
    </row>
    <row r="219" spans="2:12" x14ac:dyDescent="0.3">
      <c r="B219" s="36"/>
      <c r="D219" t="str">
        <f>IF(C219="","",IFERROR(VLOOKUP(C219,RP!A:E,5,0),""))</f>
        <v/>
      </c>
      <c r="E219" t="str">
        <f>IF(C219="","",IFERROR(VLOOKUP(C219,RP!A:F,6,0),""))</f>
        <v/>
      </c>
      <c r="F219" t="str">
        <f>IF(C219="","",IFERROR(VLOOKUP(C219,RP!A:G,7,0),""))</f>
        <v/>
      </c>
      <c r="G219" t="str">
        <f>IF(C219="","",IFERROR(VLOOKUP(C219,RP!A:H,8,0),""))</f>
        <v/>
      </c>
      <c r="H219" s="35"/>
      <c r="K219" s="35" t="str">
        <f>IF(A219="","",SUMIF(PAGO!C:C,A219,PAGO!H:H))</f>
        <v/>
      </c>
      <c r="L219" s="35" t="str">
        <f t="shared" si="3"/>
        <v/>
      </c>
    </row>
    <row r="220" spans="2:12" x14ac:dyDescent="0.3">
      <c r="B220" s="36"/>
      <c r="D220" t="str">
        <f>IF(C220="","",IFERROR(VLOOKUP(C220,RP!A:E,5,0),""))</f>
        <v/>
      </c>
      <c r="E220" t="str">
        <f>IF(C220="","",IFERROR(VLOOKUP(C220,RP!A:F,6,0),""))</f>
        <v/>
      </c>
      <c r="F220" t="str">
        <f>IF(C220="","",IFERROR(VLOOKUP(C220,RP!A:G,7,0),""))</f>
        <v/>
      </c>
      <c r="G220" t="str">
        <f>IF(C220="","",IFERROR(VLOOKUP(C220,RP!A:H,8,0),""))</f>
        <v/>
      </c>
      <c r="H220" s="35"/>
      <c r="K220" s="35" t="str">
        <f>IF(A220="","",SUMIF(PAGO!C:C,A220,PAGO!H:H))</f>
        <v/>
      </c>
      <c r="L220" s="35" t="str">
        <f t="shared" si="3"/>
        <v/>
      </c>
    </row>
    <row r="221" spans="2:12" x14ac:dyDescent="0.3">
      <c r="B221" s="36"/>
      <c r="D221" t="str">
        <f>IF(C221="","",IFERROR(VLOOKUP(C221,RP!A:E,5,0),""))</f>
        <v/>
      </c>
      <c r="E221" t="str">
        <f>IF(C221="","",IFERROR(VLOOKUP(C221,RP!A:F,6,0),""))</f>
        <v/>
      </c>
      <c r="F221" t="str">
        <f>IF(C221="","",IFERROR(VLOOKUP(C221,RP!A:G,7,0),""))</f>
        <v/>
      </c>
      <c r="G221" t="str">
        <f>IF(C221="","",IFERROR(VLOOKUP(C221,RP!A:H,8,0),""))</f>
        <v/>
      </c>
      <c r="H221" s="35"/>
      <c r="K221" s="35" t="str">
        <f>IF(A221="","",SUMIF(PAGO!C:C,A221,PAGO!H:H))</f>
        <v/>
      </c>
      <c r="L221" s="35" t="str">
        <f t="shared" si="3"/>
        <v/>
      </c>
    </row>
    <row r="222" spans="2:12" x14ac:dyDescent="0.3">
      <c r="B222" s="36"/>
      <c r="D222" t="str">
        <f>IF(C222="","",IFERROR(VLOOKUP(C222,RP!A:E,5,0),""))</f>
        <v/>
      </c>
      <c r="E222" t="str">
        <f>IF(C222="","",IFERROR(VLOOKUP(C222,RP!A:F,6,0),""))</f>
        <v/>
      </c>
      <c r="F222" t="str">
        <f>IF(C222="","",IFERROR(VLOOKUP(C222,RP!A:G,7,0),""))</f>
        <v/>
      </c>
      <c r="G222" t="str">
        <f>IF(C222="","",IFERROR(VLOOKUP(C222,RP!A:H,8,0),""))</f>
        <v/>
      </c>
      <c r="H222" s="35"/>
      <c r="K222" s="35" t="str">
        <f>IF(A222="","",SUMIF(PAGO!C:C,A222,PAGO!H:H))</f>
        <v/>
      </c>
      <c r="L222" s="35" t="str">
        <f t="shared" si="3"/>
        <v/>
      </c>
    </row>
    <row r="223" spans="2:12" x14ac:dyDescent="0.3">
      <c r="B223" s="36"/>
      <c r="D223" t="str">
        <f>IF(C223="","",IFERROR(VLOOKUP(C223,RP!A:E,5,0),""))</f>
        <v/>
      </c>
      <c r="E223" t="str">
        <f>IF(C223="","",IFERROR(VLOOKUP(C223,RP!A:F,6,0),""))</f>
        <v/>
      </c>
      <c r="F223" t="str">
        <f>IF(C223="","",IFERROR(VLOOKUP(C223,RP!A:G,7,0),""))</f>
        <v/>
      </c>
      <c r="G223" t="str">
        <f>IF(C223="","",IFERROR(VLOOKUP(C223,RP!A:H,8,0),""))</f>
        <v/>
      </c>
      <c r="H223" s="35"/>
      <c r="K223" s="35" t="str">
        <f>IF(A223="","",SUMIF(PAGO!C:C,A223,PAGO!H:H))</f>
        <v/>
      </c>
      <c r="L223" s="35" t="str">
        <f t="shared" si="3"/>
        <v/>
      </c>
    </row>
    <row r="224" spans="2:12" x14ac:dyDescent="0.3">
      <c r="B224" s="36"/>
      <c r="D224" t="str">
        <f>IF(C224="","",IFERROR(VLOOKUP(C224,RP!A:E,5,0),""))</f>
        <v/>
      </c>
      <c r="E224" t="str">
        <f>IF(C224="","",IFERROR(VLOOKUP(C224,RP!A:F,6,0),""))</f>
        <v/>
      </c>
      <c r="F224" t="str">
        <f>IF(C224="","",IFERROR(VLOOKUP(C224,RP!A:G,7,0),""))</f>
        <v/>
      </c>
      <c r="G224" t="str">
        <f>IF(C224="","",IFERROR(VLOOKUP(C224,RP!A:H,8,0),""))</f>
        <v/>
      </c>
      <c r="H224" s="35"/>
      <c r="K224" s="35" t="str">
        <f>IF(A224="","",SUMIF(PAGO!C:C,A224,PAGO!H:H))</f>
        <v/>
      </c>
      <c r="L224" s="35" t="str">
        <f t="shared" si="3"/>
        <v/>
      </c>
    </row>
    <row r="225" spans="2:12" x14ac:dyDescent="0.3">
      <c r="B225" s="36"/>
      <c r="D225" t="str">
        <f>IF(C225="","",IFERROR(VLOOKUP(C225,RP!A:E,5,0),""))</f>
        <v/>
      </c>
      <c r="E225" t="str">
        <f>IF(C225="","",IFERROR(VLOOKUP(C225,RP!A:F,6,0),""))</f>
        <v/>
      </c>
      <c r="F225" t="str">
        <f>IF(C225="","",IFERROR(VLOOKUP(C225,RP!A:G,7,0),""))</f>
        <v/>
      </c>
      <c r="G225" t="str">
        <f>IF(C225="","",IFERROR(VLOOKUP(C225,RP!A:H,8,0),""))</f>
        <v/>
      </c>
      <c r="H225" s="35"/>
      <c r="K225" s="35" t="str">
        <f>IF(A225="","",SUMIF(PAGO!C:C,A225,PAGO!H:H))</f>
        <v/>
      </c>
      <c r="L225" s="35" t="str">
        <f t="shared" si="3"/>
        <v/>
      </c>
    </row>
    <row r="226" spans="2:12" x14ac:dyDescent="0.3">
      <c r="B226" s="36"/>
      <c r="D226" t="str">
        <f>IF(C226="","",IFERROR(VLOOKUP(C226,RP!A:E,5,0),""))</f>
        <v/>
      </c>
      <c r="E226" t="str">
        <f>IF(C226="","",IFERROR(VLOOKUP(C226,RP!A:F,6,0),""))</f>
        <v/>
      </c>
      <c r="F226" t="str">
        <f>IF(C226="","",IFERROR(VLOOKUP(C226,RP!A:G,7,0),""))</f>
        <v/>
      </c>
      <c r="G226" t="str">
        <f>IF(C226="","",IFERROR(VLOOKUP(C226,RP!A:H,8,0),""))</f>
        <v/>
      </c>
      <c r="H226" s="35"/>
      <c r="K226" s="35" t="str">
        <f>IF(A226="","",SUMIF(PAGO!C:C,A226,PAGO!H:H))</f>
        <v/>
      </c>
      <c r="L226" s="35" t="str">
        <f t="shared" si="3"/>
        <v/>
      </c>
    </row>
    <row r="227" spans="2:12" x14ac:dyDescent="0.3">
      <c r="B227" s="36"/>
      <c r="D227" t="str">
        <f>IF(C227="","",IFERROR(VLOOKUP(C227,RP!A:E,5,0),""))</f>
        <v/>
      </c>
      <c r="E227" t="str">
        <f>IF(C227="","",IFERROR(VLOOKUP(C227,RP!A:F,6,0),""))</f>
        <v/>
      </c>
      <c r="F227" t="str">
        <f>IF(C227="","",IFERROR(VLOOKUP(C227,RP!A:G,7,0),""))</f>
        <v/>
      </c>
      <c r="G227" t="str">
        <f>IF(C227="","",IFERROR(VLOOKUP(C227,RP!A:H,8,0),""))</f>
        <v/>
      </c>
      <c r="H227" s="35"/>
      <c r="K227" s="35" t="str">
        <f>IF(A227="","",SUMIF(PAGO!C:C,A227,PAGO!H:H))</f>
        <v/>
      </c>
      <c r="L227" s="35" t="str">
        <f t="shared" si="3"/>
        <v/>
      </c>
    </row>
    <row r="228" spans="2:12" x14ac:dyDescent="0.3">
      <c r="B228" s="36"/>
      <c r="D228" t="str">
        <f>IF(C228="","",IFERROR(VLOOKUP(C228,RP!A:E,5,0),""))</f>
        <v/>
      </c>
      <c r="E228" t="str">
        <f>IF(C228="","",IFERROR(VLOOKUP(C228,RP!A:F,6,0),""))</f>
        <v/>
      </c>
      <c r="F228" t="str">
        <f>IF(C228="","",IFERROR(VLOOKUP(C228,RP!A:G,7,0),""))</f>
        <v/>
      </c>
      <c r="G228" t="str">
        <f>IF(C228="","",IFERROR(VLOOKUP(C228,RP!A:H,8,0),""))</f>
        <v/>
      </c>
      <c r="H228" s="35"/>
      <c r="K228" s="35" t="str">
        <f>IF(A228="","",SUMIF(PAGO!C:C,A228,PAGO!H:H))</f>
        <v/>
      </c>
      <c r="L228" s="35" t="str">
        <f t="shared" si="3"/>
        <v/>
      </c>
    </row>
    <row r="229" spans="2:12" x14ac:dyDescent="0.3">
      <c r="B229" s="36"/>
      <c r="D229" t="str">
        <f>IF(C229="","",IFERROR(VLOOKUP(C229,RP!A:E,5,0),""))</f>
        <v/>
      </c>
      <c r="E229" t="str">
        <f>IF(C229="","",IFERROR(VLOOKUP(C229,RP!A:F,6,0),""))</f>
        <v/>
      </c>
      <c r="F229" t="str">
        <f>IF(C229="","",IFERROR(VLOOKUP(C229,RP!A:G,7,0),""))</f>
        <v/>
      </c>
      <c r="G229" t="str">
        <f>IF(C229="","",IFERROR(VLOOKUP(C229,RP!A:H,8,0),""))</f>
        <v/>
      </c>
      <c r="H229" s="35"/>
      <c r="K229" s="35" t="str">
        <f>IF(A229="","",SUMIF(PAGO!C:C,A229,PAGO!H:H))</f>
        <v/>
      </c>
      <c r="L229" s="35" t="str">
        <f t="shared" si="3"/>
        <v/>
      </c>
    </row>
    <row r="230" spans="2:12" x14ac:dyDescent="0.3">
      <c r="B230" s="36"/>
      <c r="D230" t="str">
        <f>IF(C230="","",IFERROR(VLOOKUP(C230,RP!A:E,5,0),""))</f>
        <v/>
      </c>
      <c r="E230" t="str">
        <f>IF(C230="","",IFERROR(VLOOKUP(C230,RP!A:F,6,0),""))</f>
        <v/>
      </c>
      <c r="F230" t="str">
        <f>IF(C230="","",IFERROR(VLOOKUP(C230,RP!A:G,7,0),""))</f>
        <v/>
      </c>
      <c r="G230" t="str">
        <f>IF(C230="","",IFERROR(VLOOKUP(C230,RP!A:H,8,0),""))</f>
        <v/>
      </c>
      <c r="H230" s="35"/>
      <c r="K230" s="35" t="str">
        <f>IF(A230="","",SUMIF(PAGO!C:C,A230,PAGO!H:H))</f>
        <v/>
      </c>
      <c r="L230" s="35" t="str">
        <f t="shared" si="3"/>
        <v/>
      </c>
    </row>
    <row r="231" spans="2:12" x14ac:dyDescent="0.3">
      <c r="B231" s="36"/>
      <c r="D231" t="str">
        <f>IF(C231="","",IFERROR(VLOOKUP(C231,RP!A:E,5,0),""))</f>
        <v/>
      </c>
      <c r="E231" t="str">
        <f>IF(C231="","",IFERROR(VLOOKUP(C231,RP!A:F,6,0),""))</f>
        <v/>
      </c>
      <c r="F231" t="str">
        <f>IF(C231="","",IFERROR(VLOOKUP(C231,RP!A:G,7,0),""))</f>
        <v/>
      </c>
      <c r="G231" t="str">
        <f>IF(C231="","",IFERROR(VLOOKUP(C231,RP!A:H,8,0),""))</f>
        <v/>
      </c>
      <c r="H231" s="35"/>
      <c r="K231" s="35" t="str">
        <f>IF(A231="","",SUMIF(PAGO!C:C,A231,PAGO!H:H))</f>
        <v/>
      </c>
      <c r="L231" s="35" t="str">
        <f t="shared" si="3"/>
        <v/>
      </c>
    </row>
    <row r="232" spans="2:12" x14ac:dyDescent="0.3">
      <c r="B232" s="36"/>
      <c r="D232" t="str">
        <f>IF(C232="","",IFERROR(VLOOKUP(C232,RP!A:E,5,0),""))</f>
        <v/>
      </c>
      <c r="E232" t="str">
        <f>IF(C232="","",IFERROR(VLOOKUP(C232,RP!A:F,6,0),""))</f>
        <v/>
      </c>
      <c r="F232" t="str">
        <f>IF(C232="","",IFERROR(VLOOKUP(C232,RP!A:G,7,0),""))</f>
        <v/>
      </c>
      <c r="G232" t="str">
        <f>IF(C232="","",IFERROR(VLOOKUP(C232,RP!A:H,8,0),""))</f>
        <v/>
      </c>
      <c r="H232" s="35"/>
      <c r="K232" s="35" t="str">
        <f>IF(A232="","",SUMIF(PAGO!C:C,A232,PAGO!H:H))</f>
        <v/>
      </c>
      <c r="L232" s="35" t="str">
        <f t="shared" si="3"/>
        <v/>
      </c>
    </row>
    <row r="233" spans="2:12" x14ac:dyDescent="0.3">
      <c r="B233" s="36"/>
      <c r="D233" t="str">
        <f>IF(C233="","",IFERROR(VLOOKUP(C233,RP!A:E,5,0),""))</f>
        <v/>
      </c>
      <c r="E233" t="str">
        <f>IF(C233="","",IFERROR(VLOOKUP(C233,RP!A:F,6,0),""))</f>
        <v/>
      </c>
      <c r="F233" t="str">
        <f>IF(C233="","",IFERROR(VLOOKUP(C233,RP!A:G,7,0),""))</f>
        <v/>
      </c>
      <c r="G233" t="str">
        <f>IF(C233="","",IFERROR(VLOOKUP(C233,RP!A:H,8,0),""))</f>
        <v/>
      </c>
      <c r="H233" s="35"/>
      <c r="K233" s="35" t="str">
        <f>IF(A233="","",SUMIF(PAGO!C:C,A233,PAGO!H:H))</f>
        <v/>
      </c>
      <c r="L233" s="35" t="str">
        <f t="shared" si="3"/>
        <v/>
      </c>
    </row>
    <row r="234" spans="2:12" x14ac:dyDescent="0.3">
      <c r="B234" s="36"/>
      <c r="D234" t="str">
        <f>IF(C234="","",IFERROR(VLOOKUP(C234,RP!A:E,5,0),""))</f>
        <v/>
      </c>
      <c r="E234" t="str">
        <f>IF(C234="","",IFERROR(VLOOKUP(C234,RP!A:F,6,0),""))</f>
        <v/>
      </c>
      <c r="F234" t="str">
        <f>IF(C234="","",IFERROR(VLOOKUP(C234,RP!A:G,7,0),""))</f>
        <v/>
      </c>
      <c r="G234" t="str">
        <f>IF(C234="","",IFERROR(VLOOKUP(C234,RP!A:H,8,0),""))</f>
        <v/>
      </c>
      <c r="H234" s="35"/>
      <c r="K234" s="35" t="str">
        <f>IF(A234="","",SUMIF(PAGO!C:C,A234,PAGO!H:H))</f>
        <v/>
      </c>
      <c r="L234" s="35" t="str">
        <f t="shared" si="3"/>
        <v/>
      </c>
    </row>
    <row r="235" spans="2:12" x14ac:dyDescent="0.3">
      <c r="B235" s="36"/>
      <c r="D235" t="str">
        <f>IF(C235="","",IFERROR(VLOOKUP(C235,RP!A:E,5,0),""))</f>
        <v/>
      </c>
      <c r="E235" t="str">
        <f>IF(C235="","",IFERROR(VLOOKUP(C235,RP!A:F,6,0),""))</f>
        <v/>
      </c>
      <c r="F235" t="str">
        <f>IF(C235="","",IFERROR(VLOOKUP(C235,RP!A:G,7,0),""))</f>
        <v/>
      </c>
      <c r="G235" t="str">
        <f>IF(C235="","",IFERROR(VLOOKUP(C235,RP!A:H,8,0),""))</f>
        <v/>
      </c>
      <c r="H235" s="35"/>
      <c r="K235" s="35" t="str">
        <f>IF(A235="","",SUMIF(PAGO!C:C,A235,PAGO!H:H))</f>
        <v/>
      </c>
      <c r="L235" s="35" t="str">
        <f t="shared" si="3"/>
        <v/>
      </c>
    </row>
    <row r="236" spans="2:12" x14ac:dyDescent="0.3">
      <c r="B236" s="36"/>
      <c r="D236" t="str">
        <f>IF(C236="","",IFERROR(VLOOKUP(C236,RP!A:E,5,0),""))</f>
        <v/>
      </c>
      <c r="E236" t="str">
        <f>IF(C236="","",IFERROR(VLOOKUP(C236,RP!A:F,6,0),""))</f>
        <v/>
      </c>
      <c r="F236" t="str">
        <f>IF(C236="","",IFERROR(VLOOKUP(C236,RP!A:G,7,0),""))</f>
        <v/>
      </c>
      <c r="G236" t="str">
        <f>IF(C236="","",IFERROR(VLOOKUP(C236,RP!A:H,8,0),""))</f>
        <v/>
      </c>
      <c r="H236" s="35"/>
      <c r="K236" s="35" t="str">
        <f>IF(A236="","",SUMIF(PAGO!C:C,A236,PAGO!H:H))</f>
        <v/>
      </c>
      <c r="L236" s="35" t="str">
        <f t="shared" si="3"/>
        <v/>
      </c>
    </row>
    <row r="237" spans="2:12" x14ac:dyDescent="0.3">
      <c r="B237" s="36"/>
      <c r="D237" t="str">
        <f>IF(C237="","",IFERROR(VLOOKUP(C237,RP!A:E,5,0),""))</f>
        <v/>
      </c>
      <c r="E237" t="str">
        <f>IF(C237="","",IFERROR(VLOOKUP(C237,RP!A:F,6,0),""))</f>
        <v/>
      </c>
      <c r="F237" t="str">
        <f>IF(C237="","",IFERROR(VLOOKUP(C237,RP!A:G,7,0),""))</f>
        <v/>
      </c>
      <c r="G237" t="str">
        <f>IF(C237="","",IFERROR(VLOOKUP(C237,RP!A:H,8,0),""))</f>
        <v/>
      </c>
      <c r="H237" s="35"/>
      <c r="K237" s="35" t="str">
        <f>IF(A237="","",SUMIF(PAGO!C:C,A237,PAGO!H:H))</f>
        <v/>
      </c>
      <c r="L237" s="35" t="str">
        <f t="shared" si="3"/>
        <v/>
      </c>
    </row>
    <row r="238" spans="2:12" x14ac:dyDescent="0.3">
      <c r="B238" s="36"/>
      <c r="D238" t="str">
        <f>IF(C238="","",IFERROR(VLOOKUP(C238,RP!A:E,5,0),""))</f>
        <v/>
      </c>
      <c r="E238" t="str">
        <f>IF(C238="","",IFERROR(VLOOKUP(C238,RP!A:F,6,0),""))</f>
        <v/>
      </c>
      <c r="F238" t="str">
        <f>IF(C238="","",IFERROR(VLOOKUP(C238,RP!A:G,7,0),""))</f>
        <v/>
      </c>
      <c r="G238" t="str">
        <f>IF(C238="","",IFERROR(VLOOKUP(C238,RP!A:H,8,0),""))</f>
        <v/>
      </c>
      <c r="H238" s="35"/>
      <c r="K238" s="35" t="str">
        <f>IF(A238="","",SUMIF(PAGO!C:C,A238,PAGO!H:H))</f>
        <v/>
      </c>
      <c r="L238" s="35" t="str">
        <f t="shared" si="3"/>
        <v/>
      </c>
    </row>
    <row r="239" spans="2:12" x14ac:dyDescent="0.3">
      <c r="B239" s="36"/>
      <c r="D239" t="str">
        <f>IF(C239="","",IFERROR(VLOOKUP(C239,RP!A:E,5,0),""))</f>
        <v/>
      </c>
      <c r="E239" t="str">
        <f>IF(C239="","",IFERROR(VLOOKUP(C239,RP!A:F,6,0),""))</f>
        <v/>
      </c>
      <c r="F239" t="str">
        <f>IF(C239="","",IFERROR(VLOOKUP(C239,RP!A:G,7,0),""))</f>
        <v/>
      </c>
      <c r="G239" t="str">
        <f>IF(C239="","",IFERROR(VLOOKUP(C239,RP!A:H,8,0),""))</f>
        <v/>
      </c>
      <c r="H239" s="35"/>
      <c r="K239" s="35" t="str">
        <f>IF(A239="","",SUMIF(PAGO!C:C,A239,PAGO!H:H))</f>
        <v/>
      </c>
      <c r="L239" s="35" t="str">
        <f t="shared" si="3"/>
        <v/>
      </c>
    </row>
    <row r="240" spans="2:12" x14ac:dyDescent="0.3">
      <c r="B240" s="36"/>
      <c r="D240" t="str">
        <f>IF(C240="","",IFERROR(VLOOKUP(C240,RP!A:E,5,0),""))</f>
        <v/>
      </c>
      <c r="E240" t="str">
        <f>IF(C240="","",IFERROR(VLOOKUP(C240,RP!A:F,6,0),""))</f>
        <v/>
      </c>
      <c r="F240" t="str">
        <f>IF(C240="","",IFERROR(VLOOKUP(C240,RP!A:G,7,0),""))</f>
        <v/>
      </c>
      <c r="G240" t="str">
        <f>IF(C240="","",IFERROR(VLOOKUP(C240,RP!A:H,8,0),""))</f>
        <v/>
      </c>
      <c r="H240" s="35"/>
      <c r="K240" s="35" t="str">
        <f>IF(A240="","",SUMIF(PAGO!C:C,A240,PAGO!H:H))</f>
        <v/>
      </c>
      <c r="L240" s="35" t="str">
        <f t="shared" si="3"/>
        <v/>
      </c>
    </row>
    <row r="241" spans="2:12" x14ac:dyDescent="0.3">
      <c r="B241" s="36"/>
      <c r="D241" t="str">
        <f>IF(C241="","",IFERROR(VLOOKUP(C241,RP!A:E,5,0),""))</f>
        <v/>
      </c>
      <c r="E241" t="str">
        <f>IF(C241="","",IFERROR(VLOOKUP(C241,RP!A:F,6,0),""))</f>
        <v/>
      </c>
      <c r="F241" t="str">
        <f>IF(C241="","",IFERROR(VLOOKUP(C241,RP!A:G,7,0),""))</f>
        <v/>
      </c>
      <c r="G241" t="str">
        <f>IF(C241="","",IFERROR(VLOOKUP(C241,RP!A:H,8,0),""))</f>
        <v/>
      </c>
      <c r="H241" s="35"/>
      <c r="K241" s="35" t="str">
        <f>IF(A241="","",SUMIF(PAGO!C:C,A241,PAGO!H:H))</f>
        <v/>
      </c>
      <c r="L241" s="35" t="str">
        <f t="shared" si="3"/>
        <v/>
      </c>
    </row>
    <row r="242" spans="2:12" x14ac:dyDescent="0.3">
      <c r="B242" s="36"/>
      <c r="D242" t="str">
        <f>IF(C242="","",IFERROR(VLOOKUP(C242,RP!A:E,5,0),""))</f>
        <v/>
      </c>
      <c r="E242" t="str">
        <f>IF(C242="","",IFERROR(VLOOKUP(C242,RP!A:F,6,0),""))</f>
        <v/>
      </c>
      <c r="F242" t="str">
        <f>IF(C242="","",IFERROR(VLOOKUP(C242,RP!A:G,7,0),""))</f>
        <v/>
      </c>
      <c r="G242" t="str">
        <f>IF(C242="","",IFERROR(VLOOKUP(C242,RP!A:H,8,0),""))</f>
        <v/>
      </c>
      <c r="H242" s="35"/>
      <c r="K242" s="35" t="str">
        <f>IF(A242="","",SUMIF(PAGO!C:C,A242,PAGO!H:H))</f>
        <v/>
      </c>
      <c r="L242" s="35" t="str">
        <f t="shared" si="3"/>
        <v/>
      </c>
    </row>
    <row r="243" spans="2:12" x14ac:dyDescent="0.3">
      <c r="B243" s="36"/>
      <c r="D243" t="str">
        <f>IF(C243="","",IFERROR(VLOOKUP(C243,RP!A:E,5,0),""))</f>
        <v/>
      </c>
      <c r="E243" t="str">
        <f>IF(C243="","",IFERROR(VLOOKUP(C243,RP!A:F,6,0),""))</f>
        <v/>
      </c>
      <c r="F243" t="str">
        <f>IF(C243="","",IFERROR(VLOOKUP(C243,RP!A:G,7,0),""))</f>
        <v/>
      </c>
      <c r="G243" t="str">
        <f>IF(C243="","",IFERROR(VLOOKUP(C243,RP!A:H,8,0),""))</f>
        <v/>
      </c>
      <c r="H243" s="35"/>
      <c r="K243" s="35" t="str">
        <f>IF(A243="","",SUMIF(PAGO!C:C,A243,PAGO!H:H))</f>
        <v/>
      </c>
      <c r="L243" s="35" t="str">
        <f t="shared" si="3"/>
        <v/>
      </c>
    </row>
    <row r="244" spans="2:12" x14ac:dyDescent="0.3">
      <c r="B244" s="36"/>
      <c r="D244" t="str">
        <f>IF(C244="","",IFERROR(VLOOKUP(C244,RP!A:E,5,0),""))</f>
        <v/>
      </c>
      <c r="E244" t="str">
        <f>IF(C244="","",IFERROR(VLOOKUP(C244,RP!A:F,6,0),""))</f>
        <v/>
      </c>
      <c r="F244" t="str">
        <f>IF(C244="","",IFERROR(VLOOKUP(C244,RP!A:G,7,0),""))</f>
        <v/>
      </c>
      <c r="G244" t="str">
        <f>IF(C244="","",IFERROR(VLOOKUP(C244,RP!A:H,8,0),""))</f>
        <v/>
      </c>
      <c r="H244" s="35"/>
      <c r="K244" s="35" t="str">
        <f>IF(A244="","",SUMIF(PAGO!C:C,A244,PAGO!H:H))</f>
        <v/>
      </c>
      <c r="L244" s="35" t="str">
        <f t="shared" si="3"/>
        <v/>
      </c>
    </row>
    <row r="245" spans="2:12" x14ac:dyDescent="0.3">
      <c r="B245" s="36"/>
      <c r="D245" t="str">
        <f>IF(C245="","",IFERROR(VLOOKUP(C245,RP!A:E,5,0),""))</f>
        <v/>
      </c>
      <c r="E245" t="str">
        <f>IF(C245="","",IFERROR(VLOOKUP(C245,RP!A:F,6,0),""))</f>
        <v/>
      </c>
      <c r="F245" t="str">
        <f>IF(C245="","",IFERROR(VLOOKUP(C245,RP!A:G,7,0),""))</f>
        <v/>
      </c>
      <c r="G245" t="str">
        <f>IF(C245="","",IFERROR(VLOOKUP(C245,RP!A:H,8,0),""))</f>
        <v/>
      </c>
      <c r="H245" s="35"/>
      <c r="K245" s="35" t="str">
        <f>IF(A245="","",SUMIF(PAGO!C:C,A245,PAGO!H:H))</f>
        <v/>
      </c>
      <c r="L245" s="35" t="str">
        <f t="shared" si="3"/>
        <v/>
      </c>
    </row>
    <row r="246" spans="2:12" x14ac:dyDescent="0.3">
      <c r="B246" s="36"/>
      <c r="D246" t="str">
        <f>IF(C246="","",IFERROR(VLOOKUP(C246,RP!A:E,5,0),""))</f>
        <v/>
      </c>
      <c r="E246" t="str">
        <f>IF(C246="","",IFERROR(VLOOKUP(C246,RP!A:F,6,0),""))</f>
        <v/>
      </c>
      <c r="F246" t="str">
        <f>IF(C246="","",IFERROR(VLOOKUP(C246,RP!A:G,7,0),""))</f>
        <v/>
      </c>
      <c r="G246" t="str">
        <f>IF(C246="","",IFERROR(VLOOKUP(C246,RP!A:H,8,0),""))</f>
        <v/>
      </c>
      <c r="H246" s="35"/>
      <c r="K246" s="35" t="str">
        <f>IF(A246="","",SUMIF(PAGO!C:C,A246,PAGO!H:H))</f>
        <v/>
      </c>
      <c r="L246" s="35" t="str">
        <f t="shared" si="3"/>
        <v/>
      </c>
    </row>
    <row r="247" spans="2:12" x14ac:dyDescent="0.3">
      <c r="B247" s="36"/>
      <c r="D247" t="str">
        <f>IF(C247="","",IFERROR(VLOOKUP(C247,RP!A:E,5,0),""))</f>
        <v/>
      </c>
      <c r="E247" t="str">
        <f>IF(C247="","",IFERROR(VLOOKUP(C247,RP!A:F,6,0),""))</f>
        <v/>
      </c>
      <c r="F247" t="str">
        <f>IF(C247="","",IFERROR(VLOOKUP(C247,RP!A:G,7,0),""))</f>
        <v/>
      </c>
      <c r="G247" t="str">
        <f>IF(C247="","",IFERROR(VLOOKUP(C247,RP!A:H,8,0),""))</f>
        <v/>
      </c>
      <c r="H247" s="35"/>
      <c r="K247" s="35" t="str">
        <f>IF(A247="","",SUMIF(PAGO!C:C,A247,PAGO!H:H))</f>
        <v/>
      </c>
      <c r="L247" s="35" t="str">
        <f t="shared" si="3"/>
        <v/>
      </c>
    </row>
    <row r="248" spans="2:12" x14ac:dyDescent="0.3">
      <c r="B248" s="36"/>
      <c r="D248" t="str">
        <f>IF(C248="","",IFERROR(VLOOKUP(C248,RP!A:E,5,0),""))</f>
        <v/>
      </c>
      <c r="E248" t="str">
        <f>IF(C248="","",IFERROR(VLOOKUP(C248,RP!A:F,6,0),""))</f>
        <v/>
      </c>
      <c r="F248" t="str">
        <f>IF(C248="","",IFERROR(VLOOKUP(C248,RP!A:G,7,0),""))</f>
        <v/>
      </c>
      <c r="G248" t="str">
        <f>IF(C248="","",IFERROR(VLOOKUP(C248,RP!A:H,8,0),""))</f>
        <v/>
      </c>
      <c r="H248" s="35"/>
      <c r="K248" s="35" t="str">
        <f>IF(A248="","",SUMIF(PAGO!C:C,A248,PAGO!H:H))</f>
        <v/>
      </c>
      <c r="L248" s="35" t="str">
        <f t="shared" si="3"/>
        <v/>
      </c>
    </row>
    <row r="249" spans="2:12" x14ac:dyDescent="0.3">
      <c r="B249" s="36"/>
      <c r="D249" t="str">
        <f>IF(C249="","",IFERROR(VLOOKUP(C249,RP!A:E,5,0),""))</f>
        <v/>
      </c>
      <c r="E249" t="str">
        <f>IF(C249="","",IFERROR(VLOOKUP(C249,RP!A:F,6,0),""))</f>
        <v/>
      </c>
      <c r="F249" t="str">
        <f>IF(C249="","",IFERROR(VLOOKUP(C249,RP!A:G,7,0),""))</f>
        <v/>
      </c>
      <c r="G249" t="str">
        <f>IF(C249="","",IFERROR(VLOOKUP(C249,RP!A:H,8,0),""))</f>
        <v/>
      </c>
      <c r="H249" s="35"/>
      <c r="K249" s="35" t="str">
        <f>IF(A249="","",SUMIF(PAGO!C:C,A249,PAGO!H:H))</f>
        <v/>
      </c>
      <c r="L249" s="35" t="str">
        <f t="shared" si="3"/>
        <v/>
      </c>
    </row>
    <row r="250" spans="2:12" x14ac:dyDescent="0.3">
      <c r="B250" s="36"/>
      <c r="D250" t="str">
        <f>IF(C250="","",IFERROR(VLOOKUP(C250,RP!A:E,5,0),""))</f>
        <v/>
      </c>
      <c r="E250" t="str">
        <f>IF(C250="","",IFERROR(VLOOKUP(C250,RP!A:F,6,0),""))</f>
        <v/>
      </c>
      <c r="F250" t="str">
        <f>IF(C250="","",IFERROR(VLOOKUP(C250,RP!A:G,7,0),""))</f>
        <v/>
      </c>
      <c r="G250" t="str">
        <f>IF(C250="","",IFERROR(VLOOKUP(C250,RP!A:H,8,0),""))</f>
        <v/>
      </c>
      <c r="H250" s="35"/>
      <c r="K250" s="35" t="str">
        <f>IF(A250="","",SUMIF(PAGO!C:C,A250,PAGO!H:H))</f>
        <v/>
      </c>
      <c r="L250" s="35" t="str">
        <f t="shared" si="3"/>
        <v/>
      </c>
    </row>
    <row r="251" spans="2:12" x14ac:dyDescent="0.3">
      <c r="B251" s="36"/>
      <c r="D251" t="str">
        <f>IF(C251="","",IFERROR(VLOOKUP(C251,RP!A:E,5,0),""))</f>
        <v/>
      </c>
      <c r="E251" t="str">
        <f>IF(C251="","",IFERROR(VLOOKUP(C251,RP!A:F,6,0),""))</f>
        <v/>
      </c>
      <c r="F251" t="str">
        <f>IF(C251="","",IFERROR(VLOOKUP(C251,RP!A:G,7,0),""))</f>
        <v/>
      </c>
      <c r="G251" t="str">
        <f>IF(C251="","",IFERROR(VLOOKUP(C251,RP!A:H,8,0),""))</f>
        <v/>
      </c>
      <c r="H251" s="35"/>
      <c r="K251" s="35" t="str">
        <f>IF(A251="","",SUMIF(PAGO!C:C,A251,PAGO!H:H))</f>
        <v/>
      </c>
      <c r="L251" s="35" t="str">
        <f t="shared" si="3"/>
        <v/>
      </c>
    </row>
    <row r="252" spans="2:12" x14ac:dyDescent="0.3">
      <c r="B252" s="36"/>
      <c r="D252" t="str">
        <f>IF(C252="","",IFERROR(VLOOKUP(C252,RP!A:E,5,0),""))</f>
        <v/>
      </c>
      <c r="E252" t="str">
        <f>IF(C252="","",IFERROR(VLOOKUP(C252,RP!A:F,6,0),""))</f>
        <v/>
      </c>
      <c r="F252" t="str">
        <f>IF(C252="","",IFERROR(VLOOKUP(C252,RP!A:G,7,0),""))</f>
        <v/>
      </c>
      <c r="G252" t="str">
        <f>IF(C252="","",IFERROR(VLOOKUP(C252,RP!A:H,8,0),""))</f>
        <v/>
      </c>
      <c r="H252" s="35"/>
      <c r="K252" s="35" t="str">
        <f>IF(A252="","",SUMIF(PAGO!C:C,A252,PAGO!H:H))</f>
        <v/>
      </c>
      <c r="L252" s="35" t="str">
        <f t="shared" si="3"/>
        <v/>
      </c>
    </row>
    <row r="253" spans="2:12" x14ac:dyDescent="0.3">
      <c r="B253" s="36"/>
      <c r="D253" t="str">
        <f>IF(C253="","",IFERROR(VLOOKUP(C253,RP!A:E,5,0),""))</f>
        <v/>
      </c>
      <c r="E253" t="str">
        <f>IF(C253="","",IFERROR(VLOOKUP(C253,RP!A:F,6,0),""))</f>
        <v/>
      </c>
      <c r="F253" t="str">
        <f>IF(C253="","",IFERROR(VLOOKUP(C253,RP!A:G,7,0),""))</f>
        <v/>
      </c>
      <c r="G253" t="str">
        <f>IF(C253="","",IFERROR(VLOOKUP(C253,RP!A:H,8,0),""))</f>
        <v/>
      </c>
      <c r="H253" s="35"/>
      <c r="K253" s="35" t="str">
        <f>IF(A253="","",SUMIF(PAGO!C:C,A253,PAGO!H:H))</f>
        <v/>
      </c>
      <c r="L253" s="35" t="str">
        <f t="shared" si="3"/>
        <v/>
      </c>
    </row>
    <row r="254" spans="2:12" x14ac:dyDescent="0.3">
      <c r="B254" s="36"/>
      <c r="D254" t="str">
        <f>IF(C254="","",IFERROR(VLOOKUP(C254,RP!A:E,5,0),""))</f>
        <v/>
      </c>
      <c r="E254" t="str">
        <f>IF(C254="","",IFERROR(VLOOKUP(C254,RP!A:F,6,0),""))</f>
        <v/>
      </c>
      <c r="F254" t="str">
        <f>IF(C254="","",IFERROR(VLOOKUP(C254,RP!A:G,7,0),""))</f>
        <v/>
      </c>
      <c r="G254" t="str">
        <f>IF(C254="","",IFERROR(VLOOKUP(C254,RP!A:H,8,0),""))</f>
        <v/>
      </c>
      <c r="H254" s="35"/>
      <c r="K254" s="35" t="str">
        <f>IF(A254="","",SUMIF(PAGO!C:C,A254,PAGO!H:H))</f>
        <v/>
      </c>
      <c r="L254" s="35" t="str">
        <f t="shared" si="3"/>
        <v/>
      </c>
    </row>
    <row r="255" spans="2:12" x14ac:dyDescent="0.3">
      <c r="B255" s="36"/>
      <c r="D255" t="str">
        <f>IF(C255="","",IFERROR(VLOOKUP(C255,RP!A:E,5,0),""))</f>
        <v/>
      </c>
      <c r="E255" t="str">
        <f>IF(C255="","",IFERROR(VLOOKUP(C255,RP!A:F,6,0),""))</f>
        <v/>
      </c>
      <c r="F255" t="str">
        <f>IF(C255="","",IFERROR(VLOOKUP(C255,RP!A:G,7,0),""))</f>
        <v/>
      </c>
      <c r="G255" t="str">
        <f>IF(C255="","",IFERROR(VLOOKUP(C255,RP!A:H,8,0),""))</f>
        <v/>
      </c>
      <c r="H255" s="35"/>
      <c r="K255" s="35" t="str">
        <f>IF(A255="","",SUMIF(PAGO!C:C,A255,PAGO!H:H))</f>
        <v/>
      </c>
      <c r="L255" s="35" t="str">
        <f t="shared" si="3"/>
        <v/>
      </c>
    </row>
    <row r="256" spans="2:12" x14ac:dyDescent="0.3">
      <c r="B256" s="36"/>
      <c r="D256" t="str">
        <f>IF(C256="","",IFERROR(VLOOKUP(C256,RP!A:E,5,0),""))</f>
        <v/>
      </c>
      <c r="E256" t="str">
        <f>IF(C256="","",IFERROR(VLOOKUP(C256,RP!A:F,6,0),""))</f>
        <v/>
      </c>
      <c r="F256" t="str">
        <f>IF(C256="","",IFERROR(VLOOKUP(C256,RP!A:G,7,0),""))</f>
        <v/>
      </c>
      <c r="G256" t="str">
        <f>IF(C256="","",IFERROR(VLOOKUP(C256,RP!A:H,8,0),""))</f>
        <v/>
      </c>
      <c r="H256" s="35"/>
      <c r="K256" s="35" t="str">
        <f>IF(A256="","",SUMIF(PAGO!C:C,A256,PAGO!H:H))</f>
        <v/>
      </c>
      <c r="L256" s="35" t="str">
        <f t="shared" si="3"/>
        <v/>
      </c>
    </row>
    <row r="257" spans="2:12" x14ac:dyDescent="0.3">
      <c r="B257" s="36"/>
      <c r="D257" t="str">
        <f>IF(C257="","",IFERROR(VLOOKUP(C257,RP!A:E,5,0),""))</f>
        <v/>
      </c>
      <c r="E257" t="str">
        <f>IF(C257="","",IFERROR(VLOOKUP(C257,RP!A:F,6,0),""))</f>
        <v/>
      </c>
      <c r="F257" t="str">
        <f>IF(C257="","",IFERROR(VLOOKUP(C257,RP!A:G,7,0),""))</f>
        <v/>
      </c>
      <c r="G257" t="str">
        <f>IF(C257="","",IFERROR(VLOOKUP(C257,RP!A:H,8,0),""))</f>
        <v/>
      </c>
      <c r="H257" s="35"/>
      <c r="K257" s="35" t="str">
        <f>IF(A257="","",SUMIF(PAGO!C:C,A257,PAGO!H:H))</f>
        <v/>
      </c>
      <c r="L257" s="35" t="str">
        <f t="shared" si="3"/>
        <v/>
      </c>
    </row>
    <row r="258" spans="2:12" x14ac:dyDescent="0.3">
      <c r="B258" s="36"/>
      <c r="D258" t="str">
        <f>IF(C258="","",IFERROR(VLOOKUP(C258,RP!A:E,5,0),""))</f>
        <v/>
      </c>
      <c r="E258" t="str">
        <f>IF(C258="","",IFERROR(VLOOKUP(C258,RP!A:F,6,0),""))</f>
        <v/>
      </c>
      <c r="F258" t="str">
        <f>IF(C258="","",IFERROR(VLOOKUP(C258,RP!A:G,7,0),""))</f>
        <v/>
      </c>
      <c r="G258" t="str">
        <f>IF(C258="","",IFERROR(VLOOKUP(C258,RP!A:H,8,0),""))</f>
        <v/>
      </c>
      <c r="H258" s="35"/>
      <c r="K258" s="35" t="str">
        <f>IF(A258="","",SUMIF(PAGO!C:C,A258,PAGO!H:H))</f>
        <v/>
      </c>
      <c r="L258" s="35" t="str">
        <f t="shared" ref="L258:L321" si="4">IF(A258="","",H258-K258)</f>
        <v/>
      </c>
    </row>
    <row r="259" spans="2:12" x14ac:dyDescent="0.3">
      <c r="B259" s="36"/>
      <c r="D259" t="str">
        <f>IF(C259="","",IFERROR(VLOOKUP(C259,RP!A:E,5,0),""))</f>
        <v/>
      </c>
      <c r="E259" t="str">
        <f>IF(C259="","",IFERROR(VLOOKUP(C259,RP!A:F,6,0),""))</f>
        <v/>
      </c>
      <c r="F259" t="str">
        <f>IF(C259="","",IFERROR(VLOOKUP(C259,RP!A:G,7,0),""))</f>
        <v/>
      </c>
      <c r="G259" t="str">
        <f>IF(C259="","",IFERROR(VLOOKUP(C259,RP!A:H,8,0),""))</f>
        <v/>
      </c>
      <c r="H259" s="35"/>
      <c r="K259" s="35" t="str">
        <f>IF(A259="","",SUMIF(PAGO!C:C,A259,PAGO!H:H))</f>
        <v/>
      </c>
      <c r="L259" s="35" t="str">
        <f t="shared" si="4"/>
        <v/>
      </c>
    </row>
    <row r="260" spans="2:12" x14ac:dyDescent="0.3">
      <c r="B260" s="36"/>
      <c r="D260" t="str">
        <f>IF(C260="","",IFERROR(VLOOKUP(C260,RP!A:E,5,0),""))</f>
        <v/>
      </c>
      <c r="E260" t="str">
        <f>IF(C260="","",IFERROR(VLOOKUP(C260,RP!A:F,6,0),""))</f>
        <v/>
      </c>
      <c r="F260" t="str">
        <f>IF(C260="","",IFERROR(VLOOKUP(C260,RP!A:G,7,0),""))</f>
        <v/>
      </c>
      <c r="G260" t="str">
        <f>IF(C260="","",IFERROR(VLOOKUP(C260,RP!A:H,8,0),""))</f>
        <v/>
      </c>
      <c r="H260" s="35"/>
      <c r="K260" s="35" t="str">
        <f>IF(A260="","",SUMIF(PAGO!C:C,A260,PAGO!H:H))</f>
        <v/>
      </c>
      <c r="L260" s="35" t="str">
        <f t="shared" si="4"/>
        <v/>
      </c>
    </row>
    <row r="261" spans="2:12" x14ac:dyDescent="0.3">
      <c r="B261" s="36"/>
      <c r="D261" t="str">
        <f>IF(C261="","",IFERROR(VLOOKUP(C261,RP!A:E,5,0),""))</f>
        <v/>
      </c>
      <c r="E261" t="str">
        <f>IF(C261="","",IFERROR(VLOOKUP(C261,RP!A:F,6,0),""))</f>
        <v/>
      </c>
      <c r="F261" t="str">
        <f>IF(C261="","",IFERROR(VLOOKUP(C261,RP!A:G,7,0),""))</f>
        <v/>
      </c>
      <c r="G261" t="str">
        <f>IF(C261="","",IFERROR(VLOOKUP(C261,RP!A:H,8,0),""))</f>
        <v/>
      </c>
      <c r="H261" s="35"/>
      <c r="K261" s="35" t="str">
        <f>IF(A261="","",SUMIF(PAGO!C:C,A261,PAGO!H:H))</f>
        <v/>
      </c>
      <c r="L261" s="35" t="str">
        <f t="shared" si="4"/>
        <v/>
      </c>
    </row>
    <row r="262" spans="2:12" x14ac:dyDescent="0.3">
      <c r="B262" s="36"/>
      <c r="D262" t="str">
        <f>IF(C262="","",IFERROR(VLOOKUP(C262,RP!A:E,5,0),""))</f>
        <v/>
      </c>
      <c r="E262" t="str">
        <f>IF(C262="","",IFERROR(VLOOKUP(C262,RP!A:F,6,0),""))</f>
        <v/>
      </c>
      <c r="F262" t="str">
        <f>IF(C262="","",IFERROR(VLOOKUP(C262,RP!A:G,7,0),""))</f>
        <v/>
      </c>
      <c r="G262" t="str">
        <f>IF(C262="","",IFERROR(VLOOKUP(C262,RP!A:H,8,0),""))</f>
        <v/>
      </c>
      <c r="H262" s="35"/>
      <c r="K262" s="35" t="str">
        <f>IF(A262="","",SUMIF(PAGO!C:C,A262,PAGO!H:H))</f>
        <v/>
      </c>
      <c r="L262" s="35" t="str">
        <f t="shared" si="4"/>
        <v/>
      </c>
    </row>
    <row r="263" spans="2:12" x14ac:dyDescent="0.3">
      <c r="B263" s="36"/>
      <c r="D263" t="str">
        <f>IF(C263="","",IFERROR(VLOOKUP(C263,RP!A:E,5,0),""))</f>
        <v/>
      </c>
      <c r="E263" t="str">
        <f>IF(C263="","",IFERROR(VLOOKUP(C263,RP!A:F,6,0),""))</f>
        <v/>
      </c>
      <c r="F263" t="str">
        <f>IF(C263="","",IFERROR(VLOOKUP(C263,RP!A:G,7,0),""))</f>
        <v/>
      </c>
      <c r="G263" t="str">
        <f>IF(C263="","",IFERROR(VLOOKUP(C263,RP!A:H,8,0),""))</f>
        <v/>
      </c>
      <c r="H263" s="35"/>
      <c r="K263" s="35" t="str">
        <f>IF(A263="","",SUMIF(PAGO!C:C,A263,PAGO!H:H))</f>
        <v/>
      </c>
      <c r="L263" s="35" t="str">
        <f t="shared" si="4"/>
        <v/>
      </c>
    </row>
    <row r="264" spans="2:12" x14ac:dyDescent="0.3">
      <c r="B264" s="36"/>
      <c r="D264" t="str">
        <f>IF(C264="","",IFERROR(VLOOKUP(C264,RP!A:E,5,0),""))</f>
        <v/>
      </c>
      <c r="E264" t="str">
        <f>IF(C264="","",IFERROR(VLOOKUP(C264,RP!A:F,6,0),""))</f>
        <v/>
      </c>
      <c r="F264" t="str">
        <f>IF(C264="","",IFERROR(VLOOKUP(C264,RP!A:G,7,0),""))</f>
        <v/>
      </c>
      <c r="G264" t="str">
        <f>IF(C264="","",IFERROR(VLOOKUP(C264,RP!A:H,8,0),""))</f>
        <v/>
      </c>
      <c r="H264" s="35"/>
      <c r="K264" s="35" t="str">
        <f>IF(A264="","",SUMIF(PAGO!C:C,A264,PAGO!H:H))</f>
        <v/>
      </c>
      <c r="L264" s="35" t="str">
        <f t="shared" si="4"/>
        <v/>
      </c>
    </row>
    <row r="265" spans="2:12" x14ac:dyDescent="0.3">
      <c r="B265" s="36"/>
      <c r="D265" t="str">
        <f>IF(C265="","",IFERROR(VLOOKUP(C265,RP!A:E,5,0),""))</f>
        <v/>
      </c>
      <c r="E265" t="str">
        <f>IF(C265="","",IFERROR(VLOOKUP(C265,RP!A:F,6,0),""))</f>
        <v/>
      </c>
      <c r="F265" t="str">
        <f>IF(C265="","",IFERROR(VLOOKUP(C265,RP!A:G,7,0),""))</f>
        <v/>
      </c>
      <c r="G265" t="str">
        <f>IF(C265="","",IFERROR(VLOOKUP(C265,RP!A:H,8,0),""))</f>
        <v/>
      </c>
      <c r="H265" s="35"/>
      <c r="K265" s="35" t="str">
        <f>IF(A265="","",SUMIF(PAGO!C:C,A265,PAGO!H:H))</f>
        <v/>
      </c>
      <c r="L265" s="35" t="str">
        <f t="shared" si="4"/>
        <v/>
      </c>
    </row>
    <row r="266" spans="2:12" x14ac:dyDescent="0.3">
      <c r="B266" s="36"/>
      <c r="D266" t="str">
        <f>IF(C266="","",IFERROR(VLOOKUP(C266,RP!A:E,5,0),""))</f>
        <v/>
      </c>
      <c r="E266" t="str">
        <f>IF(C266="","",IFERROR(VLOOKUP(C266,RP!A:F,6,0),""))</f>
        <v/>
      </c>
      <c r="F266" t="str">
        <f>IF(C266="","",IFERROR(VLOOKUP(C266,RP!A:G,7,0),""))</f>
        <v/>
      </c>
      <c r="G266" t="str">
        <f>IF(C266="","",IFERROR(VLOOKUP(C266,RP!A:H,8,0),""))</f>
        <v/>
      </c>
      <c r="H266" s="35"/>
      <c r="K266" s="35" t="str">
        <f>IF(A266="","",SUMIF(PAGO!C:C,A266,PAGO!H:H))</f>
        <v/>
      </c>
      <c r="L266" s="35" t="str">
        <f t="shared" si="4"/>
        <v/>
      </c>
    </row>
    <row r="267" spans="2:12" x14ac:dyDescent="0.3">
      <c r="B267" s="36"/>
      <c r="D267" t="str">
        <f>IF(C267="","",IFERROR(VLOOKUP(C267,RP!A:E,5,0),""))</f>
        <v/>
      </c>
      <c r="E267" t="str">
        <f>IF(C267="","",IFERROR(VLOOKUP(C267,RP!A:F,6,0),""))</f>
        <v/>
      </c>
      <c r="F267" t="str">
        <f>IF(C267="","",IFERROR(VLOOKUP(C267,RP!A:G,7,0),""))</f>
        <v/>
      </c>
      <c r="G267" t="str">
        <f>IF(C267="","",IFERROR(VLOOKUP(C267,RP!A:H,8,0),""))</f>
        <v/>
      </c>
      <c r="H267" s="35"/>
      <c r="K267" s="35" t="str">
        <f>IF(A267="","",SUMIF(PAGO!C:C,A267,PAGO!H:H))</f>
        <v/>
      </c>
      <c r="L267" s="35" t="str">
        <f t="shared" si="4"/>
        <v/>
      </c>
    </row>
    <row r="268" spans="2:12" x14ac:dyDescent="0.3">
      <c r="B268" s="36"/>
      <c r="D268" t="str">
        <f>IF(C268="","",IFERROR(VLOOKUP(C268,RP!A:E,5,0),""))</f>
        <v/>
      </c>
      <c r="E268" t="str">
        <f>IF(C268="","",IFERROR(VLOOKUP(C268,RP!A:F,6,0),""))</f>
        <v/>
      </c>
      <c r="F268" t="str">
        <f>IF(C268="","",IFERROR(VLOOKUP(C268,RP!A:G,7,0),""))</f>
        <v/>
      </c>
      <c r="G268" t="str">
        <f>IF(C268="","",IFERROR(VLOOKUP(C268,RP!A:H,8,0),""))</f>
        <v/>
      </c>
      <c r="H268" s="35"/>
      <c r="K268" s="35" t="str">
        <f>IF(A268="","",SUMIF(PAGO!C:C,A268,PAGO!H:H))</f>
        <v/>
      </c>
      <c r="L268" s="35" t="str">
        <f t="shared" si="4"/>
        <v/>
      </c>
    </row>
    <row r="269" spans="2:12" x14ac:dyDescent="0.3">
      <c r="B269" s="36"/>
      <c r="D269" t="str">
        <f>IF(C269="","",IFERROR(VLOOKUP(C269,RP!A:E,5,0),""))</f>
        <v/>
      </c>
      <c r="E269" t="str">
        <f>IF(C269="","",IFERROR(VLOOKUP(C269,RP!A:F,6,0),""))</f>
        <v/>
      </c>
      <c r="F269" t="str">
        <f>IF(C269="","",IFERROR(VLOOKUP(C269,RP!A:G,7,0),""))</f>
        <v/>
      </c>
      <c r="G269" t="str">
        <f>IF(C269="","",IFERROR(VLOOKUP(C269,RP!A:H,8,0),""))</f>
        <v/>
      </c>
      <c r="H269" s="35"/>
      <c r="K269" s="35" t="str">
        <f>IF(A269="","",SUMIF(PAGO!C:C,A269,PAGO!H:H))</f>
        <v/>
      </c>
      <c r="L269" s="35" t="str">
        <f t="shared" si="4"/>
        <v/>
      </c>
    </row>
    <row r="270" spans="2:12" x14ac:dyDescent="0.3">
      <c r="B270" s="36"/>
      <c r="D270" t="str">
        <f>IF(C270="","",IFERROR(VLOOKUP(C270,RP!A:E,5,0),""))</f>
        <v/>
      </c>
      <c r="E270" t="str">
        <f>IF(C270="","",IFERROR(VLOOKUP(C270,RP!A:F,6,0),""))</f>
        <v/>
      </c>
      <c r="F270" t="str">
        <f>IF(C270="","",IFERROR(VLOOKUP(C270,RP!A:G,7,0),""))</f>
        <v/>
      </c>
      <c r="G270" t="str">
        <f>IF(C270="","",IFERROR(VLOOKUP(C270,RP!A:H,8,0),""))</f>
        <v/>
      </c>
      <c r="H270" s="35"/>
      <c r="K270" s="35" t="str">
        <f>IF(A270="","",SUMIF(PAGO!C:C,A270,PAGO!H:H))</f>
        <v/>
      </c>
      <c r="L270" s="35" t="str">
        <f t="shared" si="4"/>
        <v/>
      </c>
    </row>
    <row r="271" spans="2:12" x14ac:dyDescent="0.3">
      <c r="B271" s="36"/>
      <c r="D271" t="str">
        <f>IF(C271="","",IFERROR(VLOOKUP(C271,RP!A:E,5,0),""))</f>
        <v/>
      </c>
      <c r="E271" t="str">
        <f>IF(C271="","",IFERROR(VLOOKUP(C271,RP!A:F,6,0),""))</f>
        <v/>
      </c>
      <c r="F271" t="str">
        <f>IF(C271="","",IFERROR(VLOOKUP(C271,RP!A:G,7,0),""))</f>
        <v/>
      </c>
      <c r="G271" t="str">
        <f>IF(C271="","",IFERROR(VLOOKUP(C271,RP!A:H,8,0),""))</f>
        <v/>
      </c>
      <c r="H271" s="35"/>
      <c r="K271" s="35" t="str">
        <f>IF(A271="","",SUMIF(PAGO!C:C,A271,PAGO!H:H))</f>
        <v/>
      </c>
      <c r="L271" s="35" t="str">
        <f t="shared" si="4"/>
        <v/>
      </c>
    </row>
    <row r="272" spans="2:12" x14ac:dyDescent="0.3">
      <c r="B272" s="36"/>
      <c r="D272" t="str">
        <f>IF(C272="","",IFERROR(VLOOKUP(C272,RP!A:E,5,0),""))</f>
        <v/>
      </c>
      <c r="E272" t="str">
        <f>IF(C272="","",IFERROR(VLOOKUP(C272,RP!A:F,6,0),""))</f>
        <v/>
      </c>
      <c r="F272" t="str">
        <f>IF(C272="","",IFERROR(VLOOKUP(C272,RP!A:G,7,0),""))</f>
        <v/>
      </c>
      <c r="G272" t="str">
        <f>IF(C272="","",IFERROR(VLOOKUP(C272,RP!A:H,8,0),""))</f>
        <v/>
      </c>
      <c r="H272" s="35"/>
      <c r="K272" s="35" t="str">
        <f>IF(A272="","",SUMIF(PAGO!C:C,A272,PAGO!H:H))</f>
        <v/>
      </c>
      <c r="L272" s="35" t="str">
        <f t="shared" si="4"/>
        <v/>
      </c>
    </row>
    <row r="273" spans="2:12" x14ac:dyDescent="0.3">
      <c r="B273" s="36"/>
      <c r="D273" t="str">
        <f>IF(C273="","",IFERROR(VLOOKUP(C273,RP!A:E,5,0),""))</f>
        <v/>
      </c>
      <c r="E273" t="str">
        <f>IF(C273="","",IFERROR(VLOOKUP(C273,RP!A:F,6,0),""))</f>
        <v/>
      </c>
      <c r="F273" t="str">
        <f>IF(C273="","",IFERROR(VLOOKUP(C273,RP!A:G,7,0),""))</f>
        <v/>
      </c>
      <c r="G273" t="str">
        <f>IF(C273="","",IFERROR(VLOOKUP(C273,RP!A:H,8,0),""))</f>
        <v/>
      </c>
      <c r="H273" s="35"/>
      <c r="K273" s="35" t="str">
        <f>IF(A273="","",SUMIF(PAGO!C:C,A273,PAGO!H:H))</f>
        <v/>
      </c>
      <c r="L273" s="35" t="str">
        <f t="shared" si="4"/>
        <v/>
      </c>
    </row>
    <row r="274" spans="2:12" x14ac:dyDescent="0.3">
      <c r="B274" s="36"/>
      <c r="D274" t="str">
        <f>IF(C274="","",IFERROR(VLOOKUP(C274,RP!A:E,5,0),""))</f>
        <v/>
      </c>
      <c r="E274" t="str">
        <f>IF(C274="","",IFERROR(VLOOKUP(C274,RP!A:F,6,0),""))</f>
        <v/>
      </c>
      <c r="F274" t="str">
        <f>IF(C274="","",IFERROR(VLOOKUP(C274,RP!A:G,7,0),""))</f>
        <v/>
      </c>
      <c r="G274" t="str">
        <f>IF(C274="","",IFERROR(VLOOKUP(C274,RP!A:H,8,0),""))</f>
        <v/>
      </c>
      <c r="H274" s="35"/>
      <c r="K274" s="35" t="str">
        <f>IF(A274="","",SUMIF(PAGO!C:C,A274,PAGO!H:H))</f>
        <v/>
      </c>
      <c r="L274" s="35" t="str">
        <f t="shared" si="4"/>
        <v/>
      </c>
    </row>
    <row r="275" spans="2:12" x14ac:dyDescent="0.3">
      <c r="B275" s="36"/>
      <c r="D275" t="str">
        <f>IF(C275="","",IFERROR(VLOOKUP(C275,RP!A:E,5,0),""))</f>
        <v/>
      </c>
      <c r="E275" t="str">
        <f>IF(C275="","",IFERROR(VLOOKUP(C275,RP!A:F,6,0),""))</f>
        <v/>
      </c>
      <c r="F275" t="str">
        <f>IF(C275="","",IFERROR(VLOOKUP(C275,RP!A:G,7,0),""))</f>
        <v/>
      </c>
      <c r="G275" t="str">
        <f>IF(C275="","",IFERROR(VLOOKUP(C275,RP!A:H,8,0),""))</f>
        <v/>
      </c>
      <c r="H275" s="35"/>
      <c r="K275" s="35" t="str">
        <f>IF(A275="","",SUMIF(PAGO!C:C,A275,PAGO!H:H))</f>
        <v/>
      </c>
      <c r="L275" s="35" t="str">
        <f t="shared" si="4"/>
        <v/>
      </c>
    </row>
    <row r="276" spans="2:12" x14ac:dyDescent="0.3">
      <c r="B276" s="36"/>
      <c r="D276" t="str">
        <f>IF(C276="","",IFERROR(VLOOKUP(C276,RP!A:E,5,0),""))</f>
        <v/>
      </c>
      <c r="E276" t="str">
        <f>IF(C276="","",IFERROR(VLOOKUP(C276,RP!A:F,6,0),""))</f>
        <v/>
      </c>
      <c r="F276" t="str">
        <f>IF(C276="","",IFERROR(VLOOKUP(C276,RP!A:G,7,0),""))</f>
        <v/>
      </c>
      <c r="G276" t="str">
        <f>IF(C276="","",IFERROR(VLOOKUP(C276,RP!A:H,8,0),""))</f>
        <v/>
      </c>
      <c r="H276" s="35"/>
      <c r="K276" s="35" t="str">
        <f>IF(A276="","",SUMIF(PAGO!C:C,A276,PAGO!H:H))</f>
        <v/>
      </c>
      <c r="L276" s="35" t="str">
        <f t="shared" si="4"/>
        <v/>
      </c>
    </row>
    <row r="277" spans="2:12" x14ac:dyDescent="0.3">
      <c r="B277" s="36"/>
      <c r="D277" t="str">
        <f>IF(C277="","",IFERROR(VLOOKUP(C277,RP!A:E,5,0),""))</f>
        <v/>
      </c>
      <c r="E277" t="str">
        <f>IF(C277="","",IFERROR(VLOOKUP(C277,RP!A:F,6,0),""))</f>
        <v/>
      </c>
      <c r="F277" t="str">
        <f>IF(C277="","",IFERROR(VLOOKUP(C277,RP!A:G,7,0),""))</f>
        <v/>
      </c>
      <c r="G277" t="str">
        <f>IF(C277="","",IFERROR(VLOOKUP(C277,RP!A:H,8,0),""))</f>
        <v/>
      </c>
      <c r="H277" s="35"/>
      <c r="K277" s="35" t="str">
        <f>IF(A277="","",SUMIF(PAGO!C:C,A277,PAGO!H:H))</f>
        <v/>
      </c>
      <c r="L277" s="35" t="str">
        <f t="shared" si="4"/>
        <v/>
      </c>
    </row>
    <row r="278" spans="2:12" x14ac:dyDescent="0.3">
      <c r="B278" s="36"/>
      <c r="D278" t="str">
        <f>IF(C278="","",IFERROR(VLOOKUP(C278,RP!A:E,5,0),""))</f>
        <v/>
      </c>
      <c r="E278" t="str">
        <f>IF(C278="","",IFERROR(VLOOKUP(C278,RP!A:F,6,0),""))</f>
        <v/>
      </c>
      <c r="F278" t="str">
        <f>IF(C278="","",IFERROR(VLOOKUP(C278,RP!A:G,7,0),""))</f>
        <v/>
      </c>
      <c r="G278" t="str">
        <f>IF(C278="","",IFERROR(VLOOKUP(C278,RP!A:H,8,0),""))</f>
        <v/>
      </c>
      <c r="H278" s="35"/>
      <c r="K278" s="35" t="str">
        <f>IF(A278="","",SUMIF(PAGO!C:C,A278,PAGO!H:H))</f>
        <v/>
      </c>
      <c r="L278" s="35" t="str">
        <f t="shared" si="4"/>
        <v/>
      </c>
    </row>
    <row r="279" spans="2:12" x14ac:dyDescent="0.3">
      <c r="B279" s="36"/>
      <c r="D279" t="str">
        <f>IF(C279="","",IFERROR(VLOOKUP(C279,RP!A:E,5,0),""))</f>
        <v/>
      </c>
      <c r="E279" t="str">
        <f>IF(C279="","",IFERROR(VLOOKUP(C279,RP!A:F,6,0),""))</f>
        <v/>
      </c>
      <c r="F279" t="str">
        <f>IF(C279="","",IFERROR(VLOOKUP(C279,RP!A:G,7,0),""))</f>
        <v/>
      </c>
      <c r="G279" t="str">
        <f>IF(C279="","",IFERROR(VLOOKUP(C279,RP!A:H,8,0),""))</f>
        <v/>
      </c>
      <c r="H279" s="35"/>
      <c r="K279" s="35" t="str">
        <f>IF(A279="","",SUMIF(PAGO!C:C,A279,PAGO!H:H))</f>
        <v/>
      </c>
      <c r="L279" s="35" t="str">
        <f t="shared" si="4"/>
        <v/>
      </c>
    </row>
    <row r="280" spans="2:12" x14ac:dyDescent="0.3">
      <c r="B280" s="36"/>
      <c r="D280" t="str">
        <f>IF(C280="","",IFERROR(VLOOKUP(C280,RP!A:E,5,0),""))</f>
        <v/>
      </c>
      <c r="E280" t="str">
        <f>IF(C280="","",IFERROR(VLOOKUP(C280,RP!A:F,6,0),""))</f>
        <v/>
      </c>
      <c r="F280" t="str">
        <f>IF(C280="","",IFERROR(VLOOKUP(C280,RP!A:G,7,0),""))</f>
        <v/>
      </c>
      <c r="G280" t="str">
        <f>IF(C280="","",IFERROR(VLOOKUP(C280,RP!A:H,8,0),""))</f>
        <v/>
      </c>
      <c r="H280" s="35"/>
      <c r="K280" s="35" t="str">
        <f>IF(A280="","",SUMIF(PAGO!C:C,A280,PAGO!H:H))</f>
        <v/>
      </c>
      <c r="L280" s="35" t="str">
        <f t="shared" si="4"/>
        <v/>
      </c>
    </row>
    <row r="281" spans="2:12" x14ac:dyDescent="0.3">
      <c r="B281" s="36"/>
      <c r="D281" t="str">
        <f>IF(C281="","",IFERROR(VLOOKUP(C281,RP!A:E,5,0),""))</f>
        <v/>
      </c>
      <c r="E281" t="str">
        <f>IF(C281="","",IFERROR(VLOOKUP(C281,RP!A:F,6,0),""))</f>
        <v/>
      </c>
      <c r="F281" t="str">
        <f>IF(C281="","",IFERROR(VLOOKUP(C281,RP!A:G,7,0),""))</f>
        <v/>
      </c>
      <c r="G281" t="str">
        <f>IF(C281="","",IFERROR(VLOOKUP(C281,RP!A:H,8,0),""))</f>
        <v/>
      </c>
      <c r="H281" s="35"/>
      <c r="K281" s="35" t="str">
        <f>IF(A281="","",SUMIF(PAGO!C:C,A281,PAGO!H:H))</f>
        <v/>
      </c>
      <c r="L281" s="35" t="str">
        <f t="shared" si="4"/>
        <v/>
      </c>
    </row>
    <row r="282" spans="2:12" x14ac:dyDescent="0.3">
      <c r="B282" s="36"/>
      <c r="D282" t="str">
        <f>IF(C282="","",IFERROR(VLOOKUP(C282,RP!A:E,5,0),""))</f>
        <v/>
      </c>
      <c r="E282" t="str">
        <f>IF(C282="","",IFERROR(VLOOKUP(C282,RP!A:F,6,0),""))</f>
        <v/>
      </c>
      <c r="F282" t="str">
        <f>IF(C282="","",IFERROR(VLOOKUP(C282,RP!A:G,7,0),""))</f>
        <v/>
      </c>
      <c r="G282" t="str">
        <f>IF(C282="","",IFERROR(VLOOKUP(C282,RP!A:H,8,0),""))</f>
        <v/>
      </c>
      <c r="H282" s="35"/>
      <c r="K282" s="35" t="str">
        <f>IF(A282="","",SUMIF(PAGO!C:C,A282,PAGO!H:H))</f>
        <v/>
      </c>
      <c r="L282" s="35" t="str">
        <f t="shared" si="4"/>
        <v/>
      </c>
    </row>
    <row r="283" spans="2:12" x14ac:dyDescent="0.3">
      <c r="B283" s="36"/>
      <c r="D283" t="str">
        <f>IF(C283="","",IFERROR(VLOOKUP(C283,RP!A:E,5,0),""))</f>
        <v/>
      </c>
      <c r="E283" t="str">
        <f>IF(C283="","",IFERROR(VLOOKUP(C283,RP!A:F,6,0),""))</f>
        <v/>
      </c>
      <c r="F283" t="str">
        <f>IF(C283="","",IFERROR(VLOOKUP(C283,RP!A:G,7,0),""))</f>
        <v/>
      </c>
      <c r="G283" t="str">
        <f>IF(C283="","",IFERROR(VLOOKUP(C283,RP!A:H,8,0),""))</f>
        <v/>
      </c>
      <c r="H283" s="35"/>
      <c r="K283" s="35" t="str">
        <f>IF(A283="","",SUMIF(PAGO!C:C,A283,PAGO!H:H))</f>
        <v/>
      </c>
      <c r="L283" s="35" t="str">
        <f t="shared" si="4"/>
        <v/>
      </c>
    </row>
    <row r="284" spans="2:12" x14ac:dyDescent="0.3">
      <c r="B284" s="36"/>
      <c r="D284" t="str">
        <f>IF(C284="","",IFERROR(VLOOKUP(C284,RP!A:E,5,0),""))</f>
        <v/>
      </c>
      <c r="E284" t="str">
        <f>IF(C284="","",IFERROR(VLOOKUP(C284,RP!A:F,6,0),""))</f>
        <v/>
      </c>
      <c r="F284" t="str">
        <f>IF(C284="","",IFERROR(VLOOKUP(C284,RP!A:G,7,0),""))</f>
        <v/>
      </c>
      <c r="G284" t="str">
        <f>IF(C284="","",IFERROR(VLOOKUP(C284,RP!A:H,8,0),""))</f>
        <v/>
      </c>
      <c r="H284" s="35"/>
      <c r="K284" s="35" t="str">
        <f>IF(A284="","",SUMIF(PAGO!C:C,A284,PAGO!H:H))</f>
        <v/>
      </c>
      <c r="L284" s="35" t="str">
        <f t="shared" si="4"/>
        <v/>
      </c>
    </row>
    <row r="285" spans="2:12" x14ac:dyDescent="0.3">
      <c r="B285" s="36"/>
      <c r="D285" t="str">
        <f>IF(C285="","",IFERROR(VLOOKUP(C285,RP!A:E,5,0),""))</f>
        <v/>
      </c>
      <c r="E285" t="str">
        <f>IF(C285="","",IFERROR(VLOOKUP(C285,RP!A:F,6,0),""))</f>
        <v/>
      </c>
      <c r="F285" t="str">
        <f>IF(C285="","",IFERROR(VLOOKUP(C285,RP!A:G,7,0),""))</f>
        <v/>
      </c>
      <c r="G285" t="str">
        <f>IF(C285="","",IFERROR(VLOOKUP(C285,RP!A:H,8,0),""))</f>
        <v/>
      </c>
      <c r="H285" s="35"/>
      <c r="K285" s="35" t="str">
        <f>IF(A285="","",SUMIF(PAGO!C:C,A285,PAGO!H:H))</f>
        <v/>
      </c>
      <c r="L285" s="35" t="str">
        <f t="shared" si="4"/>
        <v/>
      </c>
    </row>
    <row r="286" spans="2:12" x14ac:dyDescent="0.3">
      <c r="B286" s="36"/>
      <c r="D286" t="str">
        <f>IF(C286="","",IFERROR(VLOOKUP(C286,RP!A:E,5,0),""))</f>
        <v/>
      </c>
      <c r="E286" t="str">
        <f>IF(C286="","",IFERROR(VLOOKUP(C286,RP!A:F,6,0),""))</f>
        <v/>
      </c>
      <c r="F286" t="str">
        <f>IF(C286="","",IFERROR(VLOOKUP(C286,RP!A:G,7,0),""))</f>
        <v/>
      </c>
      <c r="G286" t="str">
        <f>IF(C286="","",IFERROR(VLOOKUP(C286,RP!A:H,8,0),""))</f>
        <v/>
      </c>
      <c r="H286" s="35"/>
      <c r="K286" s="35" t="str">
        <f>IF(A286="","",SUMIF(PAGO!C:C,A286,PAGO!H:H))</f>
        <v/>
      </c>
      <c r="L286" s="35" t="str">
        <f t="shared" si="4"/>
        <v/>
      </c>
    </row>
    <row r="287" spans="2:12" x14ac:dyDescent="0.3">
      <c r="B287" s="36"/>
      <c r="D287" t="str">
        <f>IF(C287="","",IFERROR(VLOOKUP(C287,RP!A:E,5,0),""))</f>
        <v/>
      </c>
      <c r="E287" t="str">
        <f>IF(C287="","",IFERROR(VLOOKUP(C287,RP!A:F,6,0),""))</f>
        <v/>
      </c>
      <c r="F287" t="str">
        <f>IF(C287="","",IFERROR(VLOOKUP(C287,RP!A:G,7,0),""))</f>
        <v/>
      </c>
      <c r="G287" t="str">
        <f>IF(C287="","",IFERROR(VLOOKUP(C287,RP!A:H,8,0),""))</f>
        <v/>
      </c>
      <c r="H287" s="35"/>
      <c r="K287" s="35" t="str">
        <f>IF(A287="","",SUMIF(PAGO!C:C,A287,PAGO!H:H))</f>
        <v/>
      </c>
      <c r="L287" s="35" t="str">
        <f t="shared" si="4"/>
        <v/>
      </c>
    </row>
    <row r="288" spans="2:12" x14ac:dyDescent="0.3">
      <c r="B288" s="36"/>
      <c r="D288" t="str">
        <f>IF(C288="","",IFERROR(VLOOKUP(C288,RP!A:E,5,0),""))</f>
        <v/>
      </c>
      <c r="E288" t="str">
        <f>IF(C288="","",IFERROR(VLOOKUP(C288,RP!A:F,6,0),""))</f>
        <v/>
      </c>
      <c r="F288" t="str">
        <f>IF(C288="","",IFERROR(VLOOKUP(C288,RP!A:G,7,0),""))</f>
        <v/>
      </c>
      <c r="G288" t="str">
        <f>IF(C288="","",IFERROR(VLOOKUP(C288,RP!A:H,8,0),""))</f>
        <v/>
      </c>
      <c r="H288" s="35"/>
      <c r="K288" s="35" t="str">
        <f>IF(A288="","",SUMIF(PAGO!C:C,A288,PAGO!H:H))</f>
        <v/>
      </c>
      <c r="L288" s="35" t="str">
        <f t="shared" si="4"/>
        <v/>
      </c>
    </row>
    <row r="289" spans="2:12" x14ac:dyDescent="0.3">
      <c r="B289" s="36"/>
      <c r="D289" t="str">
        <f>IF(C289="","",IFERROR(VLOOKUP(C289,RP!A:E,5,0),""))</f>
        <v/>
      </c>
      <c r="E289" t="str">
        <f>IF(C289="","",IFERROR(VLOOKUP(C289,RP!A:F,6,0),""))</f>
        <v/>
      </c>
      <c r="F289" t="str">
        <f>IF(C289="","",IFERROR(VLOOKUP(C289,RP!A:G,7,0),""))</f>
        <v/>
      </c>
      <c r="G289" t="str">
        <f>IF(C289="","",IFERROR(VLOOKUP(C289,RP!A:H,8,0),""))</f>
        <v/>
      </c>
      <c r="H289" s="35"/>
      <c r="K289" s="35" t="str">
        <f>IF(A289="","",SUMIF(PAGO!C:C,A289,PAGO!H:H))</f>
        <v/>
      </c>
      <c r="L289" s="35" t="str">
        <f t="shared" si="4"/>
        <v/>
      </c>
    </row>
    <row r="290" spans="2:12" x14ac:dyDescent="0.3">
      <c r="B290" s="36"/>
      <c r="D290" t="str">
        <f>IF(C290="","",IFERROR(VLOOKUP(C290,RP!A:E,5,0),""))</f>
        <v/>
      </c>
      <c r="E290" t="str">
        <f>IF(C290="","",IFERROR(VLOOKUP(C290,RP!A:F,6,0),""))</f>
        <v/>
      </c>
      <c r="F290" t="str">
        <f>IF(C290="","",IFERROR(VLOOKUP(C290,RP!A:G,7,0),""))</f>
        <v/>
      </c>
      <c r="G290" t="str">
        <f>IF(C290="","",IFERROR(VLOOKUP(C290,RP!A:H,8,0),""))</f>
        <v/>
      </c>
      <c r="H290" s="35"/>
      <c r="K290" s="35" t="str">
        <f>IF(A290="","",SUMIF(PAGO!C:C,A290,PAGO!H:H))</f>
        <v/>
      </c>
      <c r="L290" s="35" t="str">
        <f t="shared" si="4"/>
        <v/>
      </c>
    </row>
    <row r="291" spans="2:12" x14ac:dyDescent="0.3">
      <c r="B291" s="36"/>
      <c r="D291" t="str">
        <f>IF(C291="","",IFERROR(VLOOKUP(C291,RP!A:E,5,0),""))</f>
        <v/>
      </c>
      <c r="E291" t="str">
        <f>IF(C291="","",IFERROR(VLOOKUP(C291,RP!A:F,6,0),""))</f>
        <v/>
      </c>
      <c r="F291" t="str">
        <f>IF(C291="","",IFERROR(VLOOKUP(C291,RP!A:G,7,0),""))</f>
        <v/>
      </c>
      <c r="G291" t="str">
        <f>IF(C291="","",IFERROR(VLOOKUP(C291,RP!A:H,8,0),""))</f>
        <v/>
      </c>
      <c r="H291" s="35"/>
      <c r="K291" s="35" t="str">
        <f>IF(A291="","",SUMIF(PAGO!C:C,A291,PAGO!H:H))</f>
        <v/>
      </c>
      <c r="L291" s="35" t="str">
        <f t="shared" si="4"/>
        <v/>
      </c>
    </row>
    <row r="292" spans="2:12" x14ac:dyDescent="0.3">
      <c r="B292" s="36"/>
      <c r="D292" t="str">
        <f>IF(C292="","",IFERROR(VLOOKUP(C292,RP!A:E,5,0),""))</f>
        <v/>
      </c>
      <c r="E292" t="str">
        <f>IF(C292="","",IFERROR(VLOOKUP(C292,RP!A:F,6,0),""))</f>
        <v/>
      </c>
      <c r="F292" t="str">
        <f>IF(C292="","",IFERROR(VLOOKUP(C292,RP!A:G,7,0),""))</f>
        <v/>
      </c>
      <c r="G292" t="str">
        <f>IF(C292="","",IFERROR(VLOOKUP(C292,RP!A:H,8,0),""))</f>
        <v/>
      </c>
      <c r="H292" s="35"/>
      <c r="K292" s="35" t="str">
        <f>IF(A292="","",SUMIF(PAGO!C:C,A292,PAGO!H:H))</f>
        <v/>
      </c>
      <c r="L292" s="35" t="str">
        <f t="shared" si="4"/>
        <v/>
      </c>
    </row>
    <row r="293" spans="2:12" x14ac:dyDescent="0.3">
      <c r="B293" s="36"/>
      <c r="D293" t="str">
        <f>IF(C293="","",IFERROR(VLOOKUP(C293,RP!A:E,5,0),""))</f>
        <v/>
      </c>
      <c r="E293" t="str">
        <f>IF(C293="","",IFERROR(VLOOKUP(C293,RP!A:F,6,0),""))</f>
        <v/>
      </c>
      <c r="F293" t="str">
        <f>IF(C293="","",IFERROR(VLOOKUP(C293,RP!A:G,7,0),""))</f>
        <v/>
      </c>
      <c r="G293" t="str">
        <f>IF(C293="","",IFERROR(VLOOKUP(C293,RP!A:H,8,0),""))</f>
        <v/>
      </c>
      <c r="H293" s="35"/>
      <c r="K293" s="35" t="str">
        <f>IF(A293="","",SUMIF(PAGO!C:C,A293,PAGO!H:H))</f>
        <v/>
      </c>
      <c r="L293" s="35" t="str">
        <f t="shared" si="4"/>
        <v/>
      </c>
    </row>
    <row r="294" spans="2:12" x14ac:dyDescent="0.3">
      <c r="B294" s="36"/>
      <c r="D294" t="str">
        <f>IF(C294="","",IFERROR(VLOOKUP(C294,RP!A:E,5,0),""))</f>
        <v/>
      </c>
      <c r="E294" t="str">
        <f>IF(C294="","",IFERROR(VLOOKUP(C294,RP!A:F,6,0),""))</f>
        <v/>
      </c>
      <c r="F294" t="str">
        <f>IF(C294="","",IFERROR(VLOOKUP(C294,RP!A:G,7,0),""))</f>
        <v/>
      </c>
      <c r="G294" t="str">
        <f>IF(C294="","",IFERROR(VLOOKUP(C294,RP!A:H,8,0),""))</f>
        <v/>
      </c>
      <c r="H294" s="35"/>
      <c r="K294" s="35" t="str">
        <f>IF(A294="","",SUMIF(PAGO!C:C,A294,PAGO!H:H))</f>
        <v/>
      </c>
      <c r="L294" s="35" t="str">
        <f t="shared" si="4"/>
        <v/>
      </c>
    </row>
    <row r="295" spans="2:12" x14ac:dyDescent="0.3">
      <c r="B295" s="36"/>
      <c r="D295" t="str">
        <f>IF(C295="","",IFERROR(VLOOKUP(C295,RP!A:E,5,0),""))</f>
        <v/>
      </c>
      <c r="E295" t="str">
        <f>IF(C295="","",IFERROR(VLOOKUP(C295,RP!A:F,6,0),""))</f>
        <v/>
      </c>
      <c r="F295" t="str">
        <f>IF(C295="","",IFERROR(VLOOKUP(C295,RP!A:G,7,0),""))</f>
        <v/>
      </c>
      <c r="G295" t="str">
        <f>IF(C295="","",IFERROR(VLOOKUP(C295,RP!A:H,8,0),""))</f>
        <v/>
      </c>
      <c r="H295" s="35"/>
      <c r="K295" s="35" t="str">
        <f>IF(A295="","",SUMIF(PAGO!C:C,A295,PAGO!H:H))</f>
        <v/>
      </c>
      <c r="L295" s="35" t="str">
        <f t="shared" si="4"/>
        <v/>
      </c>
    </row>
    <row r="296" spans="2:12" x14ac:dyDescent="0.3">
      <c r="B296" s="36"/>
      <c r="D296" t="str">
        <f>IF(C296="","",IFERROR(VLOOKUP(C296,RP!A:E,5,0),""))</f>
        <v/>
      </c>
      <c r="E296" t="str">
        <f>IF(C296="","",IFERROR(VLOOKUP(C296,RP!A:F,6,0),""))</f>
        <v/>
      </c>
      <c r="F296" t="str">
        <f>IF(C296="","",IFERROR(VLOOKUP(C296,RP!A:G,7,0),""))</f>
        <v/>
      </c>
      <c r="G296" t="str">
        <f>IF(C296="","",IFERROR(VLOOKUP(C296,RP!A:H,8,0),""))</f>
        <v/>
      </c>
      <c r="H296" s="35"/>
      <c r="K296" s="35" t="str">
        <f>IF(A296="","",SUMIF(PAGO!C:C,A296,PAGO!H:H))</f>
        <v/>
      </c>
      <c r="L296" s="35" t="str">
        <f t="shared" si="4"/>
        <v/>
      </c>
    </row>
    <row r="297" spans="2:12" x14ac:dyDescent="0.3">
      <c r="B297" s="36"/>
      <c r="D297" t="str">
        <f>IF(C297="","",IFERROR(VLOOKUP(C297,RP!A:E,5,0),""))</f>
        <v/>
      </c>
      <c r="E297" t="str">
        <f>IF(C297="","",IFERROR(VLOOKUP(C297,RP!A:F,6,0),""))</f>
        <v/>
      </c>
      <c r="F297" t="str">
        <f>IF(C297="","",IFERROR(VLOOKUP(C297,RP!A:G,7,0),""))</f>
        <v/>
      </c>
      <c r="G297" t="str">
        <f>IF(C297="","",IFERROR(VLOOKUP(C297,RP!A:H,8,0),""))</f>
        <v/>
      </c>
      <c r="H297" s="35"/>
      <c r="K297" s="35" t="str">
        <f>IF(A297="","",SUMIF(PAGO!C:C,A297,PAGO!H:H))</f>
        <v/>
      </c>
      <c r="L297" s="35" t="str">
        <f t="shared" si="4"/>
        <v/>
      </c>
    </row>
    <row r="298" spans="2:12" x14ac:dyDescent="0.3">
      <c r="B298" s="36"/>
      <c r="D298" t="str">
        <f>IF(C298="","",IFERROR(VLOOKUP(C298,RP!A:E,5,0),""))</f>
        <v/>
      </c>
      <c r="E298" t="str">
        <f>IF(C298="","",IFERROR(VLOOKUP(C298,RP!A:F,6,0),""))</f>
        <v/>
      </c>
      <c r="F298" t="str">
        <f>IF(C298="","",IFERROR(VLOOKUP(C298,RP!A:G,7,0),""))</f>
        <v/>
      </c>
      <c r="G298" t="str">
        <f>IF(C298="","",IFERROR(VLOOKUP(C298,RP!A:H,8,0),""))</f>
        <v/>
      </c>
      <c r="H298" s="35"/>
      <c r="K298" s="35" t="str">
        <f>IF(A298="","",SUMIF(PAGO!C:C,A298,PAGO!H:H))</f>
        <v/>
      </c>
      <c r="L298" s="35" t="str">
        <f t="shared" si="4"/>
        <v/>
      </c>
    </row>
    <row r="299" spans="2:12" x14ac:dyDescent="0.3">
      <c r="B299" s="36"/>
      <c r="D299" t="str">
        <f>IF(C299="","",IFERROR(VLOOKUP(C299,RP!A:E,5,0),""))</f>
        <v/>
      </c>
      <c r="E299" t="str">
        <f>IF(C299="","",IFERROR(VLOOKUP(C299,RP!A:F,6,0),""))</f>
        <v/>
      </c>
      <c r="F299" t="str">
        <f>IF(C299="","",IFERROR(VLOOKUP(C299,RP!A:G,7,0),""))</f>
        <v/>
      </c>
      <c r="G299" t="str">
        <f>IF(C299="","",IFERROR(VLOOKUP(C299,RP!A:H,8,0),""))</f>
        <v/>
      </c>
      <c r="H299" s="35"/>
      <c r="K299" s="35" t="str">
        <f>IF(A299="","",SUMIF(PAGO!C:C,A299,PAGO!H:H))</f>
        <v/>
      </c>
      <c r="L299" s="35" t="str">
        <f t="shared" si="4"/>
        <v/>
      </c>
    </row>
    <row r="300" spans="2:12" x14ac:dyDescent="0.3">
      <c r="B300" s="36"/>
      <c r="D300" t="str">
        <f>IF(C300="","",IFERROR(VLOOKUP(C300,RP!A:E,5,0),""))</f>
        <v/>
      </c>
      <c r="E300" t="str">
        <f>IF(C300="","",IFERROR(VLOOKUP(C300,RP!A:F,6,0),""))</f>
        <v/>
      </c>
      <c r="F300" t="str">
        <f>IF(C300="","",IFERROR(VLOOKUP(C300,RP!A:G,7,0),""))</f>
        <v/>
      </c>
      <c r="G300" t="str">
        <f>IF(C300="","",IFERROR(VLOOKUP(C300,RP!A:H,8,0),""))</f>
        <v/>
      </c>
      <c r="H300" s="35"/>
      <c r="K300" s="35" t="str">
        <f>IF(A300="","",SUMIF(PAGO!C:C,A300,PAGO!H:H))</f>
        <v/>
      </c>
      <c r="L300" s="35" t="str">
        <f t="shared" si="4"/>
        <v/>
      </c>
    </row>
    <row r="301" spans="2:12" x14ac:dyDescent="0.3">
      <c r="B301" s="36"/>
      <c r="D301" t="str">
        <f>IF(C301="","",IFERROR(VLOOKUP(C301,RP!A:E,5,0),""))</f>
        <v/>
      </c>
      <c r="E301" t="str">
        <f>IF(C301="","",IFERROR(VLOOKUP(C301,RP!A:F,6,0),""))</f>
        <v/>
      </c>
      <c r="F301" t="str">
        <f>IF(C301="","",IFERROR(VLOOKUP(C301,RP!A:G,7,0),""))</f>
        <v/>
      </c>
      <c r="G301" t="str">
        <f>IF(C301="","",IFERROR(VLOOKUP(C301,RP!A:H,8,0),""))</f>
        <v/>
      </c>
      <c r="H301" s="35"/>
      <c r="K301" s="35" t="str">
        <f>IF(A301="","",SUMIF(PAGO!C:C,A301,PAGO!H:H))</f>
        <v/>
      </c>
      <c r="L301" s="35" t="str">
        <f t="shared" si="4"/>
        <v/>
      </c>
    </row>
    <row r="302" spans="2:12" x14ac:dyDescent="0.3">
      <c r="B302" s="36"/>
      <c r="D302" t="str">
        <f>IF(C302="","",IFERROR(VLOOKUP(C302,RP!A:E,5,0),""))</f>
        <v/>
      </c>
      <c r="E302" t="str">
        <f>IF(C302="","",IFERROR(VLOOKUP(C302,RP!A:F,6,0),""))</f>
        <v/>
      </c>
      <c r="F302" t="str">
        <f>IF(C302="","",IFERROR(VLOOKUP(C302,RP!A:G,7,0),""))</f>
        <v/>
      </c>
      <c r="G302" t="str">
        <f>IF(C302="","",IFERROR(VLOOKUP(C302,RP!A:H,8,0),""))</f>
        <v/>
      </c>
      <c r="H302" s="35"/>
      <c r="K302" s="35" t="str">
        <f>IF(A302="","",SUMIF(PAGO!C:C,A302,PAGO!H:H))</f>
        <v/>
      </c>
      <c r="L302" s="35" t="str">
        <f t="shared" si="4"/>
        <v/>
      </c>
    </row>
    <row r="303" spans="2:12" x14ac:dyDescent="0.3">
      <c r="B303" s="36"/>
      <c r="D303" t="str">
        <f>IF(C303="","",IFERROR(VLOOKUP(C303,RP!A:E,5,0),""))</f>
        <v/>
      </c>
      <c r="E303" t="str">
        <f>IF(C303="","",IFERROR(VLOOKUP(C303,RP!A:F,6,0),""))</f>
        <v/>
      </c>
      <c r="F303" t="str">
        <f>IF(C303="","",IFERROR(VLOOKUP(C303,RP!A:G,7,0),""))</f>
        <v/>
      </c>
      <c r="G303" t="str">
        <f>IF(C303="","",IFERROR(VLOOKUP(C303,RP!A:H,8,0),""))</f>
        <v/>
      </c>
      <c r="H303" s="35"/>
      <c r="K303" s="35" t="str">
        <f>IF(A303="","",SUMIF(PAGO!C:C,A303,PAGO!H:H))</f>
        <v/>
      </c>
      <c r="L303" s="35" t="str">
        <f t="shared" si="4"/>
        <v/>
      </c>
    </row>
    <row r="304" spans="2:12" x14ac:dyDescent="0.3">
      <c r="B304" s="36"/>
      <c r="D304" t="str">
        <f>IF(C304="","",IFERROR(VLOOKUP(C304,RP!A:E,5,0),""))</f>
        <v/>
      </c>
      <c r="E304" t="str">
        <f>IF(C304="","",IFERROR(VLOOKUP(C304,RP!A:F,6,0),""))</f>
        <v/>
      </c>
      <c r="F304" t="str">
        <f>IF(C304="","",IFERROR(VLOOKUP(C304,RP!A:G,7,0),""))</f>
        <v/>
      </c>
      <c r="G304" t="str">
        <f>IF(C304="","",IFERROR(VLOOKUP(C304,RP!A:H,8,0),""))</f>
        <v/>
      </c>
      <c r="H304" s="35"/>
      <c r="K304" s="35" t="str">
        <f>IF(A304="","",SUMIF(PAGO!C:C,A304,PAGO!H:H))</f>
        <v/>
      </c>
      <c r="L304" s="35" t="str">
        <f t="shared" si="4"/>
        <v/>
      </c>
    </row>
    <row r="305" spans="2:12" x14ac:dyDescent="0.3">
      <c r="B305" s="36"/>
      <c r="D305" t="str">
        <f>IF(C305="","",IFERROR(VLOOKUP(C305,RP!A:E,5,0),""))</f>
        <v/>
      </c>
      <c r="E305" t="str">
        <f>IF(C305="","",IFERROR(VLOOKUP(C305,RP!A:F,6,0),""))</f>
        <v/>
      </c>
      <c r="F305" t="str">
        <f>IF(C305="","",IFERROR(VLOOKUP(C305,RP!A:G,7,0),""))</f>
        <v/>
      </c>
      <c r="G305" t="str">
        <f>IF(C305="","",IFERROR(VLOOKUP(C305,RP!A:H,8,0),""))</f>
        <v/>
      </c>
      <c r="H305" s="35"/>
      <c r="K305" s="35" t="str">
        <f>IF(A305="","",SUMIF(PAGO!C:C,A305,PAGO!H:H))</f>
        <v/>
      </c>
      <c r="L305" s="35" t="str">
        <f t="shared" si="4"/>
        <v/>
      </c>
    </row>
    <row r="306" spans="2:12" x14ac:dyDescent="0.3">
      <c r="B306" s="36"/>
      <c r="D306" t="str">
        <f>IF(C306="","",IFERROR(VLOOKUP(C306,RP!A:E,5,0),""))</f>
        <v/>
      </c>
      <c r="E306" t="str">
        <f>IF(C306="","",IFERROR(VLOOKUP(C306,RP!A:F,6,0),""))</f>
        <v/>
      </c>
      <c r="F306" t="str">
        <f>IF(C306="","",IFERROR(VLOOKUP(C306,RP!A:G,7,0),""))</f>
        <v/>
      </c>
      <c r="G306" t="str">
        <f>IF(C306="","",IFERROR(VLOOKUP(C306,RP!A:H,8,0),""))</f>
        <v/>
      </c>
      <c r="H306" s="35"/>
      <c r="K306" s="35" t="str">
        <f>IF(A306="","",SUMIF(PAGO!C:C,A306,PAGO!H:H))</f>
        <v/>
      </c>
      <c r="L306" s="35" t="str">
        <f t="shared" si="4"/>
        <v/>
      </c>
    </row>
    <row r="307" spans="2:12" x14ac:dyDescent="0.3">
      <c r="B307" s="36"/>
      <c r="D307" t="str">
        <f>IF(C307="","",IFERROR(VLOOKUP(C307,RP!A:E,5,0),""))</f>
        <v/>
      </c>
      <c r="E307" t="str">
        <f>IF(C307="","",IFERROR(VLOOKUP(C307,RP!A:F,6,0),""))</f>
        <v/>
      </c>
      <c r="F307" t="str">
        <f>IF(C307="","",IFERROR(VLOOKUP(C307,RP!A:G,7,0),""))</f>
        <v/>
      </c>
      <c r="G307" t="str">
        <f>IF(C307="","",IFERROR(VLOOKUP(C307,RP!A:H,8,0),""))</f>
        <v/>
      </c>
      <c r="H307" s="35"/>
      <c r="K307" s="35" t="str">
        <f>IF(A307="","",SUMIF(PAGO!C:C,A307,PAGO!H:H))</f>
        <v/>
      </c>
      <c r="L307" s="35" t="str">
        <f t="shared" si="4"/>
        <v/>
      </c>
    </row>
    <row r="308" spans="2:12" x14ac:dyDescent="0.3">
      <c r="B308" s="36"/>
      <c r="D308" t="str">
        <f>IF(C308="","",IFERROR(VLOOKUP(C308,RP!A:E,5,0),""))</f>
        <v/>
      </c>
      <c r="E308" t="str">
        <f>IF(C308="","",IFERROR(VLOOKUP(C308,RP!A:F,6,0),""))</f>
        <v/>
      </c>
      <c r="F308" t="str">
        <f>IF(C308="","",IFERROR(VLOOKUP(C308,RP!A:G,7,0),""))</f>
        <v/>
      </c>
      <c r="G308" t="str">
        <f>IF(C308="","",IFERROR(VLOOKUP(C308,RP!A:H,8,0),""))</f>
        <v/>
      </c>
      <c r="H308" s="35"/>
      <c r="K308" s="35" t="str">
        <f>IF(A308="","",SUMIF(PAGO!C:C,A308,PAGO!H:H))</f>
        <v/>
      </c>
      <c r="L308" s="35" t="str">
        <f t="shared" si="4"/>
        <v/>
      </c>
    </row>
    <row r="309" spans="2:12" x14ac:dyDescent="0.3">
      <c r="B309" s="36"/>
      <c r="D309" t="str">
        <f>IF(C309="","",IFERROR(VLOOKUP(C309,RP!A:E,5,0),""))</f>
        <v/>
      </c>
      <c r="E309" t="str">
        <f>IF(C309="","",IFERROR(VLOOKUP(C309,RP!A:F,6,0),""))</f>
        <v/>
      </c>
      <c r="F309" t="str">
        <f>IF(C309="","",IFERROR(VLOOKUP(C309,RP!A:G,7,0),""))</f>
        <v/>
      </c>
      <c r="G309" t="str">
        <f>IF(C309="","",IFERROR(VLOOKUP(C309,RP!A:H,8,0),""))</f>
        <v/>
      </c>
      <c r="H309" s="35"/>
      <c r="K309" s="35" t="str">
        <f>IF(A309="","",SUMIF(PAGO!C:C,A309,PAGO!H:H))</f>
        <v/>
      </c>
      <c r="L309" s="35" t="str">
        <f t="shared" si="4"/>
        <v/>
      </c>
    </row>
    <row r="310" spans="2:12" x14ac:dyDescent="0.3">
      <c r="B310" s="36"/>
      <c r="D310" t="str">
        <f>IF(C310="","",IFERROR(VLOOKUP(C310,RP!A:E,5,0),""))</f>
        <v/>
      </c>
      <c r="E310" t="str">
        <f>IF(C310="","",IFERROR(VLOOKUP(C310,RP!A:F,6,0),""))</f>
        <v/>
      </c>
      <c r="F310" t="str">
        <f>IF(C310="","",IFERROR(VLOOKUP(C310,RP!A:G,7,0),""))</f>
        <v/>
      </c>
      <c r="G310" t="str">
        <f>IF(C310="","",IFERROR(VLOOKUP(C310,RP!A:H,8,0),""))</f>
        <v/>
      </c>
      <c r="H310" s="35"/>
      <c r="K310" s="35" t="str">
        <f>IF(A310="","",SUMIF(PAGO!C:C,A310,PAGO!H:H))</f>
        <v/>
      </c>
      <c r="L310" s="35" t="str">
        <f t="shared" si="4"/>
        <v/>
      </c>
    </row>
    <row r="311" spans="2:12" x14ac:dyDescent="0.3">
      <c r="B311" s="36"/>
      <c r="D311" t="str">
        <f>IF(C311="","",IFERROR(VLOOKUP(C311,RP!A:E,5,0),""))</f>
        <v/>
      </c>
      <c r="E311" t="str">
        <f>IF(C311="","",IFERROR(VLOOKUP(C311,RP!A:F,6,0),""))</f>
        <v/>
      </c>
      <c r="F311" t="str">
        <f>IF(C311="","",IFERROR(VLOOKUP(C311,RP!A:G,7,0),""))</f>
        <v/>
      </c>
      <c r="G311" t="str">
        <f>IF(C311="","",IFERROR(VLOOKUP(C311,RP!A:H,8,0),""))</f>
        <v/>
      </c>
      <c r="H311" s="35"/>
      <c r="K311" s="35" t="str">
        <f>IF(A311="","",SUMIF(PAGO!C:C,A311,PAGO!H:H))</f>
        <v/>
      </c>
      <c r="L311" s="35" t="str">
        <f t="shared" si="4"/>
        <v/>
      </c>
    </row>
    <row r="312" spans="2:12" x14ac:dyDescent="0.3">
      <c r="B312" s="36"/>
      <c r="D312" t="str">
        <f>IF(C312="","",IFERROR(VLOOKUP(C312,RP!A:E,5,0),""))</f>
        <v/>
      </c>
      <c r="E312" t="str">
        <f>IF(C312="","",IFERROR(VLOOKUP(C312,RP!A:F,6,0),""))</f>
        <v/>
      </c>
      <c r="F312" t="str">
        <f>IF(C312="","",IFERROR(VLOOKUP(C312,RP!A:G,7,0),""))</f>
        <v/>
      </c>
      <c r="G312" t="str">
        <f>IF(C312="","",IFERROR(VLOOKUP(C312,RP!A:H,8,0),""))</f>
        <v/>
      </c>
      <c r="H312" s="35"/>
      <c r="K312" s="35" t="str">
        <f>IF(A312="","",SUMIF(PAGO!C:C,A312,PAGO!H:H))</f>
        <v/>
      </c>
      <c r="L312" s="35" t="str">
        <f t="shared" si="4"/>
        <v/>
      </c>
    </row>
    <row r="313" spans="2:12" x14ac:dyDescent="0.3">
      <c r="B313" s="36"/>
      <c r="D313" t="str">
        <f>IF(C313="","",IFERROR(VLOOKUP(C313,RP!A:E,5,0),""))</f>
        <v/>
      </c>
      <c r="E313" t="str">
        <f>IF(C313="","",IFERROR(VLOOKUP(C313,RP!A:F,6,0),""))</f>
        <v/>
      </c>
      <c r="F313" t="str">
        <f>IF(C313="","",IFERROR(VLOOKUP(C313,RP!A:G,7,0),""))</f>
        <v/>
      </c>
      <c r="G313" t="str">
        <f>IF(C313="","",IFERROR(VLOOKUP(C313,RP!A:H,8,0),""))</f>
        <v/>
      </c>
      <c r="H313" s="35"/>
      <c r="K313" s="35" t="str">
        <f>IF(A313="","",SUMIF(PAGO!C:C,A313,PAGO!H:H))</f>
        <v/>
      </c>
      <c r="L313" s="35" t="str">
        <f t="shared" si="4"/>
        <v/>
      </c>
    </row>
    <row r="314" spans="2:12" x14ac:dyDescent="0.3">
      <c r="B314" s="36"/>
      <c r="D314" t="str">
        <f>IF(C314="","",IFERROR(VLOOKUP(C314,RP!A:E,5,0),""))</f>
        <v/>
      </c>
      <c r="E314" t="str">
        <f>IF(C314="","",IFERROR(VLOOKUP(C314,RP!A:F,6,0),""))</f>
        <v/>
      </c>
      <c r="F314" t="str">
        <f>IF(C314="","",IFERROR(VLOOKUP(C314,RP!A:G,7,0),""))</f>
        <v/>
      </c>
      <c r="G314" t="str">
        <f>IF(C314="","",IFERROR(VLOOKUP(C314,RP!A:H,8,0),""))</f>
        <v/>
      </c>
      <c r="H314" s="35"/>
      <c r="K314" s="35" t="str">
        <f>IF(A314="","",SUMIF(PAGO!C:C,A314,PAGO!H:H))</f>
        <v/>
      </c>
      <c r="L314" s="35" t="str">
        <f t="shared" si="4"/>
        <v/>
      </c>
    </row>
    <row r="315" spans="2:12" x14ac:dyDescent="0.3">
      <c r="B315" s="36"/>
      <c r="D315" t="str">
        <f>IF(C315="","",IFERROR(VLOOKUP(C315,RP!A:E,5,0),""))</f>
        <v/>
      </c>
      <c r="E315" t="str">
        <f>IF(C315="","",IFERROR(VLOOKUP(C315,RP!A:F,6,0),""))</f>
        <v/>
      </c>
      <c r="F315" t="str">
        <f>IF(C315="","",IFERROR(VLOOKUP(C315,RP!A:G,7,0),""))</f>
        <v/>
      </c>
      <c r="G315" t="str">
        <f>IF(C315="","",IFERROR(VLOOKUP(C315,RP!A:H,8,0),""))</f>
        <v/>
      </c>
      <c r="H315" s="35"/>
      <c r="K315" s="35" t="str">
        <f>IF(A315="","",SUMIF(PAGO!C:C,A315,PAGO!H:H))</f>
        <v/>
      </c>
      <c r="L315" s="35" t="str">
        <f t="shared" si="4"/>
        <v/>
      </c>
    </row>
    <row r="316" spans="2:12" x14ac:dyDescent="0.3">
      <c r="B316" s="36"/>
      <c r="D316" t="str">
        <f>IF(C316="","",IFERROR(VLOOKUP(C316,RP!A:E,5,0),""))</f>
        <v/>
      </c>
      <c r="E316" t="str">
        <f>IF(C316="","",IFERROR(VLOOKUP(C316,RP!A:F,6,0),""))</f>
        <v/>
      </c>
      <c r="F316" t="str">
        <f>IF(C316="","",IFERROR(VLOOKUP(C316,RP!A:G,7,0),""))</f>
        <v/>
      </c>
      <c r="G316" t="str">
        <f>IF(C316="","",IFERROR(VLOOKUP(C316,RP!A:H,8,0),""))</f>
        <v/>
      </c>
      <c r="H316" s="35"/>
      <c r="K316" s="35" t="str">
        <f>IF(A316="","",SUMIF(PAGO!C:C,A316,PAGO!H:H))</f>
        <v/>
      </c>
      <c r="L316" s="35" t="str">
        <f t="shared" si="4"/>
        <v/>
      </c>
    </row>
    <row r="317" spans="2:12" x14ac:dyDescent="0.3">
      <c r="B317" s="36"/>
      <c r="D317" t="str">
        <f>IF(C317="","",IFERROR(VLOOKUP(C317,RP!A:E,5,0),""))</f>
        <v/>
      </c>
      <c r="E317" t="str">
        <f>IF(C317="","",IFERROR(VLOOKUP(C317,RP!A:F,6,0),""))</f>
        <v/>
      </c>
      <c r="F317" t="str">
        <f>IF(C317="","",IFERROR(VLOOKUP(C317,RP!A:G,7,0),""))</f>
        <v/>
      </c>
      <c r="G317" t="str">
        <f>IF(C317="","",IFERROR(VLOOKUP(C317,RP!A:H,8,0),""))</f>
        <v/>
      </c>
      <c r="H317" s="35"/>
      <c r="K317" s="35" t="str">
        <f>IF(A317="","",SUMIF(PAGO!C:C,A317,PAGO!H:H))</f>
        <v/>
      </c>
      <c r="L317" s="35" t="str">
        <f t="shared" si="4"/>
        <v/>
      </c>
    </row>
    <row r="318" spans="2:12" x14ac:dyDescent="0.3">
      <c r="B318" s="36"/>
      <c r="D318" t="str">
        <f>IF(C318="","",IFERROR(VLOOKUP(C318,RP!A:E,5,0),""))</f>
        <v/>
      </c>
      <c r="E318" t="str">
        <f>IF(C318="","",IFERROR(VLOOKUP(C318,RP!A:F,6,0),""))</f>
        <v/>
      </c>
      <c r="F318" t="str">
        <f>IF(C318="","",IFERROR(VLOOKUP(C318,RP!A:G,7,0),""))</f>
        <v/>
      </c>
      <c r="G318" t="str">
        <f>IF(C318="","",IFERROR(VLOOKUP(C318,RP!A:H,8,0),""))</f>
        <v/>
      </c>
      <c r="H318" s="35"/>
      <c r="K318" s="35" t="str">
        <f>IF(A318="","",SUMIF(PAGO!C:C,A318,PAGO!H:H))</f>
        <v/>
      </c>
      <c r="L318" s="35" t="str">
        <f t="shared" si="4"/>
        <v/>
      </c>
    </row>
    <row r="319" spans="2:12" x14ac:dyDescent="0.3">
      <c r="B319" s="36"/>
      <c r="D319" t="str">
        <f>IF(C319="","",IFERROR(VLOOKUP(C319,RP!A:E,5,0),""))</f>
        <v/>
      </c>
      <c r="E319" t="str">
        <f>IF(C319="","",IFERROR(VLOOKUP(C319,RP!A:F,6,0),""))</f>
        <v/>
      </c>
      <c r="F319" t="str">
        <f>IF(C319="","",IFERROR(VLOOKUP(C319,RP!A:G,7,0),""))</f>
        <v/>
      </c>
      <c r="G319" t="str">
        <f>IF(C319="","",IFERROR(VLOOKUP(C319,RP!A:H,8,0),""))</f>
        <v/>
      </c>
      <c r="H319" s="35"/>
      <c r="K319" s="35" t="str">
        <f>IF(A319="","",SUMIF(PAGO!C:C,A319,PAGO!H:H))</f>
        <v/>
      </c>
      <c r="L319" s="35" t="str">
        <f t="shared" si="4"/>
        <v/>
      </c>
    </row>
    <row r="320" spans="2:12" x14ac:dyDescent="0.3">
      <c r="B320" s="36"/>
      <c r="D320" t="str">
        <f>IF(C320="","",IFERROR(VLOOKUP(C320,RP!A:E,5,0),""))</f>
        <v/>
      </c>
      <c r="E320" t="str">
        <f>IF(C320="","",IFERROR(VLOOKUP(C320,RP!A:F,6,0),""))</f>
        <v/>
      </c>
      <c r="F320" t="str">
        <f>IF(C320="","",IFERROR(VLOOKUP(C320,RP!A:G,7,0),""))</f>
        <v/>
      </c>
      <c r="G320" t="str">
        <f>IF(C320="","",IFERROR(VLOOKUP(C320,RP!A:H,8,0),""))</f>
        <v/>
      </c>
      <c r="H320" s="35"/>
      <c r="K320" s="35" t="str">
        <f>IF(A320="","",SUMIF(PAGO!C:C,A320,PAGO!H:H))</f>
        <v/>
      </c>
      <c r="L320" s="35" t="str">
        <f t="shared" si="4"/>
        <v/>
      </c>
    </row>
    <row r="321" spans="2:12" x14ac:dyDescent="0.3">
      <c r="B321" s="36"/>
      <c r="D321" t="str">
        <f>IF(C321="","",IFERROR(VLOOKUP(C321,RP!A:E,5,0),""))</f>
        <v/>
      </c>
      <c r="E321" t="str">
        <f>IF(C321="","",IFERROR(VLOOKUP(C321,RP!A:F,6,0),""))</f>
        <v/>
      </c>
      <c r="F321" t="str">
        <f>IF(C321="","",IFERROR(VLOOKUP(C321,RP!A:G,7,0),""))</f>
        <v/>
      </c>
      <c r="G321" t="str">
        <f>IF(C321="","",IFERROR(VLOOKUP(C321,RP!A:H,8,0),""))</f>
        <v/>
      </c>
      <c r="H321" s="35"/>
      <c r="K321" s="35" t="str">
        <f>IF(A321="","",SUMIF(PAGO!C:C,A321,PAGO!H:H))</f>
        <v/>
      </c>
      <c r="L321" s="35" t="str">
        <f t="shared" si="4"/>
        <v/>
      </c>
    </row>
    <row r="322" spans="2:12" x14ac:dyDescent="0.3">
      <c r="B322" s="36"/>
      <c r="D322" t="str">
        <f>IF(C322="","",IFERROR(VLOOKUP(C322,RP!A:E,5,0),""))</f>
        <v/>
      </c>
      <c r="E322" t="str">
        <f>IF(C322="","",IFERROR(VLOOKUP(C322,RP!A:F,6,0),""))</f>
        <v/>
      </c>
      <c r="F322" t="str">
        <f>IF(C322="","",IFERROR(VLOOKUP(C322,RP!A:G,7,0),""))</f>
        <v/>
      </c>
      <c r="G322" t="str">
        <f>IF(C322="","",IFERROR(VLOOKUP(C322,RP!A:H,8,0),""))</f>
        <v/>
      </c>
      <c r="H322" s="35"/>
      <c r="K322" s="35" t="str">
        <f>IF(A322="","",SUMIF(PAGO!C:C,A322,PAGO!H:H))</f>
        <v/>
      </c>
      <c r="L322" s="35" t="str">
        <f t="shared" ref="L322:L385" si="5">IF(A322="","",H322-K322)</f>
        <v/>
      </c>
    </row>
    <row r="323" spans="2:12" x14ac:dyDescent="0.3">
      <c r="B323" s="36"/>
      <c r="D323" t="str">
        <f>IF(C323="","",IFERROR(VLOOKUP(C323,RP!A:E,5,0),""))</f>
        <v/>
      </c>
      <c r="E323" t="str">
        <f>IF(C323="","",IFERROR(VLOOKUP(C323,RP!A:F,6,0),""))</f>
        <v/>
      </c>
      <c r="F323" t="str">
        <f>IF(C323="","",IFERROR(VLOOKUP(C323,RP!A:G,7,0),""))</f>
        <v/>
      </c>
      <c r="G323" t="str">
        <f>IF(C323="","",IFERROR(VLOOKUP(C323,RP!A:H,8,0),""))</f>
        <v/>
      </c>
      <c r="H323" s="35"/>
      <c r="K323" s="35" t="str">
        <f>IF(A323="","",SUMIF(PAGO!C:C,A323,PAGO!H:H))</f>
        <v/>
      </c>
      <c r="L323" s="35" t="str">
        <f t="shared" si="5"/>
        <v/>
      </c>
    </row>
    <row r="324" spans="2:12" x14ac:dyDescent="0.3">
      <c r="B324" s="36"/>
      <c r="D324" t="str">
        <f>IF(C324="","",IFERROR(VLOOKUP(C324,RP!A:E,5,0),""))</f>
        <v/>
      </c>
      <c r="E324" t="str">
        <f>IF(C324="","",IFERROR(VLOOKUP(C324,RP!A:F,6,0),""))</f>
        <v/>
      </c>
      <c r="F324" t="str">
        <f>IF(C324="","",IFERROR(VLOOKUP(C324,RP!A:G,7,0),""))</f>
        <v/>
      </c>
      <c r="G324" t="str">
        <f>IF(C324="","",IFERROR(VLOOKUP(C324,RP!A:H,8,0),""))</f>
        <v/>
      </c>
      <c r="H324" s="35"/>
      <c r="K324" s="35" t="str">
        <f>IF(A324="","",SUMIF(PAGO!C:C,A324,PAGO!H:H))</f>
        <v/>
      </c>
      <c r="L324" s="35" t="str">
        <f t="shared" si="5"/>
        <v/>
      </c>
    </row>
    <row r="325" spans="2:12" x14ac:dyDescent="0.3">
      <c r="B325" s="36"/>
      <c r="D325" t="str">
        <f>IF(C325="","",IFERROR(VLOOKUP(C325,RP!A:E,5,0),""))</f>
        <v/>
      </c>
      <c r="E325" t="str">
        <f>IF(C325="","",IFERROR(VLOOKUP(C325,RP!A:F,6,0),""))</f>
        <v/>
      </c>
      <c r="F325" t="str">
        <f>IF(C325="","",IFERROR(VLOOKUP(C325,RP!A:G,7,0),""))</f>
        <v/>
      </c>
      <c r="G325" t="str">
        <f>IF(C325="","",IFERROR(VLOOKUP(C325,RP!A:H,8,0),""))</f>
        <v/>
      </c>
      <c r="H325" s="35"/>
      <c r="K325" s="35" t="str">
        <f>IF(A325="","",SUMIF(PAGO!C:C,A325,PAGO!H:H))</f>
        <v/>
      </c>
      <c r="L325" s="35" t="str">
        <f t="shared" si="5"/>
        <v/>
      </c>
    </row>
    <row r="326" spans="2:12" x14ac:dyDescent="0.3">
      <c r="B326" s="36"/>
      <c r="D326" t="str">
        <f>IF(C326="","",IFERROR(VLOOKUP(C326,RP!A:E,5,0),""))</f>
        <v/>
      </c>
      <c r="E326" t="str">
        <f>IF(C326="","",IFERROR(VLOOKUP(C326,RP!A:F,6,0),""))</f>
        <v/>
      </c>
      <c r="F326" t="str">
        <f>IF(C326="","",IFERROR(VLOOKUP(C326,RP!A:G,7,0),""))</f>
        <v/>
      </c>
      <c r="G326" t="str">
        <f>IF(C326="","",IFERROR(VLOOKUP(C326,RP!A:H,8,0),""))</f>
        <v/>
      </c>
      <c r="H326" s="35"/>
      <c r="K326" s="35" t="str">
        <f>IF(A326="","",SUMIF(PAGO!C:C,A326,PAGO!H:H))</f>
        <v/>
      </c>
      <c r="L326" s="35" t="str">
        <f t="shared" si="5"/>
        <v/>
      </c>
    </row>
    <row r="327" spans="2:12" x14ac:dyDescent="0.3">
      <c r="B327" s="36"/>
      <c r="D327" t="str">
        <f>IF(C327="","",IFERROR(VLOOKUP(C327,RP!A:E,5,0),""))</f>
        <v/>
      </c>
      <c r="E327" t="str">
        <f>IF(C327="","",IFERROR(VLOOKUP(C327,RP!A:F,6,0),""))</f>
        <v/>
      </c>
      <c r="F327" t="str">
        <f>IF(C327="","",IFERROR(VLOOKUP(C327,RP!A:G,7,0),""))</f>
        <v/>
      </c>
      <c r="G327" t="str">
        <f>IF(C327="","",IFERROR(VLOOKUP(C327,RP!A:H,8,0),""))</f>
        <v/>
      </c>
      <c r="H327" s="35"/>
      <c r="K327" s="35" t="str">
        <f>IF(A327="","",SUMIF(PAGO!C:C,A327,PAGO!H:H))</f>
        <v/>
      </c>
      <c r="L327" s="35" t="str">
        <f t="shared" si="5"/>
        <v/>
      </c>
    </row>
    <row r="328" spans="2:12" x14ac:dyDescent="0.3">
      <c r="B328" s="36"/>
      <c r="D328" t="str">
        <f>IF(C328="","",IFERROR(VLOOKUP(C328,RP!A:E,5,0),""))</f>
        <v/>
      </c>
      <c r="E328" t="str">
        <f>IF(C328="","",IFERROR(VLOOKUP(C328,RP!A:F,6,0),""))</f>
        <v/>
      </c>
      <c r="F328" t="str">
        <f>IF(C328="","",IFERROR(VLOOKUP(C328,RP!A:G,7,0),""))</f>
        <v/>
      </c>
      <c r="G328" t="str">
        <f>IF(C328="","",IFERROR(VLOOKUP(C328,RP!A:H,8,0),""))</f>
        <v/>
      </c>
      <c r="H328" s="35"/>
      <c r="K328" s="35" t="str">
        <f>IF(A328="","",SUMIF(PAGO!C:C,A328,PAGO!H:H))</f>
        <v/>
      </c>
      <c r="L328" s="35" t="str">
        <f t="shared" si="5"/>
        <v/>
      </c>
    </row>
    <row r="329" spans="2:12" x14ac:dyDescent="0.3">
      <c r="B329" s="36"/>
      <c r="D329" t="str">
        <f>IF(C329="","",IFERROR(VLOOKUP(C329,RP!A:E,5,0),""))</f>
        <v/>
      </c>
      <c r="E329" t="str">
        <f>IF(C329="","",IFERROR(VLOOKUP(C329,RP!A:F,6,0),""))</f>
        <v/>
      </c>
      <c r="F329" t="str">
        <f>IF(C329="","",IFERROR(VLOOKUP(C329,RP!A:G,7,0),""))</f>
        <v/>
      </c>
      <c r="G329" t="str">
        <f>IF(C329="","",IFERROR(VLOOKUP(C329,RP!A:H,8,0),""))</f>
        <v/>
      </c>
      <c r="H329" s="35"/>
      <c r="K329" s="35" t="str">
        <f>IF(A329="","",SUMIF(PAGO!C:C,A329,PAGO!H:H))</f>
        <v/>
      </c>
      <c r="L329" s="35" t="str">
        <f t="shared" si="5"/>
        <v/>
      </c>
    </row>
    <row r="330" spans="2:12" x14ac:dyDescent="0.3">
      <c r="B330" s="36"/>
      <c r="D330" t="str">
        <f>IF(C330="","",IFERROR(VLOOKUP(C330,RP!A:E,5,0),""))</f>
        <v/>
      </c>
      <c r="E330" t="str">
        <f>IF(C330="","",IFERROR(VLOOKUP(C330,RP!A:F,6,0),""))</f>
        <v/>
      </c>
      <c r="F330" t="str">
        <f>IF(C330="","",IFERROR(VLOOKUP(C330,RP!A:G,7,0),""))</f>
        <v/>
      </c>
      <c r="G330" t="str">
        <f>IF(C330="","",IFERROR(VLOOKUP(C330,RP!A:H,8,0),""))</f>
        <v/>
      </c>
      <c r="H330" s="35"/>
      <c r="K330" s="35" t="str">
        <f>IF(A330="","",SUMIF(PAGO!C:C,A330,PAGO!H:H))</f>
        <v/>
      </c>
      <c r="L330" s="35" t="str">
        <f t="shared" si="5"/>
        <v/>
      </c>
    </row>
    <row r="331" spans="2:12" x14ac:dyDescent="0.3">
      <c r="B331" s="36"/>
      <c r="D331" t="str">
        <f>IF(C331="","",IFERROR(VLOOKUP(C331,RP!A:E,5,0),""))</f>
        <v/>
      </c>
      <c r="E331" t="str">
        <f>IF(C331="","",IFERROR(VLOOKUP(C331,RP!A:F,6,0),""))</f>
        <v/>
      </c>
      <c r="F331" t="str">
        <f>IF(C331="","",IFERROR(VLOOKUP(C331,RP!A:G,7,0),""))</f>
        <v/>
      </c>
      <c r="G331" t="str">
        <f>IF(C331="","",IFERROR(VLOOKUP(C331,RP!A:H,8,0),""))</f>
        <v/>
      </c>
      <c r="H331" s="35"/>
      <c r="K331" s="35" t="str">
        <f>IF(A331="","",SUMIF(PAGO!C:C,A331,PAGO!H:H))</f>
        <v/>
      </c>
      <c r="L331" s="35" t="str">
        <f t="shared" si="5"/>
        <v/>
      </c>
    </row>
    <row r="332" spans="2:12" x14ac:dyDescent="0.3">
      <c r="B332" s="36"/>
      <c r="D332" t="str">
        <f>IF(C332="","",IFERROR(VLOOKUP(C332,RP!A:E,5,0),""))</f>
        <v/>
      </c>
      <c r="E332" t="str">
        <f>IF(C332="","",IFERROR(VLOOKUP(C332,RP!A:F,6,0),""))</f>
        <v/>
      </c>
      <c r="F332" t="str">
        <f>IF(C332="","",IFERROR(VLOOKUP(C332,RP!A:G,7,0),""))</f>
        <v/>
      </c>
      <c r="G332" t="str">
        <f>IF(C332="","",IFERROR(VLOOKUP(C332,RP!A:H,8,0),""))</f>
        <v/>
      </c>
      <c r="H332" s="35"/>
      <c r="K332" s="35" t="str">
        <f>IF(A332="","",SUMIF(PAGO!C:C,A332,PAGO!H:H))</f>
        <v/>
      </c>
      <c r="L332" s="35" t="str">
        <f t="shared" si="5"/>
        <v/>
      </c>
    </row>
    <row r="333" spans="2:12" x14ac:dyDescent="0.3">
      <c r="B333" s="36"/>
      <c r="D333" t="str">
        <f>IF(C333="","",IFERROR(VLOOKUP(C333,RP!A:E,5,0),""))</f>
        <v/>
      </c>
      <c r="E333" t="str">
        <f>IF(C333="","",IFERROR(VLOOKUP(C333,RP!A:F,6,0),""))</f>
        <v/>
      </c>
      <c r="F333" t="str">
        <f>IF(C333="","",IFERROR(VLOOKUP(C333,RP!A:G,7,0),""))</f>
        <v/>
      </c>
      <c r="G333" t="str">
        <f>IF(C333="","",IFERROR(VLOOKUP(C333,RP!A:H,8,0),""))</f>
        <v/>
      </c>
      <c r="H333" s="35"/>
      <c r="K333" s="35" t="str">
        <f>IF(A333="","",SUMIF(PAGO!C:C,A333,PAGO!H:H))</f>
        <v/>
      </c>
      <c r="L333" s="35" t="str">
        <f t="shared" si="5"/>
        <v/>
      </c>
    </row>
    <row r="334" spans="2:12" x14ac:dyDescent="0.3">
      <c r="B334" s="36"/>
      <c r="D334" t="str">
        <f>IF(C334="","",IFERROR(VLOOKUP(C334,RP!A:E,5,0),""))</f>
        <v/>
      </c>
      <c r="E334" t="str">
        <f>IF(C334="","",IFERROR(VLOOKUP(C334,RP!A:F,6,0),""))</f>
        <v/>
      </c>
      <c r="F334" t="str">
        <f>IF(C334="","",IFERROR(VLOOKUP(C334,RP!A:G,7,0),""))</f>
        <v/>
      </c>
      <c r="G334" t="str">
        <f>IF(C334="","",IFERROR(VLOOKUP(C334,RP!A:H,8,0),""))</f>
        <v/>
      </c>
      <c r="H334" s="35"/>
      <c r="K334" s="35" t="str">
        <f>IF(A334="","",SUMIF(PAGO!C:C,A334,PAGO!H:H))</f>
        <v/>
      </c>
      <c r="L334" s="35" t="str">
        <f t="shared" si="5"/>
        <v/>
      </c>
    </row>
    <row r="335" spans="2:12" x14ac:dyDescent="0.3">
      <c r="B335" s="36"/>
      <c r="D335" t="str">
        <f>IF(C335="","",IFERROR(VLOOKUP(C335,RP!A:E,5,0),""))</f>
        <v/>
      </c>
      <c r="E335" t="str">
        <f>IF(C335="","",IFERROR(VLOOKUP(C335,RP!A:F,6,0),""))</f>
        <v/>
      </c>
      <c r="F335" t="str">
        <f>IF(C335="","",IFERROR(VLOOKUP(C335,RP!A:G,7,0),""))</f>
        <v/>
      </c>
      <c r="G335" t="str">
        <f>IF(C335="","",IFERROR(VLOOKUP(C335,RP!A:H,8,0),""))</f>
        <v/>
      </c>
      <c r="H335" s="35"/>
      <c r="K335" s="35" t="str">
        <f>IF(A335="","",SUMIF(PAGO!C:C,A335,PAGO!H:H))</f>
        <v/>
      </c>
      <c r="L335" s="35" t="str">
        <f t="shared" si="5"/>
        <v/>
      </c>
    </row>
    <row r="336" spans="2:12" x14ac:dyDescent="0.3">
      <c r="B336" s="36"/>
      <c r="D336" t="str">
        <f>IF(C336="","",IFERROR(VLOOKUP(C336,RP!A:E,5,0),""))</f>
        <v/>
      </c>
      <c r="E336" t="str">
        <f>IF(C336="","",IFERROR(VLOOKUP(C336,RP!A:F,6,0),""))</f>
        <v/>
      </c>
      <c r="F336" t="str">
        <f>IF(C336="","",IFERROR(VLOOKUP(C336,RP!A:G,7,0),""))</f>
        <v/>
      </c>
      <c r="G336" t="str">
        <f>IF(C336="","",IFERROR(VLOOKUP(C336,RP!A:H,8,0),""))</f>
        <v/>
      </c>
      <c r="H336" s="35"/>
      <c r="K336" s="35" t="str">
        <f>IF(A336="","",SUMIF(PAGO!C:C,A336,PAGO!H:H))</f>
        <v/>
      </c>
      <c r="L336" s="35" t="str">
        <f t="shared" si="5"/>
        <v/>
      </c>
    </row>
    <row r="337" spans="2:12" x14ac:dyDescent="0.3">
      <c r="B337" s="36"/>
      <c r="D337" t="str">
        <f>IF(C337="","",IFERROR(VLOOKUP(C337,RP!A:E,5,0),""))</f>
        <v/>
      </c>
      <c r="E337" t="str">
        <f>IF(C337="","",IFERROR(VLOOKUP(C337,RP!A:F,6,0),""))</f>
        <v/>
      </c>
      <c r="F337" t="str">
        <f>IF(C337="","",IFERROR(VLOOKUP(C337,RP!A:G,7,0),""))</f>
        <v/>
      </c>
      <c r="G337" t="str">
        <f>IF(C337="","",IFERROR(VLOOKUP(C337,RP!A:H,8,0),""))</f>
        <v/>
      </c>
      <c r="H337" s="35"/>
      <c r="K337" s="35" t="str">
        <f>IF(A337="","",SUMIF(PAGO!C:C,A337,PAGO!H:H))</f>
        <v/>
      </c>
      <c r="L337" s="35" t="str">
        <f t="shared" si="5"/>
        <v/>
      </c>
    </row>
    <row r="338" spans="2:12" x14ac:dyDescent="0.3">
      <c r="B338" s="36"/>
      <c r="D338" t="str">
        <f>IF(C338="","",IFERROR(VLOOKUP(C338,RP!A:E,5,0),""))</f>
        <v/>
      </c>
      <c r="E338" t="str">
        <f>IF(C338="","",IFERROR(VLOOKUP(C338,RP!A:F,6,0),""))</f>
        <v/>
      </c>
      <c r="F338" t="str">
        <f>IF(C338="","",IFERROR(VLOOKUP(C338,RP!A:G,7,0),""))</f>
        <v/>
      </c>
      <c r="G338" t="str">
        <f>IF(C338="","",IFERROR(VLOOKUP(C338,RP!A:H,8,0),""))</f>
        <v/>
      </c>
      <c r="H338" s="35"/>
      <c r="K338" s="35" t="str">
        <f>IF(A338="","",SUMIF(PAGO!C:C,A338,PAGO!H:H))</f>
        <v/>
      </c>
      <c r="L338" s="35" t="str">
        <f t="shared" si="5"/>
        <v/>
      </c>
    </row>
    <row r="339" spans="2:12" x14ac:dyDescent="0.3">
      <c r="B339" s="36"/>
      <c r="D339" t="str">
        <f>IF(C339="","",IFERROR(VLOOKUP(C339,RP!A:E,5,0),""))</f>
        <v/>
      </c>
      <c r="E339" t="str">
        <f>IF(C339="","",IFERROR(VLOOKUP(C339,RP!A:F,6,0),""))</f>
        <v/>
      </c>
      <c r="F339" t="str">
        <f>IF(C339="","",IFERROR(VLOOKUP(C339,RP!A:G,7,0),""))</f>
        <v/>
      </c>
      <c r="G339" t="str">
        <f>IF(C339="","",IFERROR(VLOOKUP(C339,RP!A:H,8,0),""))</f>
        <v/>
      </c>
      <c r="H339" s="35"/>
      <c r="K339" s="35" t="str">
        <f>IF(A339="","",SUMIF(PAGO!C:C,A339,PAGO!H:H))</f>
        <v/>
      </c>
      <c r="L339" s="35" t="str">
        <f t="shared" si="5"/>
        <v/>
      </c>
    </row>
    <row r="340" spans="2:12" x14ac:dyDescent="0.3">
      <c r="B340" s="36"/>
      <c r="D340" t="str">
        <f>IF(C340="","",IFERROR(VLOOKUP(C340,RP!A:E,5,0),""))</f>
        <v/>
      </c>
      <c r="E340" t="str">
        <f>IF(C340="","",IFERROR(VLOOKUP(C340,RP!A:F,6,0),""))</f>
        <v/>
      </c>
      <c r="F340" t="str">
        <f>IF(C340="","",IFERROR(VLOOKUP(C340,RP!A:G,7,0),""))</f>
        <v/>
      </c>
      <c r="G340" t="str">
        <f>IF(C340="","",IFERROR(VLOOKUP(C340,RP!A:H,8,0),""))</f>
        <v/>
      </c>
      <c r="H340" s="35"/>
      <c r="K340" s="35" t="str">
        <f>IF(A340="","",SUMIF(PAGO!C:C,A340,PAGO!H:H))</f>
        <v/>
      </c>
      <c r="L340" s="35" t="str">
        <f t="shared" si="5"/>
        <v/>
      </c>
    </row>
    <row r="341" spans="2:12" x14ac:dyDescent="0.3">
      <c r="B341" s="36"/>
      <c r="D341" t="str">
        <f>IF(C341="","",IFERROR(VLOOKUP(C341,RP!A:E,5,0),""))</f>
        <v/>
      </c>
      <c r="E341" t="str">
        <f>IF(C341="","",IFERROR(VLOOKUP(C341,RP!A:F,6,0),""))</f>
        <v/>
      </c>
      <c r="F341" t="str">
        <f>IF(C341="","",IFERROR(VLOOKUP(C341,RP!A:G,7,0),""))</f>
        <v/>
      </c>
      <c r="G341" t="str">
        <f>IF(C341="","",IFERROR(VLOOKUP(C341,RP!A:H,8,0),""))</f>
        <v/>
      </c>
      <c r="H341" s="35"/>
      <c r="K341" s="35" t="str">
        <f>IF(A341="","",SUMIF(PAGO!C:C,A341,PAGO!H:H))</f>
        <v/>
      </c>
      <c r="L341" s="35" t="str">
        <f t="shared" si="5"/>
        <v/>
      </c>
    </row>
    <row r="342" spans="2:12" x14ac:dyDescent="0.3">
      <c r="B342" s="36"/>
      <c r="D342" t="str">
        <f>IF(C342="","",IFERROR(VLOOKUP(C342,RP!A:E,5,0),""))</f>
        <v/>
      </c>
      <c r="E342" t="str">
        <f>IF(C342="","",IFERROR(VLOOKUP(C342,RP!A:F,6,0),""))</f>
        <v/>
      </c>
      <c r="F342" t="str">
        <f>IF(C342="","",IFERROR(VLOOKUP(C342,RP!A:G,7,0),""))</f>
        <v/>
      </c>
      <c r="G342" t="str">
        <f>IF(C342="","",IFERROR(VLOOKUP(C342,RP!A:H,8,0),""))</f>
        <v/>
      </c>
      <c r="H342" s="35"/>
      <c r="K342" s="35" t="str">
        <f>IF(A342="","",SUMIF(PAGO!C:C,A342,PAGO!H:H))</f>
        <v/>
      </c>
      <c r="L342" s="35" t="str">
        <f t="shared" si="5"/>
        <v/>
      </c>
    </row>
    <row r="343" spans="2:12" x14ac:dyDescent="0.3">
      <c r="B343" s="36"/>
      <c r="D343" t="str">
        <f>IF(C343="","",IFERROR(VLOOKUP(C343,RP!A:E,5,0),""))</f>
        <v/>
      </c>
      <c r="E343" t="str">
        <f>IF(C343="","",IFERROR(VLOOKUP(C343,RP!A:F,6,0),""))</f>
        <v/>
      </c>
      <c r="F343" t="str">
        <f>IF(C343="","",IFERROR(VLOOKUP(C343,RP!A:G,7,0),""))</f>
        <v/>
      </c>
      <c r="G343" t="str">
        <f>IF(C343="","",IFERROR(VLOOKUP(C343,RP!A:H,8,0),""))</f>
        <v/>
      </c>
      <c r="H343" s="35"/>
      <c r="K343" s="35" t="str">
        <f>IF(A343="","",SUMIF(PAGO!C:C,A343,PAGO!H:H))</f>
        <v/>
      </c>
      <c r="L343" s="35" t="str">
        <f t="shared" si="5"/>
        <v/>
      </c>
    </row>
    <row r="344" spans="2:12" x14ac:dyDescent="0.3">
      <c r="B344" s="36"/>
      <c r="D344" t="str">
        <f>IF(C344="","",IFERROR(VLOOKUP(C344,RP!A:E,5,0),""))</f>
        <v/>
      </c>
      <c r="E344" t="str">
        <f>IF(C344="","",IFERROR(VLOOKUP(C344,RP!A:F,6,0),""))</f>
        <v/>
      </c>
      <c r="F344" t="str">
        <f>IF(C344="","",IFERROR(VLOOKUP(C344,RP!A:G,7,0),""))</f>
        <v/>
      </c>
      <c r="G344" t="str">
        <f>IF(C344="","",IFERROR(VLOOKUP(C344,RP!A:H,8,0),""))</f>
        <v/>
      </c>
      <c r="H344" s="35"/>
      <c r="K344" s="35" t="str">
        <f>IF(A344="","",SUMIF(PAGO!C:C,A344,PAGO!H:H))</f>
        <v/>
      </c>
      <c r="L344" s="35" t="str">
        <f t="shared" si="5"/>
        <v/>
      </c>
    </row>
    <row r="345" spans="2:12" x14ac:dyDescent="0.3">
      <c r="B345" s="36"/>
      <c r="D345" t="str">
        <f>IF(C345="","",IFERROR(VLOOKUP(C345,RP!A:E,5,0),""))</f>
        <v/>
      </c>
      <c r="E345" t="str">
        <f>IF(C345="","",IFERROR(VLOOKUP(C345,RP!A:F,6,0),""))</f>
        <v/>
      </c>
      <c r="F345" t="str">
        <f>IF(C345="","",IFERROR(VLOOKUP(C345,RP!A:G,7,0),""))</f>
        <v/>
      </c>
      <c r="G345" t="str">
        <f>IF(C345="","",IFERROR(VLOOKUP(C345,RP!A:H,8,0),""))</f>
        <v/>
      </c>
      <c r="H345" s="35"/>
      <c r="K345" s="35" t="str">
        <f>IF(A345="","",SUMIF(PAGO!C:C,A345,PAGO!H:H))</f>
        <v/>
      </c>
      <c r="L345" s="35" t="str">
        <f t="shared" si="5"/>
        <v/>
      </c>
    </row>
    <row r="346" spans="2:12" x14ac:dyDescent="0.3">
      <c r="B346" s="36"/>
      <c r="D346" t="str">
        <f>IF(C346="","",IFERROR(VLOOKUP(C346,RP!A:E,5,0),""))</f>
        <v/>
      </c>
      <c r="E346" t="str">
        <f>IF(C346="","",IFERROR(VLOOKUP(C346,RP!A:F,6,0),""))</f>
        <v/>
      </c>
      <c r="F346" t="str">
        <f>IF(C346="","",IFERROR(VLOOKUP(C346,RP!A:G,7,0),""))</f>
        <v/>
      </c>
      <c r="G346" t="str">
        <f>IF(C346="","",IFERROR(VLOOKUP(C346,RP!A:H,8,0),""))</f>
        <v/>
      </c>
      <c r="H346" s="35"/>
      <c r="K346" s="35" t="str">
        <f>IF(A346="","",SUMIF(PAGO!C:C,A346,PAGO!H:H))</f>
        <v/>
      </c>
      <c r="L346" s="35" t="str">
        <f t="shared" si="5"/>
        <v/>
      </c>
    </row>
    <row r="347" spans="2:12" x14ac:dyDescent="0.3">
      <c r="B347" s="36"/>
      <c r="D347" t="str">
        <f>IF(C347="","",IFERROR(VLOOKUP(C347,RP!A:E,5,0),""))</f>
        <v/>
      </c>
      <c r="E347" t="str">
        <f>IF(C347="","",IFERROR(VLOOKUP(C347,RP!A:F,6,0),""))</f>
        <v/>
      </c>
      <c r="F347" t="str">
        <f>IF(C347="","",IFERROR(VLOOKUP(C347,RP!A:G,7,0),""))</f>
        <v/>
      </c>
      <c r="G347" t="str">
        <f>IF(C347="","",IFERROR(VLOOKUP(C347,RP!A:H,8,0),""))</f>
        <v/>
      </c>
      <c r="H347" s="35"/>
      <c r="K347" s="35" t="str">
        <f>IF(A347="","",SUMIF(PAGO!C:C,A347,PAGO!H:H))</f>
        <v/>
      </c>
      <c r="L347" s="35" t="str">
        <f t="shared" si="5"/>
        <v/>
      </c>
    </row>
    <row r="348" spans="2:12" x14ac:dyDescent="0.3">
      <c r="B348" s="36"/>
      <c r="D348" t="str">
        <f>IF(C348="","",IFERROR(VLOOKUP(C348,RP!A:E,5,0),""))</f>
        <v/>
      </c>
      <c r="E348" t="str">
        <f>IF(C348="","",IFERROR(VLOOKUP(C348,RP!A:F,6,0),""))</f>
        <v/>
      </c>
      <c r="F348" t="str">
        <f>IF(C348="","",IFERROR(VLOOKUP(C348,RP!A:G,7,0),""))</f>
        <v/>
      </c>
      <c r="G348" t="str">
        <f>IF(C348="","",IFERROR(VLOOKUP(C348,RP!A:H,8,0),""))</f>
        <v/>
      </c>
      <c r="H348" s="35"/>
      <c r="K348" s="35" t="str">
        <f>IF(A348="","",SUMIF(PAGO!C:C,A348,PAGO!H:H))</f>
        <v/>
      </c>
      <c r="L348" s="35" t="str">
        <f t="shared" si="5"/>
        <v/>
      </c>
    </row>
    <row r="349" spans="2:12" x14ac:dyDescent="0.3">
      <c r="B349" s="36"/>
      <c r="D349" t="str">
        <f>IF(C349="","",IFERROR(VLOOKUP(C349,RP!A:E,5,0),""))</f>
        <v/>
      </c>
      <c r="E349" t="str">
        <f>IF(C349="","",IFERROR(VLOOKUP(C349,RP!A:F,6,0),""))</f>
        <v/>
      </c>
      <c r="F349" t="str">
        <f>IF(C349="","",IFERROR(VLOOKUP(C349,RP!A:G,7,0),""))</f>
        <v/>
      </c>
      <c r="G349" t="str">
        <f>IF(C349="","",IFERROR(VLOOKUP(C349,RP!A:H,8,0),""))</f>
        <v/>
      </c>
      <c r="H349" s="35"/>
      <c r="K349" s="35" t="str">
        <f>IF(A349="","",SUMIF(PAGO!C:C,A349,PAGO!H:H))</f>
        <v/>
      </c>
      <c r="L349" s="35" t="str">
        <f t="shared" si="5"/>
        <v/>
      </c>
    </row>
    <row r="350" spans="2:12" x14ac:dyDescent="0.3">
      <c r="B350" s="36"/>
      <c r="D350" t="str">
        <f>IF(C350="","",IFERROR(VLOOKUP(C350,RP!A:E,5,0),""))</f>
        <v/>
      </c>
      <c r="E350" t="str">
        <f>IF(C350="","",IFERROR(VLOOKUP(C350,RP!A:F,6,0),""))</f>
        <v/>
      </c>
      <c r="F350" t="str">
        <f>IF(C350="","",IFERROR(VLOOKUP(C350,RP!A:G,7,0),""))</f>
        <v/>
      </c>
      <c r="G350" t="str">
        <f>IF(C350="","",IFERROR(VLOOKUP(C350,RP!A:H,8,0),""))</f>
        <v/>
      </c>
      <c r="H350" s="35"/>
      <c r="K350" s="35" t="str">
        <f>IF(A350="","",SUMIF(PAGO!C:C,A350,PAGO!H:H))</f>
        <v/>
      </c>
      <c r="L350" s="35" t="str">
        <f t="shared" si="5"/>
        <v/>
      </c>
    </row>
    <row r="351" spans="2:12" x14ac:dyDescent="0.3">
      <c r="B351" s="36"/>
      <c r="D351" t="str">
        <f>IF(C351="","",IFERROR(VLOOKUP(C351,RP!A:E,5,0),""))</f>
        <v/>
      </c>
      <c r="E351" t="str">
        <f>IF(C351="","",IFERROR(VLOOKUP(C351,RP!A:F,6,0),""))</f>
        <v/>
      </c>
      <c r="F351" t="str">
        <f>IF(C351="","",IFERROR(VLOOKUP(C351,RP!A:G,7,0),""))</f>
        <v/>
      </c>
      <c r="G351" t="str">
        <f>IF(C351="","",IFERROR(VLOOKUP(C351,RP!A:H,8,0),""))</f>
        <v/>
      </c>
      <c r="H351" s="35"/>
      <c r="K351" s="35" t="str">
        <f>IF(A351="","",SUMIF(PAGO!C:C,A351,PAGO!H:H))</f>
        <v/>
      </c>
      <c r="L351" s="35" t="str">
        <f t="shared" si="5"/>
        <v/>
      </c>
    </row>
    <row r="352" spans="2:12" x14ac:dyDescent="0.3">
      <c r="B352" s="36"/>
      <c r="D352" t="str">
        <f>IF(C352="","",IFERROR(VLOOKUP(C352,RP!A:E,5,0),""))</f>
        <v/>
      </c>
      <c r="E352" t="str">
        <f>IF(C352="","",IFERROR(VLOOKUP(C352,RP!A:F,6,0),""))</f>
        <v/>
      </c>
      <c r="F352" t="str">
        <f>IF(C352="","",IFERROR(VLOOKUP(C352,RP!A:G,7,0),""))</f>
        <v/>
      </c>
      <c r="G352" t="str">
        <f>IF(C352="","",IFERROR(VLOOKUP(C352,RP!A:H,8,0),""))</f>
        <v/>
      </c>
      <c r="H352" s="35"/>
      <c r="K352" s="35" t="str">
        <f>IF(A352="","",SUMIF(PAGO!C:C,A352,PAGO!H:H))</f>
        <v/>
      </c>
      <c r="L352" s="35" t="str">
        <f t="shared" si="5"/>
        <v/>
      </c>
    </row>
    <row r="353" spans="2:12" x14ac:dyDescent="0.3">
      <c r="B353" s="36"/>
      <c r="D353" t="str">
        <f>IF(C353="","",IFERROR(VLOOKUP(C353,RP!A:E,5,0),""))</f>
        <v/>
      </c>
      <c r="E353" t="str">
        <f>IF(C353="","",IFERROR(VLOOKUP(C353,RP!A:F,6,0),""))</f>
        <v/>
      </c>
      <c r="F353" t="str">
        <f>IF(C353="","",IFERROR(VLOOKUP(C353,RP!A:G,7,0),""))</f>
        <v/>
      </c>
      <c r="G353" t="str">
        <f>IF(C353="","",IFERROR(VLOOKUP(C353,RP!A:H,8,0),""))</f>
        <v/>
      </c>
      <c r="H353" s="35"/>
      <c r="K353" s="35" t="str">
        <f>IF(A353="","",SUMIF(PAGO!C:C,A353,PAGO!H:H))</f>
        <v/>
      </c>
      <c r="L353" s="35" t="str">
        <f t="shared" si="5"/>
        <v/>
      </c>
    </row>
    <row r="354" spans="2:12" x14ac:dyDescent="0.3">
      <c r="B354" s="36"/>
      <c r="D354" t="str">
        <f>IF(C354="","",IFERROR(VLOOKUP(C354,RP!A:E,5,0),""))</f>
        <v/>
      </c>
      <c r="E354" t="str">
        <f>IF(C354="","",IFERROR(VLOOKUP(C354,RP!A:F,6,0),""))</f>
        <v/>
      </c>
      <c r="F354" t="str">
        <f>IF(C354="","",IFERROR(VLOOKUP(C354,RP!A:G,7,0),""))</f>
        <v/>
      </c>
      <c r="G354" t="str">
        <f>IF(C354="","",IFERROR(VLOOKUP(C354,RP!A:H,8,0),""))</f>
        <v/>
      </c>
      <c r="H354" s="35"/>
      <c r="K354" s="35" t="str">
        <f>IF(A354="","",SUMIF(PAGO!C:C,A354,PAGO!H:H))</f>
        <v/>
      </c>
      <c r="L354" s="35" t="str">
        <f t="shared" si="5"/>
        <v/>
      </c>
    </row>
    <row r="355" spans="2:12" x14ac:dyDescent="0.3">
      <c r="B355" s="36"/>
      <c r="D355" t="str">
        <f>IF(C355="","",IFERROR(VLOOKUP(C355,RP!A:E,5,0),""))</f>
        <v/>
      </c>
      <c r="E355" t="str">
        <f>IF(C355="","",IFERROR(VLOOKUP(C355,RP!A:F,6,0),""))</f>
        <v/>
      </c>
      <c r="F355" t="str">
        <f>IF(C355="","",IFERROR(VLOOKUP(C355,RP!A:G,7,0),""))</f>
        <v/>
      </c>
      <c r="G355" t="str">
        <f>IF(C355="","",IFERROR(VLOOKUP(C355,RP!A:H,8,0),""))</f>
        <v/>
      </c>
      <c r="H355" s="35"/>
      <c r="K355" s="35" t="str">
        <f>IF(A355="","",SUMIF(PAGO!C:C,A355,PAGO!H:H))</f>
        <v/>
      </c>
      <c r="L355" s="35" t="str">
        <f t="shared" si="5"/>
        <v/>
      </c>
    </row>
    <row r="356" spans="2:12" x14ac:dyDescent="0.3">
      <c r="B356" s="36"/>
      <c r="D356" t="str">
        <f>IF(C356="","",IFERROR(VLOOKUP(C356,RP!A:E,5,0),""))</f>
        <v/>
      </c>
      <c r="E356" t="str">
        <f>IF(C356="","",IFERROR(VLOOKUP(C356,RP!A:F,6,0),""))</f>
        <v/>
      </c>
      <c r="F356" t="str">
        <f>IF(C356="","",IFERROR(VLOOKUP(C356,RP!A:G,7,0),""))</f>
        <v/>
      </c>
      <c r="G356" t="str">
        <f>IF(C356="","",IFERROR(VLOOKUP(C356,RP!A:H,8,0),""))</f>
        <v/>
      </c>
      <c r="H356" s="35"/>
      <c r="K356" s="35" t="str">
        <f>IF(A356="","",SUMIF(PAGO!C:C,A356,PAGO!H:H))</f>
        <v/>
      </c>
      <c r="L356" s="35" t="str">
        <f t="shared" si="5"/>
        <v/>
      </c>
    </row>
    <row r="357" spans="2:12" x14ac:dyDescent="0.3">
      <c r="B357" s="36"/>
      <c r="D357" t="str">
        <f>IF(C357="","",IFERROR(VLOOKUP(C357,RP!A:E,5,0),""))</f>
        <v/>
      </c>
      <c r="E357" t="str">
        <f>IF(C357="","",IFERROR(VLOOKUP(C357,RP!A:F,6,0),""))</f>
        <v/>
      </c>
      <c r="F357" t="str">
        <f>IF(C357="","",IFERROR(VLOOKUP(C357,RP!A:G,7,0),""))</f>
        <v/>
      </c>
      <c r="G357" t="str">
        <f>IF(C357="","",IFERROR(VLOOKUP(C357,RP!A:H,8,0),""))</f>
        <v/>
      </c>
      <c r="H357" s="35"/>
      <c r="K357" s="35" t="str">
        <f>IF(A357="","",SUMIF(PAGO!C:C,A357,PAGO!H:H))</f>
        <v/>
      </c>
      <c r="L357" s="35" t="str">
        <f t="shared" si="5"/>
        <v/>
      </c>
    </row>
    <row r="358" spans="2:12" x14ac:dyDescent="0.3">
      <c r="B358" s="36"/>
      <c r="D358" t="str">
        <f>IF(C358="","",IFERROR(VLOOKUP(C358,RP!A:E,5,0),""))</f>
        <v/>
      </c>
      <c r="E358" t="str">
        <f>IF(C358="","",IFERROR(VLOOKUP(C358,RP!A:F,6,0),""))</f>
        <v/>
      </c>
      <c r="F358" t="str">
        <f>IF(C358="","",IFERROR(VLOOKUP(C358,RP!A:G,7,0),""))</f>
        <v/>
      </c>
      <c r="G358" t="str">
        <f>IF(C358="","",IFERROR(VLOOKUP(C358,RP!A:H,8,0),""))</f>
        <v/>
      </c>
      <c r="H358" s="35"/>
      <c r="K358" s="35" t="str">
        <f>IF(A358="","",SUMIF(PAGO!C:C,A358,PAGO!H:H))</f>
        <v/>
      </c>
      <c r="L358" s="35" t="str">
        <f t="shared" si="5"/>
        <v/>
      </c>
    </row>
    <row r="359" spans="2:12" x14ac:dyDescent="0.3">
      <c r="B359" s="36"/>
      <c r="D359" t="str">
        <f>IF(C359="","",IFERROR(VLOOKUP(C359,RP!A:E,5,0),""))</f>
        <v/>
      </c>
      <c r="E359" t="str">
        <f>IF(C359="","",IFERROR(VLOOKUP(C359,RP!A:F,6,0),""))</f>
        <v/>
      </c>
      <c r="F359" t="str">
        <f>IF(C359="","",IFERROR(VLOOKUP(C359,RP!A:G,7,0),""))</f>
        <v/>
      </c>
      <c r="G359" t="str">
        <f>IF(C359="","",IFERROR(VLOOKUP(C359,RP!A:H,8,0),""))</f>
        <v/>
      </c>
      <c r="H359" s="35"/>
      <c r="K359" s="35" t="str">
        <f>IF(A359="","",SUMIF(PAGO!C:C,A359,PAGO!H:H))</f>
        <v/>
      </c>
      <c r="L359" s="35" t="str">
        <f t="shared" si="5"/>
        <v/>
      </c>
    </row>
    <row r="360" spans="2:12" x14ac:dyDescent="0.3">
      <c r="B360" s="36"/>
      <c r="D360" t="str">
        <f>IF(C360="","",IFERROR(VLOOKUP(C360,RP!A:E,5,0),""))</f>
        <v/>
      </c>
      <c r="E360" t="str">
        <f>IF(C360="","",IFERROR(VLOOKUP(C360,RP!A:F,6,0),""))</f>
        <v/>
      </c>
      <c r="F360" t="str">
        <f>IF(C360="","",IFERROR(VLOOKUP(C360,RP!A:G,7,0),""))</f>
        <v/>
      </c>
      <c r="G360" t="str">
        <f>IF(C360="","",IFERROR(VLOOKUP(C360,RP!A:H,8,0),""))</f>
        <v/>
      </c>
      <c r="H360" s="35"/>
      <c r="K360" s="35" t="str">
        <f>IF(A360="","",SUMIF(PAGO!C:C,A360,PAGO!H:H))</f>
        <v/>
      </c>
      <c r="L360" s="35" t="str">
        <f t="shared" si="5"/>
        <v/>
      </c>
    </row>
    <row r="361" spans="2:12" x14ac:dyDescent="0.3">
      <c r="B361" s="36"/>
      <c r="D361" t="str">
        <f>IF(C361="","",IFERROR(VLOOKUP(C361,RP!A:E,5,0),""))</f>
        <v/>
      </c>
      <c r="E361" t="str">
        <f>IF(C361="","",IFERROR(VLOOKUP(C361,RP!A:F,6,0),""))</f>
        <v/>
      </c>
      <c r="F361" t="str">
        <f>IF(C361="","",IFERROR(VLOOKUP(C361,RP!A:G,7,0),""))</f>
        <v/>
      </c>
      <c r="G361" t="str">
        <f>IF(C361="","",IFERROR(VLOOKUP(C361,RP!A:H,8,0),""))</f>
        <v/>
      </c>
      <c r="H361" s="35"/>
      <c r="K361" s="35" t="str">
        <f>IF(A361="","",SUMIF(PAGO!C:C,A361,PAGO!H:H))</f>
        <v/>
      </c>
      <c r="L361" s="35" t="str">
        <f t="shared" si="5"/>
        <v/>
      </c>
    </row>
    <row r="362" spans="2:12" x14ac:dyDescent="0.3">
      <c r="B362" s="36"/>
      <c r="D362" t="str">
        <f>IF(C362="","",IFERROR(VLOOKUP(C362,RP!A:E,5,0),""))</f>
        <v/>
      </c>
      <c r="E362" t="str">
        <f>IF(C362="","",IFERROR(VLOOKUP(C362,RP!A:F,6,0),""))</f>
        <v/>
      </c>
      <c r="F362" t="str">
        <f>IF(C362="","",IFERROR(VLOOKUP(C362,RP!A:G,7,0),""))</f>
        <v/>
      </c>
      <c r="G362" t="str">
        <f>IF(C362="","",IFERROR(VLOOKUP(C362,RP!A:H,8,0),""))</f>
        <v/>
      </c>
      <c r="H362" s="35"/>
      <c r="K362" s="35" t="str">
        <f>IF(A362="","",SUMIF(PAGO!C:C,A362,PAGO!H:H))</f>
        <v/>
      </c>
      <c r="L362" s="35" t="str">
        <f t="shared" si="5"/>
        <v/>
      </c>
    </row>
    <row r="363" spans="2:12" x14ac:dyDescent="0.3">
      <c r="B363" s="36"/>
      <c r="D363" t="str">
        <f>IF(C363="","",IFERROR(VLOOKUP(C363,RP!A:E,5,0),""))</f>
        <v/>
      </c>
      <c r="E363" t="str">
        <f>IF(C363="","",IFERROR(VLOOKUP(C363,RP!A:F,6,0),""))</f>
        <v/>
      </c>
      <c r="F363" t="str">
        <f>IF(C363="","",IFERROR(VLOOKUP(C363,RP!A:G,7,0),""))</f>
        <v/>
      </c>
      <c r="G363" t="str">
        <f>IF(C363="","",IFERROR(VLOOKUP(C363,RP!A:H,8,0),""))</f>
        <v/>
      </c>
      <c r="H363" s="35"/>
      <c r="K363" s="35" t="str">
        <f>IF(A363="","",SUMIF(PAGO!C:C,A363,PAGO!H:H))</f>
        <v/>
      </c>
      <c r="L363" s="35" t="str">
        <f t="shared" si="5"/>
        <v/>
      </c>
    </row>
    <row r="364" spans="2:12" x14ac:dyDescent="0.3">
      <c r="B364" s="36"/>
      <c r="D364" t="str">
        <f>IF(C364="","",IFERROR(VLOOKUP(C364,RP!A:E,5,0),""))</f>
        <v/>
      </c>
      <c r="E364" t="str">
        <f>IF(C364="","",IFERROR(VLOOKUP(C364,RP!A:F,6,0),""))</f>
        <v/>
      </c>
      <c r="F364" t="str">
        <f>IF(C364="","",IFERROR(VLOOKUP(C364,RP!A:G,7,0),""))</f>
        <v/>
      </c>
      <c r="G364" t="str">
        <f>IF(C364="","",IFERROR(VLOOKUP(C364,RP!A:H,8,0),""))</f>
        <v/>
      </c>
      <c r="H364" s="35"/>
      <c r="K364" s="35" t="str">
        <f>IF(A364="","",SUMIF(PAGO!C:C,A364,PAGO!H:H))</f>
        <v/>
      </c>
      <c r="L364" s="35" t="str">
        <f t="shared" si="5"/>
        <v/>
      </c>
    </row>
    <row r="365" spans="2:12" x14ac:dyDescent="0.3">
      <c r="B365" s="36"/>
      <c r="D365" t="str">
        <f>IF(C365="","",IFERROR(VLOOKUP(C365,RP!A:E,5,0),""))</f>
        <v/>
      </c>
      <c r="E365" t="str">
        <f>IF(C365="","",IFERROR(VLOOKUP(C365,RP!A:F,6,0),""))</f>
        <v/>
      </c>
      <c r="F365" t="str">
        <f>IF(C365="","",IFERROR(VLOOKUP(C365,RP!A:G,7,0),""))</f>
        <v/>
      </c>
      <c r="G365" t="str">
        <f>IF(C365="","",IFERROR(VLOOKUP(C365,RP!A:H,8,0),""))</f>
        <v/>
      </c>
      <c r="H365" s="35"/>
      <c r="K365" s="35" t="str">
        <f>IF(A365="","",SUMIF(PAGO!C:C,A365,PAGO!H:H))</f>
        <v/>
      </c>
      <c r="L365" s="35" t="str">
        <f t="shared" si="5"/>
        <v/>
      </c>
    </row>
    <row r="366" spans="2:12" x14ac:dyDescent="0.3">
      <c r="B366" s="36"/>
      <c r="D366" t="str">
        <f>IF(C366="","",IFERROR(VLOOKUP(C366,RP!A:E,5,0),""))</f>
        <v/>
      </c>
      <c r="E366" t="str">
        <f>IF(C366="","",IFERROR(VLOOKUP(C366,RP!A:F,6,0),""))</f>
        <v/>
      </c>
      <c r="F366" t="str">
        <f>IF(C366="","",IFERROR(VLOOKUP(C366,RP!A:G,7,0),""))</f>
        <v/>
      </c>
      <c r="G366" t="str">
        <f>IF(C366="","",IFERROR(VLOOKUP(C366,RP!A:H,8,0),""))</f>
        <v/>
      </c>
      <c r="H366" s="35"/>
      <c r="K366" s="35" t="str">
        <f>IF(A366="","",SUMIF(PAGO!C:C,A366,PAGO!H:H))</f>
        <v/>
      </c>
      <c r="L366" s="35" t="str">
        <f t="shared" si="5"/>
        <v/>
      </c>
    </row>
    <row r="367" spans="2:12" x14ac:dyDescent="0.3">
      <c r="B367" s="36"/>
      <c r="D367" t="str">
        <f>IF(C367="","",IFERROR(VLOOKUP(C367,RP!A:E,5,0),""))</f>
        <v/>
      </c>
      <c r="E367" t="str">
        <f>IF(C367="","",IFERROR(VLOOKUP(C367,RP!A:F,6,0),""))</f>
        <v/>
      </c>
      <c r="F367" t="str">
        <f>IF(C367="","",IFERROR(VLOOKUP(C367,RP!A:G,7,0),""))</f>
        <v/>
      </c>
      <c r="G367" t="str">
        <f>IF(C367="","",IFERROR(VLOOKUP(C367,RP!A:H,8,0),""))</f>
        <v/>
      </c>
      <c r="H367" s="35"/>
      <c r="K367" s="35" t="str">
        <f>IF(A367="","",SUMIF(PAGO!C:C,A367,PAGO!H:H))</f>
        <v/>
      </c>
      <c r="L367" s="35" t="str">
        <f t="shared" si="5"/>
        <v/>
      </c>
    </row>
    <row r="368" spans="2:12" x14ac:dyDescent="0.3">
      <c r="B368" s="36"/>
      <c r="D368" t="str">
        <f>IF(C368="","",IFERROR(VLOOKUP(C368,RP!A:E,5,0),""))</f>
        <v/>
      </c>
      <c r="E368" t="str">
        <f>IF(C368="","",IFERROR(VLOOKUP(C368,RP!A:F,6,0),""))</f>
        <v/>
      </c>
      <c r="F368" t="str">
        <f>IF(C368="","",IFERROR(VLOOKUP(C368,RP!A:G,7,0),""))</f>
        <v/>
      </c>
      <c r="G368" t="str">
        <f>IF(C368="","",IFERROR(VLOOKUP(C368,RP!A:H,8,0),""))</f>
        <v/>
      </c>
      <c r="H368" s="35"/>
      <c r="K368" s="35" t="str">
        <f>IF(A368="","",SUMIF(PAGO!C:C,A368,PAGO!H:H))</f>
        <v/>
      </c>
      <c r="L368" s="35" t="str">
        <f t="shared" si="5"/>
        <v/>
      </c>
    </row>
    <row r="369" spans="2:12" x14ac:dyDescent="0.3">
      <c r="B369" s="36"/>
      <c r="D369" t="str">
        <f>IF(C369="","",IFERROR(VLOOKUP(C369,RP!A:E,5,0),""))</f>
        <v/>
      </c>
      <c r="E369" t="str">
        <f>IF(C369="","",IFERROR(VLOOKUP(C369,RP!A:F,6,0),""))</f>
        <v/>
      </c>
      <c r="F369" t="str">
        <f>IF(C369="","",IFERROR(VLOOKUP(C369,RP!A:G,7,0),""))</f>
        <v/>
      </c>
      <c r="G369" t="str">
        <f>IF(C369="","",IFERROR(VLOOKUP(C369,RP!A:H,8,0),""))</f>
        <v/>
      </c>
      <c r="H369" s="35"/>
      <c r="K369" s="35" t="str">
        <f>IF(A369="","",SUMIF(PAGO!C:C,A369,PAGO!H:H))</f>
        <v/>
      </c>
      <c r="L369" s="35" t="str">
        <f t="shared" si="5"/>
        <v/>
      </c>
    </row>
    <row r="370" spans="2:12" x14ac:dyDescent="0.3">
      <c r="B370" s="36"/>
      <c r="D370" t="str">
        <f>IF(C370="","",IFERROR(VLOOKUP(C370,RP!A:E,5,0),""))</f>
        <v/>
      </c>
      <c r="E370" t="str">
        <f>IF(C370="","",IFERROR(VLOOKUP(C370,RP!A:F,6,0),""))</f>
        <v/>
      </c>
      <c r="F370" t="str">
        <f>IF(C370="","",IFERROR(VLOOKUP(C370,RP!A:G,7,0),""))</f>
        <v/>
      </c>
      <c r="G370" t="str">
        <f>IF(C370="","",IFERROR(VLOOKUP(C370,RP!A:H,8,0),""))</f>
        <v/>
      </c>
      <c r="H370" s="35"/>
      <c r="K370" s="35" t="str">
        <f>IF(A370="","",SUMIF(PAGO!C:C,A370,PAGO!H:H))</f>
        <v/>
      </c>
      <c r="L370" s="35" t="str">
        <f t="shared" si="5"/>
        <v/>
      </c>
    </row>
    <row r="371" spans="2:12" x14ac:dyDescent="0.3">
      <c r="B371" s="36"/>
      <c r="D371" t="str">
        <f>IF(C371="","",IFERROR(VLOOKUP(C371,RP!A:E,5,0),""))</f>
        <v/>
      </c>
      <c r="E371" t="str">
        <f>IF(C371="","",IFERROR(VLOOKUP(C371,RP!A:F,6,0),""))</f>
        <v/>
      </c>
      <c r="F371" t="str">
        <f>IF(C371="","",IFERROR(VLOOKUP(C371,RP!A:G,7,0),""))</f>
        <v/>
      </c>
      <c r="G371" t="str">
        <f>IF(C371="","",IFERROR(VLOOKUP(C371,RP!A:H,8,0),""))</f>
        <v/>
      </c>
      <c r="H371" s="35"/>
      <c r="K371" s="35" t="str">
        <f>IF(A371="","",SUMIF(PAGO!C:C,A371,PAGO!H:H))</f>
        <v/>
      </c>
      <c r="L371" s="35" t="str">
        <f t="shared" si="5"/>
        <v/>
      </c>
    </row>
    <row r="372" spans="2:12" x14ac:dyDescent="0.3">
      <c r="B372" s="36"/>
      <c r="D372" t="str">
        <f>IF(C372="","",IFERROR(VLOOKUP(C372,RP!A:E,5,0),""))</f>
        <v/>
      </c>
      <c r="E372" t="str">
        <f>IF(C372="","",IFERROR(VLOOKUP(C372,RP!A:F,6,0),""))</f>
        <v/>
      </c>
      <c r="F372" t="str">
        <f>IF(C372="","",IFERROR(VLOOKUP(C372,RP!A:G,7,0),""))</f>
        <v/>
      </c>
      <c r="G372" t="str">
        <f>IF(C372="","",IFERROR(VLOOKUP(C372,RP!A:H,8,0),""))</f>
        <v/>
      </c>
      <c r="H372" s="35"/>
      <c r="K372" s="35" t="str">
        <f>IF(A372="","",SUMIF(PAGO!C:C,A372,PAGO!H:H))</f>
        <v/>
      </c>
      <c r="L372" s="35" t="str">
        <f t="shared" si="5"/>
        <v/>
      </c>
    </row>
    <row r="373" spans="2:12" x14ac:dyDescent="0.3">
      <c r="B373" s="36"/>
      <c r="D373" t="str">
        <f>IF(C373="","",IFERROR(VLOOKUP(C373,RP!A:E,5,0),""))</f>
        <v/>
      </c>
      <c r="E373" t="str">
        <f>IF(C373="","",IFERROR(VLOOKUP(C373,RP!A:F,6,0),""))</f>
        <v/>
      </c>
      <c r="F373" t="str">
        <f>IF(C373="","",IFERROR(VLOOKUP(C373,RP!A:G,7,0),""))</f>
        <v/>
      </c>
      <c r="G373" t="str">
        <f>IF(C373="","",IFERROR(VLOOKUP(C373,RP!A:H,8,0),""))</f>
        <v/>
      </c>
      <c r="H373" s="35"/>
      <c r="K373" s="35" t="str">
        <f>IF(A373="","",SUMIF(PAGO!C:C,A373,PAGO!H:H))</f>
        <v/>
      </c>
      <c r="L373" s="35" t="str">
        <f t="shared" si="5"/>
        <v/>
      </c>
    </row>
    <row r="374" spans="2:12" x14ac:dyDescent="0.3">
      <c r="B374" s="36"/>
      <c r="D374" t="str">
        <f>IF(C374="","",IFERROR(VLOOKUP(C374,RP!A:E,5,0),""))</f>
        <v/>
      </c>
      <c r="E374" t="str">
        <f>IF(C374="","",IFERROR(VLOOKUP(C374,RP!A:F,6,0),""))</f>
        <v/>
      </c>
      <c r="F374" t="str">
        <f>IF(C374="","",IFERROR(VLOOKUP(C374,RP!A:G,7,0),""))</f>
        <v/>
      </c>
      <c r="G374" t="str">
        <f>IF(C374="","",IFERROR(VLOOKUP(C374,RP!A:H,8,0),""))</f>
        <v/>
      </c>
      <c r="H374" s="35"/>
      <c r="K374" s="35" t="str">
        <f>IF(A374="","",SUMIF(PAGO!C:C,A374,PAGO!H:H))</f>
        <v/>
      </c>
      <c r="L374" s="35" t="str">
        <f t="shared" si="5"/>
        <v/>
      </c>
    </row>
    <row r="375" spans="2:12" x14ac:dyDescent="0.3">
      <c r="B375" s="36"/>
      <c r="D375" t="str">
        <f>IF(C375="","",IFERROR(VLOOKUP(C375,RP!A:E,5,0),""))</f>
        <v/>
      </c>
      <c r="E375" t="str">
        <f>IF(C375="","",IFERROR(VLOOKUP(C375,RP!A:F,6,0),""))</f>
        <v/>
      </c>
      <c r="F375" t="str">
        <f>IF(C375="","",IFERROR(VLOOKUP(C375,RP!A:G,7,0),""))</f>
        <v/>
      </c>
      <c r="G375" t="str">
        <f>IF(C375="","",IFERROR(VLOOKUP(C375,RP!A:H,8,0),""))</f>
        <v/>
      </c>
      <c r="H375" s="35"/>
      <c r="K375" s="35" t="str">
        <f>IF(A375="","",SUMIF(PAGO!C:C,A375,PAGO!H:H))</f>
        <v/>
      </c>
      <c r="L375" s="35" t="str">
        <f t="shared" si="5"/>
        <v/>
      </c>
    </row>
    <row r="376" spans="2:12" x14ac:dyDescent="0.3">
      <c r="B376" s="36"/>
      <c r="D376" t="str">
        <f>IF(C376="","",IFERROR(VLOOKUP(C376,RP!A:E,5,0),""))</f>
        <v/>
      </c>
      <c r="E376" t="str">
        <f>IF(C376="","",IFERROR(VLOOKUP(C376,RP!A:F,6,0),""))</f>
        <v/>
      </c>
      <c r="F376" t="str">
        <f>IF(C376="","",IFERROR(VLOOKUP(C376,RP!A:G,7,0),""))</f>
        <v/>
      </c>
      <c r="G376" t="str">
        <f>IF(C376="","",IFERROR(VLOOKUP(C376,RP!A:H,8,0),""))</f>
        <v/>
      </c>
      <c r="H376" s="35"/>
      <c r="K376" s="35" t="str">
        <f>IF(A376="","",SUMIF(PAGO!C:C,A376,PAGO!H:H))</f>
        <v/>
      </c>
      <c r="L376" s="35" t="str">
        <f t="shared" si="5"/>
        <v/>
      </c>
    </row>
    <row r="377" spans="2:12" x14ac:dyDescent="0.3">
      <c r="B377" s="36"/>
      <c r="D377" t="str">
        <f>IF(C377="","",IFERROR(VLOOKUP(C377,RP!A:E,5,0),""))</f>
        <v/>
      </c>
      <c r="E377" t="str">
        <f>IF(C377="","",IFERROR(VLOOKUP(C377,RP!A:F,6,0),""))</f>
        <v/>
      </c>
      <c r="F377" t="str">
        <f>IF(C377="","",IFERROR(VLOOKUP(C377,RP!A:G,7,0),""))</f>
        <v/>
      </c>
      <c r="G377" t="str">
        <f>IF(C377="","",IFERROR(VLOOKUP(C377,RP!A:H,8,0),""))</f>
        <v/>
      </c>
      <c r="H377" s="35"/>
      <c r="K377" s="35" t="str">
        <f>IF(A377="","",SUMIF(PAGO!C:C,A377,PAGO!H:H))</f>
        <v/>
      </c>
      <c r="L377" s="35" t="str">
        <f t="shared" si="5"/>
        <v/>
      </c>
    </row>
    <row r="378" spans="2:12" x14ac:dyDescent="0.3">
      <c r="B378" s="36"/>
      <c r="D378" t="str">
        <f>IF(C378="","",IFERROR(VLOOKUP(C378,RP!A:E,5,0),""))</f>
        <v/>
      </c>
      <c r="E378" t="str">
        <f>IF(C378="","",IFERROR(VLOOKUP(C378,RP!A:F,6,0),""))</f>
        <v/>
      </c>
      <c r="F378" t="str">
        <f>IF(C378="","",IFERROR(VLOOKUP(C378,RP!A:G,7,0),""))</f>
        <v/>
      </c>
      <c r="G378" t="str">
        <f>IF(C378="","",IFERROR(VLOOKUP(C378,RP!A:H,8,0),""))</f>
        <v/>
      </c>
      <c r="H378" s="35"/>
      <c r="K378" s="35" t="str">
        <f>IF(A378="","",SUMIF(PAGO!C:C,A378,PAGO!H:H))</f>
        <v/>
      </c>
      <c r="L378" s="35" t="str">
        <f t="shared" si="5"/>
        <v/>
      </c>
    </row>
    <row r="379" spans="2:12" x14ac:dyDescent="0.3">
      <c r="B379" s="36"/>
      <c r="D379" t="str">
        <f>IF(C379="","",IFERROR(VLOOKUP(C379,RP!A:E,5,0),""))</f>
        <v/>
      </c>
      <c r="E379" t="str">
        <f>IF(C379="","",IFERROR(VLOOKUP(C379,RP!A:F,6,0),""))</f>
        <v/>
      </c>
      <c r="F379" t="str">
        <f>IF(C379="","",IFERROR(VLOOKUP(C379,RP!A:G,7,0),""))</f>
        <v/>
      </c>
      <c r="G379" t="str">
        <f>IF(C379="","",IFERROR(VLOOKUP(C379,RP!A:H,8,0),""))</f>
        <v/>
      </c>
      <c r="H379" s="35"/>
      <c r="K379" s="35" t="str">
        <f>IF(A379="","",SUMIF(PAGO!C:C,A379,PAGO!H:H))</f>
        <v/>
      </c>
      <c r="L379" s="35" t="str">
        <f t="shared" si="5"/>
        <v/>
      </c>
    </row>
    <row r="380" spans="2:12" x14ac:dyDescent="0.3">
      <c r="B380" s="36"/>
      <c r="D380" t="str">
        <f>IF(C380="","",IFERROR(VLOOKUP(C380,RP!A:E,5,0),""))</f>
        <v/>
      </c>
      <c r="E380" t="str">
        <f>IF(C380="","",IFERROR(VLOOKUP(C380,RP!A:F,6,0),""))</f>
        <v/>
      </c>
      <c r="F380" t="str">
        <f>IF(C380="","",IFERROR(VLOOKUP(C380,RP!A:G,7,0),""))</f>
        <v/>
      </c>
      <c r="G380" t="str">
        <f>IF(C380="","",IFERROR(VLOOKUP(C380,RP!A:H,8,0),""))</f>
        <v/>
      </c>
      <c r="H380" s="35"/>
      <c r="K380" s="35" t="str">
        <f>IF(A380="","",SUMIF(PAGO!C:C,A380,PAGO!H:H))</f>
        <v/>
      </c>
      <c r="L380" s="35" t="str">
        <f t="shared" si="5"/>
        <v/>
      </c>
    </row>
    <row r="381" spans="2:12" x14ac:dyDescent="0.3">
      <c r="B381" s="36"/>
      <c r="D381" t="str">
        <f>IF(C381="","",IFERROR(VLOOKUP(C381,RP!A:E,5,0),""))</f>
        <v/>
      </c>
      <c r="E381" t="str">
        <f>IF(C381="","",IFERROR(VLOOKUP(C381,RP!A:F,6,0),""))</f>
        <v/>
      </c>
      <c r="F381" t="str">
        <f>IF(C381="","",IFERROR(VLOOKUP(C381,RP!A:G,7,0),""))</f>
        <v/>
      </c>
      <c r="G381" t="str">
        <f>IF(C381="","",IFERROR(VLOOKUP(C381,RP!A:H,8,0),""))</f>
        <v/>
      </c>
      <c r="H381" s="35"/>
      <c r="K381" s="35" t="str">
        <f>IF(A381="","",SUMIF(PAGO!C:C,A381,PAGO!H:H))</f>
        <v/>
      </c>
      <c r="L381" s="35" t="str">
        <f t="shared" si="5"/>
        <v/>
      </c>
    </row>
    <row r="382" spans="2:12" x14ac:dyDescent="0.3">
      <c r="B382" s="36"/>
      <c r="D382" t="str">
        <f>IF(C382="","",IFERROR(VLOOKUP(C382,RP!A:E,5,0),""))</f>
        <v/>
      </c>
      <c r="E382" t="str">
        <f>IF(C382="","",IFERROR(VLOOKUP(C382,RP!A:F,6,0),""))</f>
        <v/>
      </c>
      <c r="F382" t="str">
        <f>IF(C382="","",IFERROR(VLOOKUP(C382,RP!A:G,7,0),""))</f>
        <v/>
      </c>
      <c r="G382" t="str">
        <f>IF(C382="","",IFERROR(VLOOKUP(C382,RP!A:H,8,0),""))</f>
        <v/>
      </c>
      <c r="H382" s="35"/>
      <c r="K382" s="35" t="str">
        <f>IF(A382="","",SUMIF(PAGO!C:C,A382,PAGO!H:H))</f>
        <v/>
      </c>
      <c r="L382" s="35" t="str">
        <f t="shared" si="5"/>
        <v/>
      </c>
    </row>
    <row r="383" spans="2:12" x14ac:dyDescent="0.3">
      <c r="B383" s="36"/>
      <c r="D383" t="str">
        <f>IF(C383="","",IFERROR(VLOOKUP(C383,RP!A:E,5,0),""))</f>
        <v/>
      </c>
      <c r="E383" t="str">
        <f>IF(C383="","",IFERROR(VLOOKUP(C383,RP!A:F,6,0),""))</f>
        <v/>
      </c>
      <c r="F383" t="str">
        <f>IF(C383="","",IFERROR(VLOOKUP(C383,RP!A:G,7,0),""))</f>
        <v/>
      </c>
      <c r="G383" t="str">
        <f>IF(C383="","",IFERROR(VLOOKUP(C383,RP!A:H,8,0),""))</f>
        <v/>
      </c>
      <c r="H383" s="35"/>
      <c r="K383" s="35" t="str">
        <f>IF(A383="","",SUMIF(PAGO!C:C,A383,PAGO!H:H))</f>
        <v/>
      </c>
      <c r="L383" s="35" t="str">
        <f t="shared" si="5"/>
        <v/>
      </c>
    </row>
    <row r="384" spans="2:12" x14ac:dyDescent="0.3">
      <c r="B384" s="36"/>
      <c r="D384" t="str">
        <f>IF(C384="","",IFERROR(VLOOKUP(C384,RP!A:E,5,0),""))</f>
        <v/>
      </c>
      <c r="E384" t="str">
        <f>IF(C384="","",IFERROR(VLOOKUP(C384,RP!A:F,6,0),""))</f>
        <v/>
      </c>
      <c r="F384" t="str">
        <f>IF(C384="","",IFERROR(VLOOKUP(C384,RP!A:G,7,0),""))</f>
        <v/>
      </c>
      <c r="G384" t="str">
        <f>IF(C384="","",IFERROR(VLOOKUP(C384,RP!A:H,8,0),""))</f>
        <v/>
      </c>
      <c r="H384" s="35"/>
      <c r="K384" s="35" t="str">
        <f>IF(A384="","",SUMIF(PAGO!C:C,A384,PAGO!H:H))</f>
        <v/>
      </c>
      <c r="L384" s="35" t="str">
        <f t="shared" si="5"/>
        <v/>
      </c>
    </row>
    <row r="385" spans="2:12" x14ac:dyDescent="0.3">
      <c r="B385" s="36"/>
      <c r="D385" t="str">
        <f>IF(C385="","",IFERROR(VLOOKUP(C385,RP!A:E,5,0),""))</f>
        <v/>
      </c>
      <c r="E385" t="str">
        <f>IF(C385="","",IFERROR(VLOOKUP(C385,RP!A:F,6,0),""))</f>
        <v/>
      </c>
      <c r="F385" t="str">
        <f>IF(C385="","",IFERROR(VLOOKUP(C385,RP!A:G,7,0),""))</f>
        <v/>
      </c>
      <c r="G385" t="str">
        <f>IF(C385="","",IFERROR(VLOOKUP(C385,RP!A:H,8,0),""))</f>
        <v/>
      </c>
      <c r="H385" s="35"/>
      <c r="K385" s="35" t="str">
        <f>IF(A385="","",SUMIF(PAGO!C:C,A385,PAGO!H:H))</f>
        <v/>
      </c>
      <c r="L385" s="35" t="str">
        <f t="shared" si="5"/>
        <v/>
      </c>
    </row>
    <row r="386" spans="2:12" x14ac:dyDescent="0.3">
      <c r="B386" s="36"/>
      <c r="D386" t="str">
        <f>IF(C386="","",IFERROR(VLOOKUP(C386,RP!A:E,5,0),""))</f>
        <v/>
      </c>
      <c r="E386" t="str">
        <f>IF(C386="","",IFERROR(VLOOKUP(C386,RP!A:F,6,0),""))</f>
        <v/>
      </c>
      <c r="F386" t="str">
        <f>IF(C386="","",IFERROR(VLOOKUP(C386,RP!A:G,7,0),""))</f>
        <v/>
      </c>
      <c r="G386" t="str">
        <f>IF(C386="","",IFERROR(VLOOKUP(C386,RP!A:H,8,0),""))</f>
        <v/>
      </c>
      <c r="H386" s="35"/>
      <c r="K386" s="35" t="str">
        <f>IF(A386="","",SUMIF(PAGO!C:C,A386,PAGO!H:H))</f>
        <v/>
      </c>
      <c r="L386" s="35" t="str">
        <f t="shared" ref="L386:L449" si="6">IF(A386="","",H386-K386)</f>
        <v/>
      </c>
    </row>
    <row r="387" spans="2:12" x14ac:dyDescent="0.3">
      <c r="B387" s="36"/>
      <c r="D387" t="str">
        <f>IF(C387="","",IFERROR(VLOOKUP(C387,RP!A:E,5,0),""))</f>
        <v/>
      </c>
      <c r="E387" t="str">
        <f>IF(C387="","",IFERROR(VLOOKUP(C387,RP!A:F,6,0),""))</f>
        <v/>
      </c>
      <c r="F387" t="str">
        <f>IF(C387="","",IFERROR(VLOOKUP(C387,RP!A:G,7,0),""))</f>
        <v/>
      </c>
      <c r="G387" t="str">
        <f>IF(C387="","",IFERROR(VLOOKUP(C387,RP!A:H,8,0),""))</f>
        <v/>
      </c>
      <c r="H387" s="35"/>
      <c r="K387" s="35" t="str">
        <f>IF(A387="","",SUMIF(PAGO!C:C,A387,PAGO!H:H))</f>
        <v/>
      </c>
      <c r="L387" s="35" t="str">
        <f t="shared" si="6"/>
        <v/>
      </c>
    </row>
    <row r="388" spans="2:12" x14ac:dyDescent="0.3">
      <c r="B388" s="36"/>
      <c r="D388" t="str">
        <f>IF(C388="","",IFERROR(VLOOKUP(C388,RP!A:E,5,0),""))</f>
        <v/>
      </c>
      <c r="E388" t="str">
        <f>IF(C388="","",IFERROR(VLOOKUP(C388,RP!A:F,6,0),""))</f>
        <v/>
      </c>
      <c r="F388" t="str">
        <f>IF(C388="","",IFERROR(VLOOKUP(C388,RP!A:G,7,0),""))</f>
        <v/>
      </c>
      <c r="G388" t="str">
        <f>IF(C388="","",IFERROR(VLOOKUP(C388,RP!A:H,8,0),""))</f>
        <v/>
      </c>
      <c r="H388" s="35"/>
      <c r="K388" s="35" t="str">
        <f>IF(A388="","",SUMIF(PAGO!C:C,A388,PAGO!H:H))</f>
        <v/>
      </c>
      <c r="L388" s="35" t="str">
        <f t="shared" si="6"/>
        <v/>
      </c>
    </row>
    <row r="389" spans="2:12" x14ac:dyDescent="0.3">
      <c r="B389" s="36"/>
      <c r="D389" t="str">
        <f>IF(C389="","",IFERROR(VLOOKUP(C389,RP!A:E,5,0),""))</f>
        <v/>
      </c>
      <c r="E389" t="str">
        <f>IF(C389="","",IFERROR(VLOOKUP(C389,RP!A:F,6,0),""))</f>
        <v/>
      </c>
      <c r="F389" t="str">
        <f>IF(C389="","",IFERROR(VLOOKUP(C389,RP!A:G,7,0),""))</f>
        <v/>
      </c>
      <c r="G389" t="str">
        <f>IF(C389="","",IFERROR(VLOOKUP(C389,RP!A:H,8,0),""))</f>
        <v/>
      </c>
      <c r="H389" s="35"/>
      <c r="K389" s="35" t="str">
        <f>IF(A389="","",SUMIF(PAGO!C:C,A389,PAGO!H:H))</f>
        <v/>
      </c>
      <c r="L389" s="35" t="str">
        <f t="shared" si="6"/>
        <v/>
      </c>
    </row>
    <row r="390" spans="2:12" x14ac:dyDescent="0.3">
      <c r="B390" s="36"/>
      <c r="D390" t="str">
        <f>IF(C390="","",IFERROR(VLOOKUP(C390,RP!A:E,5,0),""))</f>
        <v/>
      </c>
      <c r="E390" t="str">
        <f>IF(C390="","",IFERROR(VLOOKUP(C390,RP!A:F,6,0),""))</f>
        <v/>
      </c>
      <c r="F390" t="str">
        <f>IF(C390="","",IFERROR(VLOOKUP(C390,RP!A:G,7,0),""))</f>
        <v/>
      </c>
      <c r="G390" t="str">
        <f>IF(C390="","",IFERROR(VLOOKUP(C390,RP!A:H,8,0),""))</f>
        <v/>
      </c>
      <c r="H390" s="35"/>
      <c r="K390" s="35" t="str">
        <f>IF(A390="","",SUMIF(PAGO!C:C,A390,PAGO!H:H))</f>
        <v/>
      </c>
      <c r="L390" s="35" t="str">
        <f t="shared" si="6"/>
        <v/>
      </c>
    </row>
    <row r="391" spans="2:12" x14ac:dyDescent="0.3">
      <c r="B391" s="36"/>
      <c r="D391" t="str">
        <f>IF(C391="","",IFERROR(VLOOKUP(C391,RP!A:E,5,0),""))</f>
        <v/>
      </c>
      <c r="E391" t="str">
        <f>IF(C391="","",IFERROR(VLOOKUP(C391,RP!A:F,6,0),""))</f>
        <v/>
      </c>
      <c r="F391" t="str">
        <f>IF(C391="","",IFERROR(VLOOKUP(C391,RP!A:G,7,0),""))</f>
        <v/>
      </c>
      <c r="G391" t="str">
        <f>IF(C391="","",IFERROR(VLOOKUP(C391,RP!A:H,8,0),""))</f>
        <v/>
      </c>
      <c r="H391" s="35"/>
      <c r="K391" s="35" t="str">
        <f>IF(A391="","",SUMIF(PAGO!C:C,A391,PAGO!H:H))</f>
        <v/>
      </c>
      <c r="L391" s="35" t="str">
        <f t="shared" si="6"/>
        <v/>
      </c>
    </row>
    <row r="392" spans="2:12" x14ac:dyDescent="0.3">
      <c r="B392" s="36"/>
      <c r="D392" t="str">
        <f>IF(C392="","",IFERROR(VLOOKUP(C392,RP!A:E,5,0),""))</f>
        <v/>
      </c>
      <c r="E392" t="str">
        <f>IF(C392="","",IFERROR(VLOOKUP(C392,RP!A:F,6,0),""))</f>
        <v/>
      </c>
      <c r="F392" t="str">
        <f>IF(C392="","",IFERROR(VLOOKUP(C392,RP!A:G,7,0),""))</f>
        <v/>
      </c>
      <c r="G392" t="str">
        <f>IF(C392="","",IFERROR(VLOOKUP(C392,RP!A:H,8,0),""))</f>
        <v/>
      </c>
      <c r="H392" s="35"/>
      <c r="K392" s="35" t="str">
        <f>IF(A392="","",SUMIF(PAGO!C:C,A392,PAGO!H:H))</f>
        <v/>
      </c>
      <c r="L392" s="35" t="str">
        <f t="shared" si="6"/>
        <v/>
      </c>
    </row>
    <row r="393" spans="2:12" x14ac:dyDescent="0.3">
      <c r="B393" s="36"/>
      <c r="D393" t="str">
        <f>IF(C393="","",IFERROR(VLOOKUP(C393,RP!A:E,5,0),""))</f>
        <v/>
      </c>
      <c r="E393" t="str">
        <f>IF(C393="","",IFERROR(VLOOKUP(C393,RP!A:F,6,0),""))</f>
        <v/>
      </c>
      <c r="F393" t="str">
        <f>IF(C393="","",IFERROR(VLOOKUP(C393,RP!A:G,7,0),""))</f>
        <v/>
      </c>
      <c r="G393" t="str">
        <f>IF(C393="","",IFERROR(VLOOKUP(C393,RP!A:H,8,0),""))</f>
        <v/>
      </c>
      <c r="H393" s="35"/>
      <c r="K393" s="35" t="str">
        <f>IF(A393="","",SUMIF(PAGO!C:C,A393,PAGO!H:H))</f>
        <v/>
      </c>
      <c r="L393" s="35" t="str">
        <f t="shared" si="6"/>
        <v/>
      </c>
    </row>
    <row r="394" spans="2:12" x14ac:dyDescent="0.3">
      <c r="B394" s="36"/>
      <c r="D394" t="str">
        <f>IF(C394="","",IFERROR(VLOOKUP(C394,RP!A:E,5,0),""))</f>
        <v/>
      </c>
      <c r="E394" t="str">
        <f>IF(C394="","",IFERROR(VLOOKUP(C394,RP!A:F,6,0),""))</f>
        <v/>
      </c>
      <c r="F394" t="str">
        <f>IF(C394="","",IFERROR(VLOOKUP(C394,RP!A:G,7,0),""))</f>
        <v/>
      </c>
      <c r="G394" t="str">
        <f>IF(C394="","",IFERROR(VLOOKUP(C394,RP!A:H,8,0),""))</f>
        <v/>
      </c>
      <c r="H394" s="35"/>
      <c r="K394" s="35" t="str">
        <f>IF(A394="","",SUMIF(PAGO!C:C,A394,PAGO!H:H))</f>
        <v/>
      </c>
      <c r="L394" s="35" t="str">
        <f t="shared" si="6"/>
        <v/>
      </c>
    </row>
    <row r="395" spans="2:12" x14ac:dyDescent="0.3">
      <c r="B395" s="36"/>
      <c r="D395" t="str">
        <f>IF(C395="","",IFERROR(VLOOKUP(C395,RP!A:E,5,0),""))</f>
        <v/>
      </c>
      <c r="E395" t="str">
        <f>IF(C395="","",IFERROR(VLOOKUP(C395,RP!A:F,6,0),""))</f>
        <v/>
      </c>
      <c r="F395" t="str">
        <f>IF(C395="","",IFERROR(VLOOKUP(C395,RP!A:G,7,0),""))</f>
        <v/>
      </c>
      <c r="G395" t="str">
        <f>IF(C395="","",IFERROR(VLOOKUP(C395,RP!A:H,8,0),""))</f>
        <v/>
      </c>
      <c r="H395" s="35"/>
      <c r="K395" s="35" t="str">
        <f>IF(A395="","",SUMIF(PAGO!C:C,A395,PAGO!H:H))</f>
        <v/>
      </c>
      <c r="L395" s="35" t="str">
        <f t="shared" si="6"/>
        <v/>
      </c>
    </row>
    <row r="396" spans="2:12" x14ac:dyDescent="0.3">
      <c r="B396" s="36"/>
      <c r="D396" t="str">
        <f>IF(C396="","",IFERROR(VLOOKUP(C396,RP!A:E,5,0),""))</f>
        <v/>
      </c>
      <c r="E396" t="str">
        <f>IF(C396="","",IFERROR(VLOOKUP(C396,RP!A:F,6,0),""))</f>
        <v/>
      </c>
      <c r="F396" t="str">
        <f>IF(C396="","",IFERROR(VLOOKUP(C396,RP!A:G,7,0),""))</f>
        <v/>
      </c>
      <c r="G396" t="str">
        <f>IF(C396="","",IFERROR(VLOOKUP(C396,RP!A:H,8,0),""))</f>
        <v/>
      </c>
      <c r="H396" s="35"/>
      <c r="K396" s="35" t="str">
        <f>IF(A396="","",SUMIF(PAGO!C:C,A396,PAGO!H:H))</f>
        <v/>
      </c>
      <c r="L396" s="35" t="str">
        <f t="shared" si="6"/>
        <v/>
      </c>
    </row>
    <row r="397" spans="2:12" x14ac:dyDescent="0.3">
      <c r="B397" s="36"/>
      <c r="D397" t="str">
        <f>IF(C397="","",IFERROR(VLOOKUP(C397,RP!A:E,5,0),""))</f>
        <v/>
      </c>
      <c r="E397" t="str">
        <f>IF(C397="","",IFERROR(VLOOKUP(C397,RP!A:F,6,0),""))</f>
        <v/>
      </c>
      <c r="F397" t="str">
        <f>IF(C397="","",IFERROR(VLOOKUP(C397,RP!A:G,7,0),""))</f>
        <v/>
      </c>
      <c r="G397" t="str">
        <f>IF(C397="","",IFERROR(VLOOKUP(C397,RP!A:H,8,0),""))</f>
        <v/>
      </c>
      <c r="H397" s="35"/>
      <c r="K397" s="35" t="str">
        <f>IF(A397="","",SUMIF(PAGO!C:C,A397,PAGO!H:H))</f>
        <v/>
      </c>
      <c r="L397" s="35" t="str">
        <f t="shared" si="6"/>
        <v/>
      </c>
    </row>
    <row r="398" spans="2:12" x14ac:dyDescent="0.3">
      <c r="B398" s="36"/>
      <c r="D398" t="str">
        <f>IF(C398="","",IFERROR(VLOOKUP(C398,RP!A:E,5,0),""))</f>
        <v/>
      </c>
      <c r="E398" t="str">
        <f>IF(C398="","",IFERROR(VLOOKUP(C398,RP!A:F,6,0),""))</f>
        <v/>
      </c>
      <c r="F398" t="str">
        <f>IF(C398="","",IFERROR(VLOOKUP(C398,RP!A:G,7,0),""))</f>
        <v/>
      </c>
      <c r="G398" t="str">
        <f>IF(C398="","",IFERROR(VLOOKUP(C398,RP!A:H,8,0),""))</f>
        <v/>
      </c>
      <c r="H398" s="35"/>
      <c r="K398" s="35" t="str">
        <f>IF(A398="","",SUMIF(PAGO!C:C,A398,PAGO!H:H))</f>
        <v/>
      </c>
      <c r="L398" s="35" t="str">
        <f t="shared" si="6"/>
        <v/>
      </c>
    </row>
    <row r="399" spans="2:12" x14ac:dyDescent="0.3">
      <c r="B399" s="36"/>
      <c r="D399" t="str">
        <f>IF(C399="","",IFERROR(VLOOKUP(C399,RP!A:E,5,0),""))</f>
        <v/>
      </c>
      <c r="E399" t="str">
        <f>IF(C399="","",IFERROR(VLOOKUP(C399,RP!A:F,6,0),""))</f>
        <v/>
      </c>
      <c r="F399" t="str">
        <f>IF(C399="","",IFERROR(VLOOKUP(C399,RP!A:G,7,0),""))</f>
        <v/>
      </c>
      <c r="G399" t="str">
        <f>IF(C399="","",IFERROR(VLOOKUP(C399,RP!A:H,8,0),""))</f>
        <v/>
      </c>
      <c r="H399" s="35"/>
      <c r="K399" s="35" t="str">
        <f>IF(A399="","",SUMIF(PAGO!C:C,A399,PAGO!H:H))</f>
        <v/>
      </c>
      <c r="L399" s="35" t="str">
        <f t="shared" si="6"/>
        <v/>
      </c>
    </row>
    <row r="400" spans="2:12" x14ac:dyDescent="0.3">
      <c r="B400" s="36"/>
      <c r="D400" t="str">
        <f>IF(C400="","",IFERROR(VLOOKUP(C400,RP!A:E,5,0),""))</f>
        <v/>
      </c>
      <c r="E400" t="str">
        <f>IF(C400="","",IFERROR(VLOOKUP(C400,RP!A:F,6,0),""))</f>
        <v/>
      </c>
      <c r="F400" t="str">
        <f>IF(C400="","",IFERROR(VLOOKUP(C400,RP!A:G,7,0),""))</f>
        <v/>
      </c>
      <c r="G400" t="str">
        <f>IF(C400="","",IFERROR(VLOOKUP(C400,RP!A:H,8,0),""))</f>
        <v/>
      </c>
      <c r="H400" s="35"/>
      <c r="K400" s="35" t="str">
        <f>IF(A400="","",SUMIF(PAGO!C:C,A400,PAGO!H:H))</f>
        <v/>
      </c>
      <c r="L400" s="35" t="str">
        <f t="shared" si="6"/>
        <v/>
      </c>
    </row>
    <row r="401" spans="2:12" x14ac:dyDescent="0.3">
      <c r="B401" s="36"/>
      <c r="D401" t="str">
        <f>IF(C401="","",IFERROR(VLOOKUP(C401,RP!A:E,5,0),""))</f>
        <v/>
      </c>
      <c r="E401" t="str">
        <f>IF(C401="","",IFERROR(VLOOKUP(C401,RP!A:F,6,0),""))</f>
        <v/>
      </c>
      <c r="F401" t="str">
        <f>IF(C401="","",IFERROR(VLOOKUP(C401,RP!A:G,7,0),""))</f>
        <v/>
      </c>
      <c r="G401" t="str">
        <f>IF(C401="","",IFERROR(VLOOKUP(C401,RP!A:H,8,0),""))</f>
        <v/>
      </c>
      <c r="H401" s="35"/>
      <c r="K401" s="35" t="str">
        <f>IF(A401="","",SUMIF(PAGO!C:C,A401,PAGO!H:H))</f>
        <v/>
      </c>
      <c r="L401" s="35" t="str">
        <f t="shared" si="6"/>
        <v/>
      </c>
    </row>
    <row r="402" spans="2:12" x14ac:dyDescent="0.3">
      <c r="B402" s="36"/>
      <c r="D402" t="str">
        <f>IF(C402="","",IFERROR(VLOOKUP(C402,RP!A:E,5,0),""))</f>
        <v/>
      </c>
      <c r="E402" t="str">
        <f>IF(C402="","",IFERROR(VLOOKUP(C402,RP!A:F,6,0),""))</f>
        <v/>
      </c>
      <c r="F402" t="str">
        <f>IF(C402="","",IFERROR(VLOOKUP(C402,RP!A:G,7,0),""))</f>
        <v/>
      </c>
      <c r="G402" t="str">
        <f>IF(C402="","",IFERROR(VLOOKUP(C402,RP!A:H,8,0),""))</f>
        <v/>
      </c>
      <c r="H402" s="35"/>
      <c r="K402" s="35" t="str">
        <f>IF(A402="","",SUMIF(PAGO!C:C,A402,PAGO!H:H))</f>
        <v/>
      </c>
      <c r="L402" s="35" t="str">
        <f t="shared" si="6"/>
        <v/>
      </c>
    </row>
    <row r="403" spans="2:12" x14ac:dyDescent="0.3">
      <c r="B403" s="36"/>
      <c r="D403" t="str">
        <f>IF(C403="","",IFERROR(VLOOKUP(C403,RP!A:E,5,0),""))</f>
        <v/>
      </c>
      <c r="E403" t="str">
        <f>IF(C403="","",IFERROR(VLOOKUP(C403,RP!A:F,6,0),""))</f>
        <v/>
      </c>
      <c r="F403" t="str">
        <f>IF(C403="","",IFERROR(VLOOKUP(C403,RP!A:G,7,0),""))</f>
        <v/>
      </c>
      <c r="G403" t="str">
        <f>IF(C403="","",IFERROR(VLOOKUP(C403,RP!A:H,8,0),""))</f>
        <v/>
      </c>
      <c r="H403" s="35"/>
      <c r="K403" s="35" t="str">
        <f>IF(A403="","",SUMIF(PAGO!C:C,A403,PAGO!H:H))</f>
        <v/>
      </c>
      <c r="L403" s="35" t="str">
        <f t="shared" si="6"/>
        <v/>
      </c>
    </row>
    <row r="404" spans="2:12" x14ac:dyDescent="0.3">
      <c r="B404" s="36"/>
      <c r="D404" t="str">
        <f>IF(C404="","",IFERROR(VLOOKUP(C404,RP!A:E,5,0),""))</f>
        <v/>
      </c>
      <c r="E404" t="str">
        <f>IF(C404="","",IFERROR(VLOOKUP(C404,RP!A:F,6,0),""))</f>
        <v/>
      </c>
      <c r="F404" t="str">
        <f>IF(C404="","",IFERROR(VLOOKUP(C404,RP!A:G,7,0),""))</f>
        <v/>
      </c>
      <c r="G404" t="str">
        <f>IF(C404="","",IFERROR(VLOOKUP(C404,RP!A:H,8,0),""))</f>
        <v/>
      </c>
      <c r="H404" s="35"/>
      <c r="K404" s="35" t="str">
        <f>IF(A404="","",SUMIF(PAGO!C:C,A404,PAGO!H:H))</f>
        <v/>
      </c>
      <c r="L404" s="35" t="str">
        <f t="shared" si="6"/>
        <v/>
      </c>
    </row>
    <row r="405" spans="2:12" x14ac:dyDescent="0.3">
      <c r="B405" s="36"/>
      <c r="D405" t="str">
        <f>IF(C405="","",IFERROR(VLOOKUP(C405,RP!A:E,5,0),""))</f>
        <v/>
      </c>
      <c r="E405" t="str">
        <f>IF(C405="","",IFERROR(VLOOKUP(C405,RP!A:F,6,0),""))</f>
        <v/>
      </c>
      <c r="F405" t="str">
        <f>IF(C405="","",IFERROR(VLOOKUP(C405,RP!A:G,7,0),""))</f>
        <v/>
      </c>
      <c r="G405" t="str">
        <f>IF(C405="","",IFERROR(VLOOKUP(C405,RP!A:H,8,0),""))</f>
        <v/>
      </c>
      <c r="H405" s="35"/>
      <c r="K405" s="35" t="str">
        <f>IF(A405="","",SUMIF(PAGO!C:C,A405,PAGO!H:H))</f>
        <v/>
      </c>
      <c r="L405" s="35" t="str">
        <f t="shared" si="6"/>
        <v/>
      </c>
    </row>
    <row r="406" spans="2:12" x14ac:dyDescent="0.3">
      <c r="B406" s="36"/>
      <c r="D406" t="str">
        <f>IF(C406="","",IFERROR(VLOOKUP(C406,RP!A:E,5,0),""))</f>
        <v/>
      </c>
      <c r="E406" t="str">
        <f>IF(C406="","",IFERROR(VLOOKUP(C406,RP!A:F,6,0),""))</f>
        <v/>
      </c>
      <c r="F406" t="str">
        <f>IF(C406="","",IFERROR(VLOOKUP(C406,RP!A:G,7,0),""))</f>
        <v/>
      </c>
      <c r="G406" t="str">
        <f>IF(C406="","",IFERROR(VLOOKUP(C406,RP!A:H,8,0),""))</f>
        <v/>
      </c>
      <c r="H406" s="35"/>
      <c r="K406" s="35" t="str">
        <f>IF(A406="","",SUMIF(PAGO!C:C,A406,PAGO!H:H))</f>
        <v/>
      </c>
      <c r="L406" s="35" t="str">
        <f t="shared" si="6"/>
        <v/>
      </c>
    </row>
    <row r="407" spans="2:12" x14ac:dyDescent="0.3">
      <c r="B407" s="36"/>
      <c r="D407" t="str">
        <f>IF(C407="","",IFERROR(VLOOKUP(C407,RP!A:E,5,0),""))</f>
        <v/>
      </c>
      <c r="E407" t="str">
        <f>IF(C407="","",IFERROR(VLOOKUP(C407,RP!A:F,6,0),""))</f>
        <v/>
      </c>
      <c r="F407" t="str">
        <f>IF(C407="","",IFERROR(VLOOKUP(C407,RP!A:G,7,0),""))</f>
        <v/>
      </c>
      <c r="G407" t="str">
        <f>IF(C407="","",IFERROR(VLOOKUP(C407,RP!A:H,8,0),""))</f>
        <v/>
      </c>
      <c r="H407" s="35"/>
      <c r="K407" s="35" t="str">
        <f>IF(A407="","",SUMIF(PAGO!C:C,A407,PAGO!H:H))</f>
        <v/>
      </c>
      <c r="L407" s="35" t="str">
        <f t="shared" si="6"/>
        <v/>
      </c>
    </row>
    <row r="408" spans="2:12" x14ac:dyDescent="0.3">
      <c r="B408" s="36"/>
      <c r="D408" t="str">
        <f>IF(C408="","",IFERROR(VLOOKUP(C408,RP!A:E,5,0),""))</f>
        <v/>
      </c>
      <c r="E408" t="str">
        <f>IF(C408="","",IFERROR(VLOOKUP(C408,RP!A:F,6,0),""))</f>
        <v/>
      </c>
      <c r="F408" t="str">
        <f>IF(C408="","",IFERROR(VLOOKUP(C408,RP!A:G,7,0),""))</f>
        <v/>
      </c>
      <c r="G408" t="str">
        <f>IF(C408="","",IFERROR(VLOOKUP(C408,RP!A:H,8,0),""))</f>
        <v/>
      </c>
      <c r="H408" s="35"/>
      <c r="K408" s="35" t="str">
        <f>IF(A408="","",SUMIF(PAGO!C:C,A408,PAGO!H:H))</f>
        <v/>
      </c>
      <c r="L408" s="35" t="str">
        <f t="shared" si="6"/>
        <v/>
      </c>
    </row>
    <row r="409" spans="2:12" x14ac:dyDescent="0.3">
      <c r="B409" s="36"/>
      <c r="D409" t="str">
        <f>IF(C409="","",IFERROR(VLOOKUP(C409,RP!A:E,5,0),""))</f>
        <v/>
      </c>
      <c r="E409" t="str">
        <f>IF(C409="","",IFERROR(VLOOKUP(C409,RP!A:F,6,0),""))</f>
        <v/>
      </c>
      <c r="F409" t="str">
        <f>IF(C409="","",IFERROR(VLOOKUP(C409,RP!A:G,7,0),""))</f>
        <v/>
      </c>
      <c r="G409" t="str">
        <f>IF(C409="","",IFERROR(VLOOKUP(C409,RP!A:H,8,0),""))</f>
        <v/>
      </c>
      <c r="H409" s="35"/>
      <c r="K409" s="35" t="str">
        <f>IF(A409="","",SUMIF(PAGO!C:C,A409,PAGO!H:H))</f>
        <v/>
      </c>
      <c r="L409" s="35" t="str">
        <f t="shared" si="6"/>
        <v/>
      </c>
    </row>
    <row r="410" spans="2:12" x14ac:dyDescent="0.3">
      <c r="B410" s="36"/>
      <c r="D410" t="str">
        <f>IF(C410="","",IFERROR(VLOOKUP(C410,RP!A:E,5,0),""))</f>
        <v/>
      </c>
      <c r="E410" t="str">
        <f>IF(C410="","",IFERROR(VLOOKUP(C410,RP!A:F,6,0),""))</f>
        <v/>
      </c>
      <c r="F410" t="str">
        <f>IF(C410="","",IFERROR(VLOOKUP(C410,RP!A:G,7,0),""))</f>
        <v/>
      </c>
      <c r="G410" t="str">
        <f>IF(C410="","",IFERROR(VLOOKUP(C410,RP!A:H,8,0),""))</f>
        <v/>
      </c>
      <c r="H410" s="35"/>
      <c r="K410" s="35" t="str">
        <f>IF(A410="","",SUMIF(PAGO!C:C,A410,PAGO!H:H))</f>
        <v/>
      </c>
      <c r="L410" s="35" t="str">
        <f t="shared" si="6"/>
        <v/>
      </c>
    </row>
    <row r="411" spans="2:12" x14ac:dyDescent="0.3">
      <c r="B411" s="36"/>
      <c r="D411" t="str">
        <f>IF(C411="","",IFERROR(VLOOKUP(C411,RP!A:E,5,0),""))</f>
        <v/>
      </c>
      <c r="E411" t="str">
        <f>IF(C411="","",IFERROR(VLOOKUP(C411,RP!A:F,6,0),""))</f>
        <v/>
      </c>
      <c r="F411" t="str">
        <f>IF(C411="","",IFERROR(VLOOKUP(C411,RP!A:G,7,0),""))</f>
        <v/>
      </c>
      <c r="G411" t="str">
        <f>IF(C411="","",IFERROR(VLOOKUP(C411,RP!A:H,8,0),""))</f>
        <v/>
      </c>
      <c r="H411" s="35"/>
      <c r="K411" s="35" t="str">
        <f>IF(A411="","",SUMIF(PAGO!C:C,A411,PAGO!H:H))</f>
        <v/>
      </c>
      <c r="L411" s="35" t="str">
        <f t="shared" si="6"/>
        <v/>
      </c>
    </row>
    <row r="412" spans="2:12" x14ac:dyDescent="0.3">
      <c r="B412" s="36"/>
      <c r="D412" t="str">
        <f>IF(C412="","",IFERROR(VLOOKUP(C412,RP!A:E,5,0),""))</f>
        <v/>
      </c>
      <c r="E412" t="str">
        <f>IF(C412="","",IFERROR(VLOOKUP(C412,RP!A:F,6,0),""))</f>
        <v/>
      </c>
      <c r="F412" t="str">
        <f>IF(C412="","",IFERROR(VLOOKUP(C412,RP!A:G,7,0),""))</f>
        <v/>
      </c>
      <c r="G412" t="str">
        <f>IF(C412="","",IFERROR(VLOOKUP(C412,RP!A:H,8,0),""))</f>
        <v/>
      </c>
      <c r="H412" s="35"/>
      <c r="K412" s="35" t="str">
        <f>IF(A412="","",SUMIF(PAGO!C:C,A412,PAGO!H:H))</f>
        <v/>
      </c>
      <c r="L412" s="35" t="str">
        <f t="shared" si="6"/>
        <v/>
      </c>
    </row>
    <row r="413" spans="2:12" x14ac:dyDescent="0.3">
      <c r="B413" s="36"/>
      <c r="D413" t="str">
        <f>IF(C413="","",IFERROR(VLOOKUP(C413,RP!A:E,5,0),""))</f>
        <v/>
      </c>
      <c r="E413" t="str">
        <f>IF(C413="","",IFERROR(VLOOKUP(C413,RP!A:F,6,0),""))</f>
        <v/>
      </c>
      <c r="F413" t="str">
        <f>IF(C413="","",IFERROR(VLOOKUP(C413,RP!A:G,7,0),""))</f>
        <v/>
      </c>
      <c r="G413" t="str">
        <f>IF(C413="","",IFERROR(VLOOKUP(C413,RP!A:H,8,0),""))</f>
        <v/>
      </c>
      <c r="H413" s="35"/>
      <c r="K413" s="35" t="str">
        <f>IF(A413="","",SUMIF(PAGO!C:C,A413,PAGO!H:H))</f>
        <v/>
      </c>
      <c r="L413" s="35" t="str">
        <f t="shared" si="6"/>
        <v/>
      </c>
    </row>
    <row r="414" spans="2:12" x14ac:dyDescent="0.3">
      <c r="B414" s="36"/>
      <c r="D414" t="str">
        <f>IF(C414="","",IFERROR(VLOOKUP(C414,RP!A:E,5,0),""))</f>
        <v/>
      </c>
      <c r="E414" t="str">
        <f>IF(C414="","",IFERROR(VLOOKUP(C414,RP!A:F,6,0),""))</f>
        <v/>
      </c>
      <c r="F414" t="str">
        <f>IF(C414="","",IFERROR(VLOOKUP(C414,RP!A:G,7,0),""))</f>
        <v/>
      </c>
      <c r="G414" t="str">
        <f>IF(C414="","",IFERROR(VLOOKUP(C414,RP!A:H,8,0),""))</f>
        <v/>
      </c>
      <c r="H414" s="35"/>
      <c r="K414" s="35" t="str">
        <f>IF(A414="","",SUMIF(PAGO!C:C,A414,PAGO!H:H))</f>
        <v/>
      </c>
      <c r="L414" s="35" t="str">
        <f t="shared" si="6"/>
        <v/>
      </c>
    </row>
    <row r="415" spans="2:12" x14ac:dyDescent="0.3">
      <c r="B415" s="36"/>
      <c r="D415" t="str">
        <f>IF(C415="","",IFERROR(VLOOKUP(C415,RP!A:E,5,0),""))</f>
        <v/>
      </c>
      <c r="E415" t="str">
        <f>IF(C415="","",IFERROR(VLOOKUP(C415,RP!A:F,6,0),""))</f>
        <v/>
      </c>
      <c r="F415" t="str">
        <f>IF(C415="","",IFERROR(VLOOKUP(C415,RP!A:G,7,0),""))</f>
        <v/>
      </c>
      <c r="G415" t="str">
        <f>IF(C415="","",IFERROR(VLOOKUP(C415,RP!A:H,8,0),""))</f>
        <v/>
      </c>
      <c r="H415" s="35"/>
      <c r="K415" s="35" t="str">
        <f>IF(A415="","",SUMIF(PAGO!C:C,A415,PAGO!H:H))</f>
        <v/>
      </c>
      <c r="L415" s="35" t="str">
        <f t="shared" si="6"/>
        <v/>
      </c>
    </row>
    <row r="416" spans="2:12" x14ac:dyDescent="0.3">
      <c r="B416" s="36"/>
      <c r="D416" t="str">
        <f>IF(C416="","",IFERROR(VLOOKUP(C416,RP!A:E,5,0),""))</f>
        <v/>
      </c>
      <c r="E416" t="str">
        <f>IF(C416="","",IFERROR(VLOOKUP(C416,RP!A:F,6,0),""))</f>
        <v/>
      </c>
      <c r="F416" t="str">
        <f>IF(C416="","",IFERROR(VLOOKUP(C416,RP!A:G,7,0),""))</f>
        <v/>
      </c>
      <c r="G416" t="str">
        <f>IF(C416="","",IFERROR(VLOOKUP(C416,RP!A:H,8,0),""))</f>
        <v/>
      </c>
      <c r="H416" s="35"/>
      <c r="K416" s="35" t="str">
        <f>IF(A416="","",SUMIF(PAGO!C:C,A416,PAGO!H:H))</f>
        <v/>
      </c>
      <c r="L416" s="35" t="str">
        <f t="shared" si="6"/>
        <v/>
      </c>
    </row>
    <row r="417" spans="2:12" x14ac:dyDescent="0.3">
      <c r="B417" s="36"/>
      <c r="D417" t="str">
        <f>IF(C417="","",IFERROR(VLOOKUP(C417,RP!A:E,5,0),""))</f>
        <v/>
      </c>
      <c r="E417" t="str">
        <f>IF(C417="","",IFERROR(VLOOKUP(C417,RP!A:F,6,0),""))</f>
        <v/>
      </c>
      <c r="F417" t="str">
        <f>IF(C417="","",IFERROR(VLOOKUP(C417,RP!A:G,7,0),""))</f>
        <v/>
      </c>
      <c r="G417" t="str">
        <f>IF(C417="","",IFERROR(VLOOKUP(C417,RP!A:H,8,0),""))</f>
        <v/>
      </c>
      <c r="H417" s="35"/>
      <c r="K417" s="35" t="str">
        <f>IF(A417="","",SUMIF(PAGO!C:C,A417,PAGO!H:H))</f>
        <v/>
      </c>
      <c r="L417" s="35" t="str">
        <f t="shared" si="6"/>
        <v/>
      </c>
    </row>
    <row r="418" spans="2:12" x14ac:dyDescent="0.3">
      <c r="B418" s="36"/>
      <c r="D418" t="str">
        <f>IF(C418="","",IFERROR(VLOOKUP(C418,RP!A:E,5,0),""))</f>
        <v/>
      </c>
      <c r="E418" t="str">
        <f>IF(C418="","",IFERROR(VLOOKUP(C418,RP!A:F,6,0),""))</f>
        <v/>
      </c>
      <c r="F418" t="str">
        <f>IF(C418="","",IFERROR(VLOOKUP(C418,RP!A:G,7,0),""))</f>
        <v/>
      </c>
      <c r="G418" t="str">
        <f>IF(C418="","",IFERROR(VLOOKUP(C418,RP!A:H,8,0),""))</f>
        <v/>
      </c>
      <c r="H418" s="35"/>
      <c r="K418" s="35" t="str">
        <f>IF(A418="","",SUMIF(PAGO!C:C,A418,PAGO!H:H))</f>
        <v/>
      </c>
      <c r="L418" s="35" t="str">
        <f t="shared" si="6"/>
        <v/>
      </c>
    </row>
    <row r="419" spans="2:12" x14ac:dyDescent="0.3">
      <c r="B419" s="36"/>
      <c r="D419" t="str">
        <f>IF(C419="","",IFERROR(VLOOKUP(C419,RP!A:E,5,0),""))</f>
        <v/>
      </c>
      <c r="E419" t="str">
        <f>IF(C419="","",IFERROR(VLOOKUP(C419,RP!A:F,6,0),""))</f>
        <v/>
      </c>
      <c r="F419" t="str">
        <f>IF(C419="","",IFERROR(VLOOKUP(C419,RP!A:G,7,0),""))</f>
        <v/>
      </c>
      <c r="G419" t="str">
        <f>IF(C419="","",IFERROR(VLOOKUP(C419,RP!A:H,8,0),""))</f>
        <v/>
      </c>
      <c r="H419" s="35"/>
      <c r="K419" s="35" t="str">
        <f>IF(A419="","",SUMIF(PAGO!C:C,A419,PAGO!H:H))</f>
        <v/>
      </c>
      <c r="L419" s="35" t="str">
        <f t="shared" si="6"/>
        <v/>
      </c>
    </row>
    <row r="420" spans="2:12" x14ac:dyDescent="0.3">
      <c r="B420" s="36"/>
      <c r="D420" t="str">
        <f>IF(C420="","",IFERROR(VLOOKUP(C420,RP!A:E,5,0),""))</f>
        <v/>
      </c>
      <c r="E420" t="str">
        <f>IF(C420="","",IFERROR(VLOOKUP(C420,RP!A:F,6,0),""))</f>
        <v/>
      </c>
      <c r="F420" t="str">
        <f>IF(C420="","",IFERROR(VLOOKUP(C420,RP!A:G,7,0),""))</f>
        <v/>
      </c>
      <c r="G420" t="str">
        <f>IF(C420="","",IFERROR(VLOOKUP(C420,RP!A:H,8,0),""))</f>
        <v/>
      </c>
      <c r="H420" s="35"/>
      <c r="K420" s="35" t="str">
        <f>IF(A420="","",SUMIF(PAGO!C:C,A420,PAGO!H:H))</f>
        <v/>
      </c>
      <c r="L420" s="35" t="str">
        <f t="shared" si="6"/>
        <v/>
      </c>
    </row>
    <row r="421" spans="2:12" x14ac:dyDescent="0.3">
      <c r="B421" s="36"/>
      <c r="D421" t="str">
        <f>IF(C421="","",IFERROR(VLOOKUP(C421,RP!A:E,5,0),""))</f>
        <v/>
      </c>
      <c r="E421" t="str">
        <f>IF(C421="","",IFERROR(VLOOKUP(C421,RP!A:F,6,0),""))</f>
        <v/>
      </c>
      <c r="F421" t="str">
        <f>IF(C421="","",IFERROR(VLOOKUP(C421,RP!A:G,7,0),""))</f>
        <v/>
      </c>
      <c r="G421" t="str">
        <f>IF(C421="","",IFERROR(VLOOKUP(C421,RP!A:H,8,0),""))</f>
        <v/>
      </c>
      <c r="H421" s="35"/>
      <c r="K421" s="35" t="str">
        <f>IF(A421="","",SUMIF(PAGO!C:C,A421,PAGO!H:H))</f>
        <v/>
      </c>
      <c r="L421" s="35" t="str">
        <f t="shared" si="6"/>
        <v/>
      </c>
    </row>
    <row r="422" spans="2:12" x14ac:dyDescent="0.3">
      <c r="B422" s="36"/>
      <c r="D422" t="str">
        <f>IF(C422="","",IFERROR(VLOOKUP(C422,RP!A:E,5,0),""))</f>
        <v/>
      </c>
      <c r="E422" t="str">
        <f>IF(C422="","",IFERROR(VLOOKUP(C422,RP!A:F,6,0),""))</f>
        <v/>
      </c>
      <c r="F422" t="str">
        <f>IF(C422="","",IFERROR(VLOOKUP(C422,RP!A:G,7,0),""))</f>
        <v/>
      </c>
      <c r="G422" t="str">
        <f>IF(C422="","",IFERROR(VLOOKUP(C422,RP!A:H,8,0),""))</f>
        <v/>
      </c>
      <c r="H422" s="35"/>
      <c r="K422" s="35" t="str">
        <f>IF(A422="","",SUMIF(PAGO!C:C,A422,PAGO!H:H))</f>
        <v/>
      </c>
      <c r="L422" s="35" t="str">
        <f t="shared" si="6"/>
        <v/>
      </c>
    </row>
    <row r="423" spans="2:12" x14ac:dyDescent="0.3">
      <c r="B423" s="36"/>
      <c r="D423" t="str">
        <f>IF(C423="","",IFERROR(VLOOKUP(C423,RP!A:E,5,0),""))</f>
        <v/>
      </c>
      <c r="E423" t="str">
        <f>IF(C423="","",IFERROR(VLOOKUP(C423,RP!A:F,6,0),""))</f>
        <v/>
      </c>
      <c r="F423" t="str">
        <f>IF(C423="","",IFERROR(VLOOKUP(C423,RP!A:G,7,0),""))</f>
        <v/>
      </c>
      <c r="G423" t="str">
        <f>IF(C423="","",IFERROR(VLOOKUP(C423,RP!A:H,8,0),""))</f>
        <v/>
      </c>
      <c r="H423" s="35"/>
      <c r="K423" s="35" t="str">
        <f>IF(A423="","",SUMIF(PAGO!C:C,A423,PAGO!H:H))</f>
        <v/>
      </c>
      <c r="L423" s="35" t="str">
        <f t="shared" si="6"/>
        <v/>
      </c>
    </row>
    <row r="424" spans="2:12" x14ac:dyDescent="0.3">
      <c r="B424" s="36"/>
      <c r="D424" t="str">
        <f>IF(C424="","",IFERROR(VLOOKUP(C424,RP!A:E,5,0),""))</f>
        <v/>
      </c>
      <c r="E424" t="str">
        <f>IF(C424="","",IFERROR(VLOOKUP(C424,RP!A:F,6,0),""))</f>
        <v/>
      </c>
      <c r="F424" t="str">
        <f>IF(C424="","",IFERROR(VLOOKUP(C424,RP!A:G,7,0),""))</f>
        <v/>
      </c>
      <c r="G424" t="str">
        <f>IF(C424="","",IFERROR(VLOOKUP(C424,RP!A:H,8,0),""))</f>
        <v/>
      </c>
      <c r="H424" s="35"/>
      <c r="K424" s="35" t="str">
        <f>IF(A424="","",SUMIF(PAGO!C:C,A424,PAGO!H:H))</f>
        <v/>
      </c>
      <c r="L424" s="35" t="str">
        <f t="shared" si="6"/>
        <v/>
      </c>
    </row>
    <row r="425" spans="2:12" x14ac:dyDescent="0.3">
      <c r="B425" s="36"/>
      <c r="D425" t="str">
        <f>IF(C425="","",IFERROR(VLOOKUP(C425,RP!A:E,5,0),""))</f>
        <v/>
      </c>
      <c r="E425" t="str">
        <f>IF(C425="","",IFERROR(VLOOKUP(C425,RP!A:F,6,0),""))</f>
        <v/>
      </c>
      <c r="F425" t="str">
        <f>IF(C425="","",IFERROR(VLOOKUP(C425,RP!A:G,7,0),""))</f>
        <v/>
      </c>
      <c r="G425" t="str">
        <f>IF(C425="","",IFERROR(VLOOKUP(C425,RP!A:H,8,0),""))</f>
        <v/>
      </c>
      <c r="H425" s="35"/>
      <c r="K425" s="35" t="str">
        <f>IF(A425="","",SUMIF(PAGO!C:C,A425,PAGO!H:H))</f>
        <v/>
      </c>
      <c r="L425" s="35" t="str">
        <f t="shared" si="6"/>
        <v/>
      </c>
    </row>
    <row r="426" spans="2:12" x14ac:dyDescent="0.3">
      <c r="B426" s="36"/>
      <c r="D426" t="str">
        <f>IF(C426="","",IFERROR(VLOOKUP(C426,RP!A:E,5,0),""))</f>
        <v/>
      </c>
      <c r="E426" t="str">
        <f>IF(C426="","",IFERROR(VLOOKUP(C426,RP!A:F,6,0),""))</f>
        <v/>
      </c>
      <c r="F426" t="str">
        <f>IF(C426="","",IFERROR(VLOOKUP(C426,RP!A:G,7,0),""))</f>
        <v/>
      </c>
      <c r="G426" t="str">
        <f>IF(C426="","",IFERROR(VLOOKUP(C426,RP!A:H,8,0),""))</f>
        <v/>
      </c>
      <c r="H426" s="35"/>
      <c r="K426" s="35" t="str">
        <f>IF(A426="","",SUMIF(PAGO!C:C,A426,PAGO!H:H))</f>
        <v/>
      </c>
      <c r="L426" s="35" t="str">
        <f t="shared" si="6"/>
        <v/>
      </c>
    </row>
    <row r="427" spans="2:12" x14ac:dyDescent="0.3">
      <c r="B427" s="36"/>
      <c r="D427" t="str">
        <f>IF(C427="","",IFERROR(VLOOKUP(C427,RP!A:E,5,0),""))</f>
        <v/>
      </c>
      <c r="E427" t="str">
        <f>IF(C427="","",IFERROR(VLOOKUP(C427,RP!A:F,6,0),""))</f>
        <v/>
      </c>
      <c r="F427" t="str">
        <f>IF(C427="","",IFERROR(VLOOKUP(C427,RP!A:G,7,0),""))</f>
        <v/>
      </c>
      <c r="G427" t="str">
        <f>IF(C427="","",IFERROR(VLOOKUP(C427,RP!A:H,8,0),""))</f>
        <v/>
      </c>
      <c r="H427" s="35"/>
      <c r="K427" s="35" t="str">
        <f>IF(A427="","",SUMIF(PAGO!C:C,A427,PAGO!H:H))</f>
        <v/>
      </c>
      <c r="L427" s="35" t="str">
        <f t="shared" si="6"/>
        <v/>
      </c>
    </row>
    <row r="428" spans="2:12" x14ac:dyDescent="0.3">
      <c r="B428" s="36"/>
      <c r="D428" t="str">
        <f>IF(C428="","",IFERROR(VLOOKUP(C428,RP!A:E,5,0),""))</f>
        <v/>
      </c>
      <c r="E428" t="str">
        <f>IF(C428="","",IFERROR(VLOOKUP(C428,RP!A:F,6,0),""))</f>
        <v/>
      </c>
      <c r="F428" t="str">
        <f>IF(C428="","",IFERROR(VLOOKUP(C428,RP!A:G,7,0),""))</f>
        <v/>
      </c>
      <c r="G428" t="str">
        <f>IF(C428="","",IFERROR(VLOOKUP(C428,RP!A:H,8,0),""))</f>
        <v/>
      </c>
      <c r="H428" s="35"/>
      <c r="K428" s="35" t="str">
        <f>IF(A428="","",SUMIF(PAGO!C:C,A428,PAGO!H:H))</f>
        <v/>
      </c>
      <c r="L428" s="35" t="str">
        <f t="shared" si="6"/>
        <v/>
      </c>
    </row>
    <row r="429" spans="2:12" x14ac:dyDescent="0.3">
      <c r="B429" s="36"/>
      <c r="D429" t="str">
        <f>IF(C429="","",IFERROR(VLOOKUP(C429,RP!A:E,5,0),""))</f>
        <v/>
      </c>
      <c r="E429" t="str">
        <f>IF(C429="","",IFERROR(VLOOKUP(C429,RP!A:F,6,0),""))</f>
        <v/>
      </c>
      <c r="F429" t="str">
        <f>IF(C429="","",IFERROR(VLOOKUP(C429,RP!A:G,7,0),""))</f>
        <v/>
      </c>
      <c r="G429" t="str">
        <f>IF(C429="","",IFERROR(VLOOKUP(C429,RP!A:H,8,0),""))</f>
        <v/>
      </c>
      <c r="H429" s="35"/>
      <c r="K429" s="35" t="str">
        <f>IF(A429="","",SUMIF(PAGO!C:C,A429,PAGO!H:H))</f>
        <v/>
      </c>
      <c r="L429" s="35" t="str">
        <f t="shared" si="6"/>
        <v/>
      </c>
    </row>
    <row r="430" spans="2:12" x14ac:dyDescent="0.3">
      <c r="B430" s="36"/>
      <c r="D430" t="str">
        <f>IF(C430="","",IFERROR(VLOOKUP(C430,RP!A:E,5,0),""))</f>
        <v/>
      </c>
      <c r="E430" t="str">
        <f>IF(C430="","",IFERROR(VLOOKUP(C430,RP!A:F,6,0),""))</f>
        <v/>
      </c>
      <c r="F430" t="str">
        <f>IF(C430="","",IFERROR(VLOOKUP(C430,RP!A:G,7,0),""))</f>
        <v/>
      </c>
      <c r="G430" t="str">
        <f>IF(C430="","",IFERROR(VLOOKUP(C430,RP!A:H,8,0),""))</f>
        <v/>
      </c>
      <c r="H430" s="35"/>
      <c r="K430" s="35" t="str">
        <f>IF(A430="","",SUMIF(PAGO!C:C,A430,PAGO!H:H))</f>
        <v/>
      </c>
      <c r="L430" s="35" t="str">
        <f t="shared" si="6"/>
        <v/>
      </c>
    </row>
    <row r="431" spans="2:12" x14ac:dyDescent="0.3">
      <c r="B431" s="36"/>
      <c r="D431" t="str">
        <f>IF(C431="","",IFERROR(VLOOKUP(C431,RP!A:E,5,0),""))</f>
        <v/>
      </c>
      <c r="E431" t="str">
        <f>IF(C431="","",IFERROR(VLOOKUP(C431,RP!A:F,6,0),""))</f>
        <v/>
      </c>
      <c r="F431" t="str">
        <f>IF(C431="","",IFERROR(VLOOKUP(C431,RP!A:G,7,0),""))</f>
        <v/>
      </c>
      <c r="G431" t="str">
        <f>IF(C431="","",IFERROR(VLOOKUP(C431,RP!A:H,8,0),""))</f>
        <v/>
      </c>
      <c r="H431" s="35"/>
      <c r="K431" s="35" t="str">
        <f>IF(A431="","",SUMIF(PAGO!C:C,A431,PAGO!H:H))</f>
        <v/>
      </c>
      <c r="L431" s="35" t="str">
        <f t="shared" si="6"/>
        <v/>
      </c>
    </row>
    <row r="432" spans="2:12" x14ac:dyDescent="0.3">
      <c r="B432" s="36"/>
      <c r="D432" t="str">
        <f>IF(C432="","",IFERROR(VLOOKUP(C432,RP!A:E,5,0),""))</f>
        <v/>
      </c>
      <c r="E432" t="str">
        <f>IF(C432="","",IFERROR(VLOOKUP(C432,RP!A:F,6,0),""))</f>
        <v/>
      </c>
      <c r="F432" t="str">
        <f>IF(C432="","",IFERROR(VLOOKUP(C432,RP!A:G,7,0),""))</f>
        <v/>
      </c>
      <c r="G432" t="str">
        <f>IF(C432="","",IFERROR(VLOOKUP(C432,RP!A:H,8,0),""))</f>
        <v/>
      </c>
      <c r="H432" s="35"/>
      <c r="K432" s="35" t="str">
        <f>IF(A432="","",SUMIF(PAGO!C:C,A432,PAGO!H:H))</f>
        <v/>
      </c>
      <c r="L432" s="35" t="str">
        <f t="shared" si="6"/>
        <v/>
      </c>
    </row>
    <row r="433" spans="2:12" x14ac:dyDescent="0.3">
      <c r="B433" s="36"/>
      <c r="D433" t="str">
        <f>IF(C433="","",IFERROR(VLOOKUP(C433,RP!A:E,5,0),""))</f>
        <v/>
      </c>
      <c r="E433" t="str">
        <f>IF(C433="","",IFERROR(VLOOKUP(C433,RP!A:F,6,0),""))</f>
        <v/>
      </c>
      <c r="F433" t="str">
        <f>IF(C433="","",IFERROR(VLOOKUP(C433,RP!A:G,7,0),""))</f>
        <v/>
      </c>
      <c r="G433" t="str">
        <f>IF(C433="","",IFERROR(VLOOKUP(C433,RP!A:H,8,0),""))</f>
        <v/>
      </c>
      <c r="H433" s="35"/>
      <c r="K433" s="35" t="str">
        <f>IF(A433="","",SUMIF(PAGO!C:C,A433,PAGO!H:H))</f>
        <v/>
      </c>
      <c r="L433" s="35" t="str">
        <f t="shared" si="6"/>
        <v/>
      </c>
    </row>
    <row r="434" spans="2:12" x14ac:dyDescent="0.3">
      <c r="B434" s="36"/>
      <c r="D434" t="str">
        <f>IF(C434="","",IFERROR(VLOOKUP(C434,RP!A:E,5,0),""))</f>
        <v/>
      </c>
      <c r="E434" t="str">
        <f>IF(C434="","",IFERROR(VLOOKUP(C434,RP!A:F,6,0),""))</f>
        <v/>
      </c>
      <c r="F434" t="str">
        <f>IF(C434="","",IFERROR(VLOOKUP(C434,RP!A:G,7,0),""))</f>
        <v/>
      </c>
      <c r="G434" t="str">
        <f>IF(C434="","",IFERROR(VLOOKUP(C434,RP!A:H,8,0),""))</f>
        <v/>
      </c>
      <c r="H434" s="35"/>
      <c r="K434" s="35" t="str">
        <f>IF(A434="","",SUMIF(PAGO!C:C,A434,PAGO!H:H))</f>
        <v/>
      </c>
      <c r="L434" s="35" t="str">
        <f t="shared" si="6"/>
        <v/>
      </c>
    </row>
    <row r="435" spans="2:12" x14ac:dyDescent="0.3">
      <c r="B435" s="36"/>
      <c r="D435" t="str">
        <f>IF(C435="","",IFERROR(VLOOKUP(C435,RP!A:E,5,0),""))</f>
        <v/>
      </c>
      <c r="E435" t="str">
        <f>IF(C435="","",IFERROR(VLOOKUP(C435,RP!A:F,6,0),""))</f>
        <v/>
      </c>
      <c r="F435" t="str">
        <f>IF(C435="","",IFERROR(VLOOKUP(C435,RP!A:G,7,0),""))</f>
        <v/>
      </c>
      <c r="G435" t="str">
        <f>IF(C435="","",IFERROR(VLOOKUP(C435,RP!A:H,8,0),""))</f>
        <v/>
      </c>
      <c r="H435" s="35"/>
      <c r="K435" s="35" t="str">
        <f>IF(A435="","",SUMIF(PAGO!C:C,A435,PAGO!H:H))</f>
        <v/>
      </c>
      <c r="L435" s="35" t="str">
        <f t="shared" si="6"/>
        <v/>
      </c>
    </row>
    <row r="436" spans="2:12" x14ac:dyDescent="0.3">
      <c r="B436" s="36"/>
      <c r="D436" t="str">
        <f>IF(C436="","",IFERROR(VLOOKUP(C436,RP!A:E,5,0),""))</f>
        <v/>
      </c>
      <c r="E436" t="str">
        <f>IF(C436="","",IFERROR(VLOOKUP(C436,RP!A:F,6,0),""))</f>
        <v/>
      </c>
      <c r="F436" t="str">
        <f>IF(C436="","",IFERROR(VLOOKUP(C436,RP!A:G,7,0),""))</f>
        <v/>
      </c>
      <c r="G436" t="str">
        <f>IF(C436="","",IFERROR(VLOOKUP(C436,RP!A:H,8,0),""))</f>
        <v/>
      </c>
      <c r="H436" s="35"/>
      <c r="K436" s="35" t="str">
        <f>IF(A436="","",SUMIF(PAGO!C:C,A436,PAGO!H:H))</f>
        <v/>
      </c>
      <c r="L436" s="35" t="str">
        <f t="shared" si="6"/>
        <v/>
      </c>
    </row>
    <row r="437" spans="2:12" x14ac:dyDescent="0.3">
      <c r="B437" s="36"/>
      <c r="D437" t="str">
        <f>IF(C437="","",IFERROR(VLOOKUP(C437,RP!A:E,5,0),""))</f>
        <v/>
      </c>
      <c r="E437" t="str">
        <f>IF(C437="","",IFERROR(VLOOKUP(C437,RP!A:F,6,0),""))</f>
        <v/>
      </c>
      <c r="F437" t="str">
        <f>IF(C437="","",IFERROR(VLOOKUP(C437,RP!A:G,7,0),""))</f>
        <v/>
      </c>
      <c r="G437" t="str">
        <f>IF(C437="","",IFERROR(VLOOKUP(C437,RP!A:H,8,0),""))</f>
        <v/>
      </c>
      <c r="H437" s="35"/>
      <c r="K437" s="35" t="str">
        <f>IF(A437="","",SUMIF(PAGO!C:C,A437,PAGO!H:H))</f>
        <v/>
      </c>
      <c r="L437" s="35" t="str">
        <f t="shared" si="6"/>
        <v/>
      </c>
    </row>
    <row r="438" spans="2:12" x14ac:dyDescent="0.3">
      <c r="B438" s="36"/>
      <c r="D438" t="str">
        <f>IF(C438="","",IFERROR(VLOOKUP(C438,RP!A:E,5,0),""))</f>
        <v/>
      </c>
      <c r="E438" t="str">
        <f>IF(C438="","",IFERROR(VLOOKUP(C438,RP!A:F,6,0),""))</f>
        <v/>
      </c>
      <c r="F438" t="str">
        <f>IF(C438="","",IFERROR(VLOOKUP(C438,RP!A:G,7,0),""))</f>
        <v/>
      </c>
      <c r="G438" t="str">
        <f>IF(C438="","",IFERROR(VLOOKUP(C438,RP!A:H,8,0),""))</f>
        <v/>
      </c>
      <c r="H438" s="35"/>
      <c r="K438" s="35" t="str">
        <f>IF(A438="","",SUMIF(PAGO!C:C,A438,PAGO!H:H))</f>
        <v/>
      </c>
      <c r="L438" s="35" t="str">
        <f t="shared" si="6"/>
        <v/>
      </c>
    </row>
    <row r="439" spans="2:12" x14ac:dyDescent="0.3">
      <c r="B439" s="36"/>
      <c r="D439" t="str">
        <f>IF(C439="","",IFERROR(VLOOKUP(C439,RP!A:E,5,0),""))</f>
        <v/>
      </c>
      <c r="E439" t="str">
        <f>IF(C439="","",IFERROR(VLOOKUP(C439,RP!A:F,6,0),""))</f>
        <v/>
      </c>
      <c r="F439" t="str">
        <f>IF(C439="","",IFERROR(VLOOKUP(C439,RP!A:G,7,0),""))</f>
        <v/>
      </c>
      <c r="G439" t="str">
        <f>IF(C439="","",IFERROR(VLOOKUP(C439,RP!A:H,8,0),""))</f>
        <v/>
      </c>
      <c r="H439" s="35"/>
      <c r="K439" s="35" t="str">
        <f>IF(A439="","",SUMIF(PAGO!C:C,A439,PAGO!H:H))</f>
        <v/>
      </c>
      <c r="L439" s="35" t="str">
        <f t="shared" si="6"/>
        <v/>
      </c>
    </row>
    <row r="440" spans="2:12" x14ac:dyDescent="0.3">
      <c r="B440" s="36"/>
      <c r="D440" t="str">
        <f>IF(C440="","",IFERROR(VLOOKUP(C440,RP!A:E,5,0),""))</f>
        <v/>
      </c>
      <c r="E440" t="str">
        <f>IF(C440="","",IFERROR(VLOOKUP(C440,RP!A:F,6,0),""))</f>
        <v/>
      </c>
      <c r="F440" t="str">
        <f>IF(C440="","",IFERROR(VLOOKUP(C440,RP!A:G,7,0),""))</f>
        <v/>
      </c>
      <c r="G440" t="str">
        <f>IF(C440="","",IFERROR(VLOOKUP(C440,RP!A:H,8,0),""))</f>
        <v/>
      </c>
      <c r="H440" s="35"/>
      <c r="K440" s="35" t="str">
        <f>IF(A440="","",SUMIF(PAGO!C:C,A440,PAGO!H:H))</f>
        <v/>
      </c>
      <c r="L440" s="35" t="str">
        <f t="shared" si="6"/>
        <v/>
      </c>
    </row>
    <row r="441" spans="2:12" x14ac:dyDescent="0.3">
      <c r="B441" s="36"/>
      <c r="D441" t="str">
        <f>IF(C441="","",IFERROR(VLOOKUP(C441,RP!A:E,5,0),""))</f>
        <v/>
      </c>
      <c r="E441" t="str">
        <f>IF(C441="","",IFERROR(VLOOKUP(C441,RP!A:F,6,0),""))</f>
        <v/>
      </c>
      <c r="F441" t="str">
        <f>IF(C441="","",IFERROR(VLOOKUP(C441,RP!A:G,7,0),""))</f>
        <v/>
      </c>
      <c r="G441" t="str">
        <f>IF(C441="","",IFERROR(VLOOKUP(C441,RP!A:H,8,0),""))</f>
        <v/>
      </c>
      <c r="H441" s="35"/>
      <c r="K441" s="35" t="str">
        <f>IF(A441="","",SUMIF(PAGO!C:C,A441,PAGO!H:H))</f>
        <v/>
      </c>
      <c r="L441" s="35" t="str">
        <f t="shared" si="6"/>
        <v/>
      </c>
    </row>
    <row r="442" spans="2:12" x14ac:dyDescent="0.3">
      <c r="B442" s="36"/>
      <c r="D442" t="str">
        <f>IF(C442="","",IFERROR(VLOOKUP(C442,RP!A:E,5,0),""))</f>
        <v/>
      </c>
      <c r="E442" t="str">
        <f>IF(C442="","",IFERROR(VLOOKUP(C442,RP!A:F,6,0),""))</f>
        <v/>
      </c>
      <c r="F442" t="str">
        <f>IF(C442="","",IFERROR(VLOOKUP(C442,RP!A:G,7,0),""))</f>
        <v/>
      </c>
      <c r="G442" t="str">
        <f>IF(C442="","",IFERROR(VLOOKUP(C442,RP!A:H,8,0),""))</f>
        <v/>
      </c>
      <c r="H442" s="35"/>
      <c r="K442" s="35" t="str">
        <f>IF(A442="","",SUMIF(PAGO!C:C,A442,PAGO!H:H))</f>
        <v/>
      </c>
      <c r="L442" s="35" t="str">
        <f t="shared" si="6"/>
        <v/>
      </c>
    </row>
    <row r="443" spans="2:12" x14ac:dyDescent="0.3">
      <c r="B443" s="36"/>
      <c r="D443" t="str">
        <f>IF(C443="","",IFERROR(VLOOKUP(C443,RP!A:E,5,0),""))</f>
        <v/>
      </c>
      <c r="E443" t="str">
        <f>IF(C443="","",IFERROR(VLOOKUP(C443,RP!A:F,6,0),""))</f>
        <v/>
      </c>
      <c r="F443" t="str">
        <f>IF(C443="","",IFERROR(VLOOKUP(C443,RP!A:G,7,0),""))</f>
        <v/>
      </c>
      <c r="G443" t="str">
        <f>IF(C443="","",IFERROR(VLOOKUP(C443,RP!A:H,8,0),""))</f>
        <v/>
      </c>
      <c r="H443" s="35"/>
      <c r="K443" s="35" t="str">
        <f>IF(A443="","",SUMIF(PAGO!C:C,A443,PAGO!H:H))</f>
        <v/>
      </c>
      <c r="L443" s="35" t="str">
        <f t="shared" si="6"/>
        <v/>
      </c>
    </row>
    <row r="444" spans="2:12" x14ac:dyDescent="0.3">
      <c r="B444" s="36"/>
      <c r="D444" t="str">
        <f>IF(C444="","",IFERROR(VLOOKUP(C444,RP!A:E,5,0),""))</f>
        <v/>
      </c>
      <c r="E444" t="str">
        <f>IF(C444="","",IFERROR(VLOOKUP(C444,RP!A:F,6,0),""))</f>
        <v/>
      </c>
      <c r="F444" t="str">
        <f>IF(C444="","",IFERROR(VLOOKUP(C444,RP!A:G,7,0),""))</f>
        <v/>
      </c>
      <c r="G444" t="str">
        <f>IF(C444="","",IFERROR(VLOOKUP(C444,RP!A:H,8,0),""))</f>
        <v/>
      </c>
      <c r="H444" s="35"/>
      <c r="K444" s="35" t="str">
        <f>IF(A444="","",SUMIF(PAGO!C:C,A444,PAGO!H:H))</f>
        <v/>
      </c>
      <c r="L444" s="35" t="str">
        <f t="shared" si="6"/>
        <v/>
      </c>
    </row>
    <row r="445" spans="2:12" x14ac:dyDescent="0.3">
      <c r="B445" s="36"/>
      <c r="D445" t="str">
        <f>IF(C445="","",IFERROR(VLOOKUP(C445,RP!A:E,5,0),""))</f>
        <v/>
      </c>
      <c r="E445" t="str">
        <f>IF(C445="","",IFERROR(VLOOKUP(C445,RP!A:F,6,0),""))</f>
        <v/>
      </c>
      <c r="F445" t="str">
        <f>IF(C445="","",IFERROR(VLOOKUP(C445,RP!A:G,7,0),""))</f>
        <v/>
      </c>
      <c r="G445" t="str">
        <f>IF(C445="","",IFERROR(VLOOKUP(C445,RP!A:H,8,0),""))</f>
        <v/>
      </c>
      <c r="H445" s="35"/>
      <c r="K445" s="35" t="str">
        <f>IF(A445="","",SUMIF(PAGO!C:C,A445,PAGO!H:H))</f>
        <v/>
      </c>
      <c r="L445" s="35" t="str">
        <f t="shared" si="6"/>
        <v/>
      </c>
    </row>
    <row r="446" spans="2:12" x14ac:dyDescent="0.3">
      <c r="B446" s="36"/>
      <c r="D446" t="str">
        <f>IF(C446="","",IFERROR(VLOOKUP(C446,RP!A:E,5,0),""))</f>
        <v/>
      </c>
      <c r="E446" t="str">
        <f>IF(C446="","",IFERROR(VLOOKUP(C446,RP!A:F,6,0),""))</f>
        <v/>
      </c>
      <c r="F446" t="str">
        <f>IF(C446="","",IFERROR(VLOOKUP(C446,RP!A:G,7,0),""))</f>
        <v/>
      </c>
      <c r="G446" t="str">
        <f>IF(C446="","",IFERROR(VLOOKUP(C446,RP!A:H,8,0),""))</f>
        <v/>
      </c>
      <c r="H446" s="35"/>
      <c r="K446" s="35" t="str">
        <f>IF(A446="","",SUMIF(PAGO!C:C,A446,PAGO!H:H))</f>
        <v/>
      </c>
      <c r="L446" s="35" t="str">
        <f t="shared" si="6"/>
        <v/>
      </c>
    </row>
    <row r="447" spans="2:12" x14ac:dyDescent="0.3">
      <c r="B447" s="36"/>
      <c r="D447" t="str">
        <f>IF(C447="","",IFERROR(VLOOKUP(C447,RP!A:E,5,0),""))</f>
        <v/>
      </c>
      <c r="E447" t="str">
        <f>IF(C447="","",IFERROR(VLOOKUP(C447,RP!A:F,6,0),""))</f>
        <v/>
      </c>
      <c r="F447" t="str">
        <f>IF(C447="","",IFERROR(VLOOKUP(C447,RP!A:G,7,0),""))</f>
        <v/>
      </c>
      <c r="G447" t="str">
        <f>IF(C447="","",IFERROR(VLOOKUP(C447,RP!A:H,8,0),""))</f>
        <v/>
      </c>
      <c r="H447" s="35"/>
      <c r="K447" s="35" t="str">
        <f>IF(A447="","",SUMIF(PAGO!C:C,A447,PAGO!H:H))</f>
        <v/>
      </c>
      <c r="L447" s="35" t="str">
        <f t="shared" si="6"/>
        <v/>
      </c>
    </row>
    <row r="448" spans="2:12" x14ac:dyDescent="0.3">
      <c r="B448" s="36"/>
      <c r="D448" t="str">
        <f>IF(C448="","",IFERROR(VLOOKUP(C448,RP!A:E,5,0),""))</f>
        <v/>
      </c>
      <c r="E448" t="str">
        <f>IF(C448="","",IFERROR(VLOOKUP(C448,RP!A:F,6,0),""))</f>
        <v/>
      </c>
      <c r="F448" t="str">
        <f>IF(C448="","",IFERROR(VLOOKUP(C448,RP!A:G,7,0),""))</f>
        <v/>
      </c>
      <c r="G448" t="str">
        <f>IF(C448="","",IFERROR(VLOOKUP(C448,RP!A:H,8,0),""))</f>
        <v/>
      </c>
      <c r="H448" s="35"/>
      <c r="K448" s="35" t="str">
        <f>IF(A448="","",SUMIF(PAGO!C:C,A448,PAGO!H:H))</f>
        <v/>
      </c>
      <c r="L448" s="35" t="str">
        <f t="shared" si="6"/>
        <v/>
      </c>
    </row>
    <row r="449" spans="2:12" x14ac:dyDescent="0.3">
      <c r="B449" s="36"/>
      <c r="D449" t="str">
        <f>IF(C449="","",IFERROR(VLOOKUP(C449,RP!A:E,5,0),""))</f>
        <v/>
      </c>
      <c r="E449" t="str">
        <f>IF(C449="","",IFERROR(VLOOKUP(C449,RP!A:F,6,0),""))</f>
        <v/>
      </c>
      <c r="F449" t="str">
        <f>IF(C449="","",IFERROR(VLOOKUP(C449,RP!A:G,7,0),""))</f>
        <v/>
      </c>
      <c r="G449" t="str">
        <f>IF(C449="","",IFERROR(VLOOKUP(C449,RP!A:H,8,0),""))</f>
        <v/>
      </c>
      <c r="H449" s="35"/>
      <c r="K449" s="35" t="str">
        <f>IF(A449="","",SUMIF(PAGO!C:C,A449,PAGO!H:H))</f>
        <v/>
      </c>
      <c r="L449" s="35" t="str">
        <f t="shared" si="6"/>
        <v/>
      </c>
    </row>
    <row r="450" spans="2:12" x14ac:dyDescent="0.3">
      <c r="B450" s="36"/>
      <c r="D450" t="str">
        <f>IF(C450="","",IFERROR(VLOOKUP(C450,RP!A:E,5,0),""))</f>
        <v/>
      </c>
      <c r="E450" t="str">
        <f>IF(C450="","",IFERROR(VLOOKUP(C450,RP!A:F,6,0),""))</f>
        <v/>
      </c>
      <c r="F450" t="str">
        <f>IF(C450="","",IFERROR(VLOOKUP(C450,RP!A:G,7,0),""))</f>
        <v/>
      </c>
      <c r="G450" t="str">
        <f>IF(C450="","",IFERROR(VLOOKUP(C450,RP!A:H,8,0),""))</f>
        <v/>
      </c>
      <c r="H450" s="35"/>
      <c r="K450" s="35" t="str">
        <f>IF(A450="","",SUMIF(PAGO!C:C,A450,PAGO!H:H))</f>
        <v/>
      </c>
      <c r="L450" s="35" t="str">
        <f t="shared" ref="L450:L500" si="7">IF(A450="","",H450-K450)</f>
        <v/>
      </c>
    </row>
    <row r="451" spans="2:12" x14ac:dyDescent="0.3">
      <c r="B451" s="36"/>
      <c r="D451" t="str">
        <f>IF(C451="","",IFERROR(VLOOKUP(C451,RP!A:E,5,0),""))</f>
        <v/>
      </c>
      <c r="E451" t="str">
        <f>IF(C451="","",IFERROR(VLOOKUP(C451,RP!A:F,6,0),""))</f>
        <v/>
      </c>
      <c r="F451" t="str">
        <f>IF(C451="","",IFERROR(VLOOKUP(C451,RP!A:G,7,0),""))</f>
        <v/>
      </c>
      <c r="G451" t="str">
        <f>IF(C451="","",IFERROR(VLOOKUP(C451,RP!A:H,8,0),""))</f>
        <v/>
      </c>
      <c r="H451" s="35"/>
      <c r="K451" s="35" t="str">
        <f>IF(A451="","",SUMIF(PAGO!C:C,A451,PAGO!H:H))</f>
        <v/>
      </c>
      <c r="L451" s="35" t="str">
        <f t="shared" si="7"/>
        <v/>
      </c>
    </row>
    <row r="452" spans="2:12" x14ac:dyDescent="0.3">
      <c r="B452" s="36"/>
      <c r="D452" t="str">
        <f>IF(C452="","",IFERROR(VLOOKUP(C452,RP!A:E,5,0),""))</f>
        <v/>
      </c>
      <c r="E452" t="str">
        <f>IF(C452="","",IFERROR(VLOOKUP(C452,RP!A:F,6,0),""))</f>
        <v/>
      </c>
      <c r="F452" t="str">
        <f>IF(C452="","",IFERROR(VLOOKUP(C452,RP!A:G,7,0),""))</f>
        <v/>
      </c>
      <c r="G452" t="str">
        <f>IF(C452="","",IFERROR(VLOOKUP(C452,RP!A:H,8,0),""))</f>
        <v/>
      </c>
      <c r="H452" s="35"/>
      <c r="K452" s="35" t="str">
        <f>IF(A452="","",SUMIF(PAGO!C:C,A452,PAGO!H:H))</f>
        <v/>
      </c>
      <c r="L452" s="35" t="str">
        <f t="shared" si="7"/>
        <v/>
      </c>
    </row>
    <row r="453" spans="2:12" x14ac:dyDescent="0.3">
      <c r="B453" s="36"/>
      <c r="D453" t="str">
        <f>IF(C453="","",IFERROR(VLOOKUP(C453,RP!A:E,5,0),""))</f>
        <v/>
      </c>
      <c r="E453" t="str">
        <f>IF(C453="","",IFERROR(VLOOKUP(C453,RP!A:F,6,0),""))</f>
        <v/>
      </c>
      <c r="F453" t="str">
        <f>IF(C453="","",IFERROR(VLOOKUP(C453,RP!A:G,7,0),""))</f>
        <v/>
      </c>
      <c r="G453" t="str">
        <f>IF(C453="","",IFERROR(VLOOKUP(C453,RP!A:H,8,0),""))</f>
        <v/>
      </c>
      <c r="H453" s="35"/>
      <c r="K453" s="35" t="str">
        <f>IF(A453="","",SUMIF(PAGO!C:C,A453,PAGO!H:H))</f>
        <v/>
      </c>
      <c r="L453" s="35" t="str">
        <f t="shared" si="7"/>
        <v/>
      </c>
    </row>
    <row r="454" spans="2:12" x14ac:dyDescent="0.3">
      <c r="B454" s="36"/>
      <c r="D454" t="str">
        <f>IF(C454="","",IFERROR(VLOOKUP(C454,RP!A:E,5,0),""))</f>
        <v/>
      </c>
      <c r="E454" t="str">
        <f>IF(C454="","",IFERROR(VLOOKUP(C454,RP!A:F,6,0),""))</f>
        <v/>
      </c>
      <c r="F454" t="str">
        <f>IF(C454="","",IFERROR(VLOOKUP(C454,RP!A:G,7,0),""))</f>
        <v/>
      </c>
      <c r="G454" t="str">
        <f>IF(C454="","",IFERROR(VLOOKUP(C454,RP!A:H,8,0),""))</f>
        <v/>
      </c>
      <c r="H454" s="35"/>
      <c r="K454" s="35" t="str">
        <f>IF(A454="","",SUMIF(PAGO!C:C,A454,PAGO!H:H))</f>
        <v/>
      </c>
      <c r="L454" s="35" t="str">
        <f t="shared" si="7"/>
        <v/>
      </c>
    </row>
    <row r="455" spans="2:12" x14ac:dyDescent="0.3">
      <c r="B455" s="36"/>
      <c r="D455" t="str">
        <f>IF(C455="","",IFERROR(VLOOKUP(C455,RP!A:E,5,0),""))</f>
        <v/>
      </c>
      <c r="E455" t="str">
        <f>IF(C455="","",IFERROR(VLOOKUP(C455,RP!A:F,6,0),""))</f>
        <v/>
      </c>
      <c r="F455" t="str">
        <f>IF(C455="","",IFERROR(VLOOKUP(C455,RP!A:G,7,0),""))</f>
        <v/>
      </c>
      <c r="G455" t="str">
        <f>IF(C455="","",IFERROR(VLOOKUP(C455,RP!A:H,8,0),""))</f>
        <v/>
      </c>
      <c r="H455" s="35"/>
      <c r="K455" s="35" t="str">
        <f>IF(A455="","",SUMIF(PAGO!C:C,A455,PAGO!H:H))</f>
        <v/>
      </c>
      <c r="L455" s="35" t="str">
        <f t="shared" si="7"/>
        <v/>
      </c>
    </row>
    <row r="456" spans="2:12" x14ac:dyDescent="0.3">
      <c r="B456" s="36"/>
      <c r="D456" t="str">
        <f>IF(C456="","",IFERROR(VLOOKUP(C456,RP!A:E,5,0),""))</f>
        <v/>
      </c>
      <c r="E456" t="str">
        <f>IF(C456="","",IFERROR(VLOOKUP(C456,RP!A:F,6,0),""))</f>
        <v/>
      </c>
      <c r="F456" t="str">
        <f>IF(C456="","",IFERROR(VLOOKUP(C456,RP!A:G,7,0),""))</f>
        <v/>
      </c>
      <c r="G456" t="str">
        <f>IF(C456="","",IFERROR(VLOOKUP(C456,RP!A:H,8,0),""))</f>
        <v/>
      </c>
      <c r="H456" s="35"/>
      <c r="K456" s="35" t="str">
        <f>IF(A456="","",SUMIF(PAGO!C:C,A456,PAGO!H:H))</f>
        <v/>
      </c>
      <c r="L456" s="35" t="str">
        <f t="shared" si="7"/>
        <v/>
      </c>
    </row>
    <row r="457" spans="2:12" x14ac:dyDescent="0.3">
      <c r="B457" s="36"/>
      <c r="D457" t="str">
        <f>IF(C457="","",IFERROR(VLOOKUP(C457,RP!A:E,5,0),""))</f>
        <v/>
      </c>
      <c r="E457" t="str">
        <f>IF(C457="","",IFERROR(VLOOKUP(C457,RP!A:F,6,0),""))</f>
        <v/>
      </c>
      <c r="F457" t="str">
        <f>IF(C457="","",IFERROR(VLOOKUP(C457,RP!A:G,7,0),""))</f>
        <v/>
      </c>
      <c r="G457" t="str">
        <f>IF(C457="","",IFERROR(VLOOKUP(C457,RP!A:H,8,0),""))</f>
        <v/>
      </c>
      <c r="H457" s="35"/>
      <c r="K457" s="35" t="str">
        <f>IF(A457="","",SUMIF(PAGO!C:C,A457,PAGO!H:H))</f>
        <v/>
      </c>
      <c r="L457" s="35" t="str">
        <f t="shared" si="7"/>
        <v/>
      </c>
    </row>
    <row r="458" spans="2:12" x14ac:dyDescent="0.3">
      <c r="B458" s="36"/>
      <c r="D458" t="str">
        <f>IF(C458="","",IFERROR(VLOOKUP(C458,RP!A:E,5,0),""))</f>
        <v/>
      </c>
      <c r="E458" t="str">
        <f>IF(C458="","",IFERROR(VLOOKUP(C458,RP!A:F,6,0),""))</f>
        <v/>
      </c>
      <c r="F458" t="str">
        <f>IF(C458="","",IFERROR(VLOOKUP(C458,RP!A:G,7,0),""))</f>
        <v/>
      </c>
      <c r="G458" t="str">
        <f>IF(C458="","",IFERROR(VLOOKUP(C458,RP!A:H,8,0),""))</f>
        <v/>
      </c>
      <c r="H458" s="35"/>
      <c r="K458" s="35" t="str">
        <f>IF(A458="","",SUMIF(PAGO!C:C,A458,PAGO!H:H))</f>
        <v/>
      </c>
      <c r="L458" s="35" t="str">
        <f t="shared" si="7"/>
        <v/>
      </c>
    </row>
    <row r="459" spans="2:12" x14ac:dyDescent="0.3">
      <c r="B459" s="36"/>
      <c r="D459" t="str">
        <f>IF(C459="","",IFERROR(VLOOKUP(C459,RP!A:E,5,0),""))</f>
        <v/>
      </c>
      <c r="E459" t="str">
        <f>IF(C459="","",IFERROR(VLOOKUP(C459,RP!A:F,6,0),""))</f>
        <v/>
      </c>
      <c r="F459" t="str">
        <f>IF(C459="","",IFERROR(VLOOKUP(C459,RP!A:G,7,0),""))</f>
        <v/>
      </c>
      <c r="G459" t="str">
        <f>IF(C459="","",IFERROR(VLOOKUP(C459,RP!A:H,8,0),""))</f>
        <v/>
      </c>
      <c r="H459" s="35"/>
      <c r="K459" s="35" t="str">
        <f>IF(A459="","",SUMIF(PAGO!C:C,A459,PAGO!H:H))</f>
        <v/>
      </c>
      <c r="L459" s="35" t="str">
        <f t="shared" si="7"/>
        <v/>
      </c>
    </row>
    <row r="460" spans="2:12" x14ac:dyDescent="0.3">
      <c r="B460" s="36"/>
      <c r="D460" t="str">
        <f>IF(C460="","",IFERROR(VLOOKUP(C460,RP!A:E,5,0),""))</f>
        <v/>
      </c>
      <c r="E460" t="str">
        <f>IF(C460="","",IFERROR(VLOOKUP(C460,RP!A:F,6,0),""))</f>
        <v/>
      </c>
      <c r="F460" t="str">
        <f>IF(C460="","",IFERROR(VLOOKUP(C460,RP!A:G,7,0),""))</f>
        <v/>
      </c>
      <c r="G460" t="str">
        <f>IF(C460="","",IFERROR(VLOOKUP(C460,RP!A:H,8,0),""))</f>
        <v/>
      </c>
      <c r="H460" s="35"/>
      <c r="K460" s="35" t="str">
        <f>IF(A460="","",SUMIF(PAGO!C:C,A460,PAGO!H:H))</f>
        <v/>
      </c>
      <c r="L460" s="35" t="str">
        <f t="shared" si="7"/>
        <v/>
      </c>
    </row>
    <row r="461" spans="2:12" x14ac:dyDescent="0.3">
      <c r="B461" s="36"/>
      <c r="D461" t="str">
        <f>IF(C461="","",IFERROR(VLOOKUP(C461,RP!A:E,5,0),""))</f>
        <v/>
      </c>
      <c r="E461" t="str">
        <f>IF(C461="","",IFERROR(VLOOKUP(C461,RP!A:F,6,0),""))</f>
        <v/>
      </c>
      <c r="F461" t="str">
        <f>IF(C461="","",IFERROR(VLOOKUP(C461,RP!A:G,7,0),""))</f>
        <v/>
      </c>
      <c r="G461" t="str">
        <f>IF(C461="","",IFERROR(VLOOKUP(C461,RP!A:H,8,0),""))</f>
        <v/>
      </c>
      <c r="H461" s="35"/>
      <c r="K461" s="35" t="str">
        <f>IF(A461="","",SUMIF(PAGO!C:C,A461,PAGO!H:H))</f>
        <v/>
      </c>
      <c r="L461" s="35" t="str">
        <f t="shared" si="7"/>
        <v/>
      </c>
    </row>
    <row r="462" spans="2:12" x14ac:dyDescent="0.3">
      <c r="B462" s="36"/>
      <c r="D462" t="str">
        <f>IF(C462="","",IFERROR(VLOOKUP(C462,RP!A:E,5,0),""))</f>
        <v/>
      </c>
      <c r="E462" t="str">
        <f>IF(C462="","",IFERROR(VLOOKUP(C462,RP!A:F,6,0),""))</f>
        <v/>
      </c>
      <c r="F462" t="str">
        <f>IF(C462="","",IFERROR(VLOOKUP(C462,RP!A:G,7,0),""))</f>
        <v/>
      </c>
      <c r="G462" t="str">
        <f>IF(C462="","",IFERROR(VLOOKUP(C462,RP!A:H,8,0),""))</f>
        <v/>
      </c>
      <c r="H462" s="35"/>
      <c r="K462" s="35" t="str">
        <f>IF(A462="","",SUMIF(PAGO!C:C,A462,PAGO!H:H))</f>
        <v/>
      </c>
      <c r="L462" s="35" t="str">
        <f t="shared" si="7"/>
        <v/>
      </c>
    </row>
    <row r="463" spans="2:12" x14ac:dyDescent="0.3">
      <c r="B463" s="36"/>
      <c r="D463" t="str">
        <f>IF(C463="","",IFERROR(VLOOKUP(C463,RP!A:E,5,0),""))</f>
        <v/>
      </c>
      <c r="E463" t="str">
        <f>IF(C463="","",IFERROR(VLOOKUP(C463,RP!A:F,6,0),""))</f>
        <v/>
      </c>
      <c r="F463" t="str">
        <f>IF(C463="","",IFERROR(VLOOKUP(C463,RP!A:G,7,0),""))</f>
        <v/>
      </c>
      <c r="G463" t="str">
        <f>IF(C463="","",IFERROR(VLOOKUP(C463,RP!A:H,8,0),""))</f>
        <v/>
      </c>
      <c r="H463" s="35"/>
      <c r="K463" s="35" t="str">
        <f>IF(A463="","",SUMIF(PAGO!C:C,A463,PAGO!H:H))</f>
        <v/>
      </c>
      <c r="L463" s="35" t="str">
        <f t="shared" si="7"/>
        <v/>
      </c>
    </row>
    <row r="464" spans="2:12" x14ac:dyDescent="0.3">
      <c r="B464" s="36"/>
      <c r="D464" t="str">
        <f>IF(C464="","",IFERROR(VLOOKUP(C464,RP!A:E,5,0),""))</f>
        <v/>
      </c>
      <c r="E464" t="str">
        <f>IF(C464="","",IFERROR(VLOOKUP(C464,RP!A:F,6,0),""))</f>
        <v/>
      </c>
      <c r="F464" t="str">
        <f>IF(C464="","",IFERROR(VLOOKUP(C464,RP!A:G,7,0),""))</f>
        <v/>
      </c>
      <c r="G464" t="str">
        <f>IF(C464="","",IFERROR(VLOOKUP(C464,RP!A:H,8,0),""))</f>
        <v/>
      </c>
      <c r="H464" s="35"/>
      <c r="K464" s="35" t="str">
        <f>IF(A464="","",SUMIF(PAGO!C:C,A464,PAGO!H:H))</f>
        <v/>
      </c>
      <c r="L464" s="35" t="str">
        <f t="shared" si="7"/>
        <v/>
      </c>
    </row>
    <row r="465" spans="2:12" x14ac:dyDescent="0.3">
      <c r="B465" s="36"/>
      <c r="D465" t="str">
        <f>IF(C465="","",IFERROR(VLOOKUP(C465,RP!A:E,5,0),""))</f>
        <v/>
      </c>
      <c r="E465" t="str">
        <f>IF(C465="","",IFERROR(VLOOKUP(C465,RP!A:F,6,0),""))</f>
        <v/>
      </c>
      <c r="F465" t="str">
        <f>IF(C465="","",IFERROR(VLOOKUP(C465,RP!A:G,7,0),""))</f>
        <v/>
      </c>
      <c r="G465" t="str">
        <f>IF(C465="","",IFERROR(VLOOKUP(C465,RP!A:H,8,0),""))</f>
        <v/>
      </c>
      <c r="H465" s="35"/>
      <c r="K465" s="35" t="str">
        <f>IF(A465="","",SUMIF(PAGO!C:C,A465,PAGO!H:H))</f>
        <v/>
      </c>
      <c r="L465" s="35" t="str">
        <f t="shared" si="7"/>
        <v/>
      </c>
    </row>
    <row r="466" spans="2:12" x14ac:dyDescent="0.3">
      <c r="B466" s="36"/>
      <c r="D466" t="str">
        <f>IF(C466="","",IFERROR(VLOOKUP(C466,RP!A:E,5,0),""))</f>
        <v/>
      </c>
      <c r="E466" t="str">
        <f>IF(C466="","",IFERROR(VLOOKUP(C466,RP!A:F,6,0),""))</f>
        <v/>
      </c>
      <c r="F466" t="str">
        <f>IF(C466="","",IFERROR(VLOOKUP(C466,RP!A:G,7,0),""))</f>
        <v/>
      </c>
      <c r="G466" t="str">
        <f>IF(C466="","",IFERROR(VLOOKUP(C466,RP!A:H,8,0),""))</f>
        <v/>
      </c>
      <c r="H466" s="35"/>
      <c r="K466" s="35" t="str">
        <f>IF(A466="","",SUMIF(PAGO!C:C,A466,PAGO!H:H))</f>
        <v/>
      </c>
      <c r="L466" s="35" t="str">
        <f t="shared" si="7"/>
        <v/>
      </c>
    </row>
    <row r="467" spans="2:12" x14ac:dyDescent="0.3">
      <c r="B467" s="36"/>
      <c r="D467" t="str">
        <f>IF(C467="","",IFERROR(VLOOKUP(C467,RP!A:E,5,0),""))</f>
        <v/>
      </c>
      <c r="E467" t="str">
        <f>IF(C467="","",IFERROR(VLOOKUP(C467,RP!A:F,6,0),""))</f>
        <v/>
      </c>
      <c r="F467" t="str">
        <f>IF(C467="","",IFERROR(VLOOKUP(C467,RP!A:G,7,0),""))</f>
        <v/>
      </c>
      <c r="G467" t="str">
        <f>IF(C467="","",IFERROR(VLOOKUP(C467,RP!A:H,8,0),""))</f>
        <v/>
      </c>
      <c r="H467" s="35"/>
      <c r="K467" s="35" t="str">
        <f>IF(A467="","",SUMIF(PAGO!C:C,A467,PAGO!H:H))</f>
        <v/>
      </c>
      <c r="L467" s="35" t="str">
        <f t="shared" si="7"/>
        <v/>
      </c>
    </row>
    <row r="468" spans="2:12" x14ac:dyDescent="0.3">
      <c r="B468" s="36"/>
      <c r="D468" t="str">
        <f>IF(C468="","",IFERROR(VLOOKUP(C468,RP!A:E,5,0),""))</f>
        <v/>
      </c>
      <c r="E468" t="str">
        <f>IF(C468="","",IFERROR(VLOOKUP(C468,RP!A:F,6,0),""))</f>
        <v/>
      </c>
      <c r="F468" t="str">
        <f>IF(C468="","",IFERROR(VLOOKUP(C468,RP!A:G,7,0),""))</f>
        <v/>
      </c>
      <c r="G468" t="str">
        <f>IF(C468="","",IFERROR(VLOOKUP(C468,RP!A:H,8,0),""))</f>
        <v/>
      </c>
      <c r="H468" s="35"/>
      <c r="K468" s="35" t="str">
        <f>IF(A468="","",SUMIF(PAGO!C:C,A468,PAGO!H:H))</f>
        <v/>
      </c>
      <c r="L468" s="35" t="str">
        <f t="shared" si="7"/>
        <v/>
      </c>
    </row>
    <row r="469" spans="2:12" x14ac:dyDescent="0.3">
      <c r="B469" s="36"/>
      <c r="D469" t="str">
        <f>IF(C469="","",IFERROR(VLOOKUP(C469,RP!A:E,5,0),""))</f>
        <v/>
      </c>
      <c r="E469" t="str">
        <f>IF(C469="","",IFERROR(VLOOKUP(C469,RP!A:F,6,0),""))</f>
        <v/>
      </c>
      <c r="F469" t="str">
        <f>IF(C469="","",IFERROR(VLOOKUP(C469,RP!A:G,7,0),""))</f>
        <v/>
      </c>
      <c r="G469" t="str">
        <f>IF(C469="","",IFERROR(VLOOKUP(C469,RP!A:H,8,0),""))</f>
        <v/>
      </c>
      <c r="H469" s="35"/>
      <c r="K469" s="35" t="str">
        <f>IF(A469="","",SUMIF(PAGO!C:C,A469,PAGO!H:H))</f>
        <v/>
      </c>
      <c r="L469" s="35" t="str">
        <f t="shared" si="7"/>
        <v/>
      </c>
    </row>
    <row r="470" spans="2:12" x14ac:dyDescent="0.3">
      <c r="B470" s="36"/>
      <c r="D470" t="str">
        <f>IF(C470="","",IFERROR(VLOOKUP(C470,RP!A:E,5,0),""))</f>
        <v/>
      </c>
      <c r="E470" t="str">
        <f>IF(C470="","",IFERROR(VLOOKUP(C470,RP!A:F,6,0),""))</f>
        <v/>
      </c>
      <c r="F470" t="str">
        <f>IF(C470="","",IFERROR(VLOOKUP(C470,RP!A:G,7,0),""))</f>
        <v/>
      </c>
      <c r="G470" t="str">
        <f>IF(C470="","",IFERROR(VLOOKUP(C470,RP!A:H,8,0),""))</f>
        <v/>
      </c>
      <c r="H470" s="35"/>
      <c r="K470" s="35" t="str">
        <f>IF(A470="","",SUMIF(PAGO!C:C,A470,PAGO!H:H))</f>
        <v/>
      </c>
      <c r="L470" s="35" t="str">
        <f t="shared" si="7"/>
        <v/>
      </c>
    </row>
    <row r="471" spans="2:12" x14ac:dyDescent="0.3">
      <c r="B471" s="36"/>
      <c r="D471" t="str">
        <f>IF(C471="","",IFERROR(VLOOKUP(C471,RP!A:E,5,0),""))</f>
        <v/>
      </c>
      <c r="E471" t="str">
        <f>IF(C471="","",IFERROR(VLOOKUP(C471,RP!A:F,6,0),""))</f>
        <v/>
      </c>
      <c r="F471" t="str">
        <f>IF(C471="","",IFERROR(VLOOKUP(C471,RP!A:G,7,0),""))</f>
        <v/>
      </c>
      <c r="G471" t="str">
        <f>IF(C471="","",IFERROR(VLOOKUP(C471,RP!A:H,8,0),""))</f>
        <v/>
      </c>
      <c r="H471" s="35"/>
      <c r="K471" s="35" t="str">
        <f>IF(A471="","",SUMIF(PAGO!C:C,A471,PAGO!H:H))</f>
        <v/>
      </c>
      <c r="L471" s="35" t="str">
        <f t="shared" si="7"/>
        <v/>
      </c>
    </row>
    <row r="472" spans="2:12" x14ac:dyDescent="0.3">
      <c r="B472" s="36"/>
      <c r="D472" t="str">
        <f>IF(C472="","",IFERROR(VLOOKUP(C472,RP!A:E,5,0),""))</f>
        <v/>
      </c>
      <c r="E472" t="str">
        <f>IF(C472="","",IFERROR(VLOOKUP(C472,RP!A:F,6,0),""))</f>
        <v/>
      </c>
      <c r="F472" t="str">
        <f>IF(C472="","",IFERROR(VLOOKUP(C472,RP!A:G,7,0),""))</f>
        <v/>
      </c>
      <c r="G472" t="str">
        <f>IF(C472="","",IFERROR(VLOOKUP(C472,RP!A:H,8,0),""))</f>
        <v/>
      </c>
      <c r="H472" s="35"/>
      <c r="K472" s="35" t="str">
        <f>IF(A472="","",SUMIF(PAGO!C:C,A472,PAGO!H:H))</f>
        <v/>
      </c>
      <c r="L472" s="35" t="str">
        <f t="shared" si="7"/>
        <v/>
      </c>
    </row>
    <row r="473" spans="2:12" x14ac:dyDescent="0.3">
      <c r="B473" s="36"/>
      <c r="D473" t="str">
        <f>IF(C473="","",IFERROR(VLOOKUP(C473,RP!A:E,5,0),""))</f>
        <v/>
      </c>
      <c r="E473" t="str">
        <f>IF(C473="","",IFERROR(VLOOKUP(C473,RP!A:F,6,0),""))</f>
        <v/>
      </c>
      <c r="F473" t="str">
        <f>IF(C473="","",IFERROR(VLOOKUP(C473,RP!A:G,7,0),""))</f>
        <v/>
      </c>
      <c r="G473" t="str">
        <f>IF(C473="","",IFERROR(VLOOKUP(C473,RP!A:H,8,0),""))</f>
        <v/>
      </c>
      <c r="H473" s="35"/>
      <c r="K473" s="35" t="str">
        <f>IF(A473="","",SUMIF(PAGO!C:C,A473,PAGO!H:H))</f>
        <v/>
      </c>
      <c r="L473" s="35" t="str">
        <f t="shared" si="7"/>
        <v/>
      </c>
    </row>
    <row r="474" spans="2:12" x14ac:dyDescent="0.3">
      <c r="B474" s="36"/>
      <c r="D474" t="str">
        <f>IF(C474="","",IFERROR(VLOOKUP(C474,RP!A:E,5,0),""))</f>
        <v/>
      </c>
      <c r="E474" t="str">
        <f>IF(C474="","",IFERROR(VLOOKUP(C474,RP!A:F,6,0),""))</f>
        <v/>
      </c>
      <c r="F474" t="str">
        <f>IF(C474="","",IFERROR(VLOOKUP(C474,RP!A:G,7,0),""))</f>
        <v/>
      </c>
      <c r="G474" t="str">
        <f>IF(C474="","",IFERROR(VLOOKUP(C474,RP!A:H,8,0),""))</f>
        <v/>
      </c>
      <c r="H474" s="35"/>
      <c r="K474" s="35" t="str">
        <f>IF(A474="","",SUMIF(PAGO!C:C,A474,PAGO!H:H))</f>
        <v/>
      </c>
      <c r="L474" s="35" t="str">
        <f t="shared" si="7"/>
        <v/>
      </c>
    </row>
    <row r="475" spans="2:12" x14ac:dyDescent="0.3">
      <c r="B475" s="36"/>
      <c r="D475" t="str">
        <f>IF(C475="","",IFERROR(VLOOKUP(C475,RP!A:E,5,0),""))</f>
        <v/>
      </c>
      <c r="E475" t="str">
        <f>IF(C475="","",IFERROR(VLOOKUP(C475,RP!A:F,6,0),""))</f>
        <v/>
      </c>
      <c r="F475" t="str">
        <f>IF(C475="","",IFERROR(VLOOKUP(C475,RP!A:G,7,0),""))</f>
        <v/>
      </c>
      <c r="G475" t="str">
        <f>IF(C475="","",IFERROR(VLOOKUP(C475,RP!A:H,8,0),""))</f>
        <v/>
      </c>
      <c r="H475" s="35"/>
      <c r="K475" s="35" t="str">
        <f>IF(A475="","",SUMIF(PAGO!C:C,A475,PAGO!H:H))</f>
        <v/>
      </c>
      <c r="L475" s="35" t="str">
        <f t="shared" si="7"/>
        <v/>
      </c>
    </row>
    <row r="476" spans="2:12" x14ac:dyDescent="0.3">
      <c r="B476" s="36"/>
      <c r="D476" t="str">
        <f>IF(C476="","",IFERROR(VLOOKUP(C476,RP!A:E,5,0),""))</f>
        <v/>
      </c>
      <c r="E476" t="str">
        <f>IF(C476="","",IFERROR(VLOOKUP(C476,RP!A:F,6,0),""))</f>
        <v/>
      </c>
      <c r="F476" t="str">
        <f>IF(C476="","",IFERROR(VLOOKUP(C476,RP!A:G,7,0),""))</f>
        <v/>
      </c>
      <c r="G476" t="str">
        <f>IF(C476="","",IFERROR(VLOOKUP(C476,RP!A:H,8,0),""))</f>
        <v/>
      </c>
      <c r="H476" s="35"/>
      <c r="K476" s="35" t="str">
        <f>IF(A476="","",SUMIF(PAGO!C:C,A476,PAGO!H:H))</f>
        <v/>
      </c>
      <c r="L476" s="35" t="str">
        <f t="shared" si="7"/>
        <v/>
      </c>
    </row>
    <row r="477" spans="2:12" x14ac:dyDescent="0.3">
      <c r="B477" s="36"/>
      <c r="D477" t="str">
        <f>IF(C477="","",IFERROR(VLOOKUP(C477,RP!A:E,5,0),""))</f>
        <v/>
      </c>
      <c r="E477" t="str">
        <f>IF(C477="","",IFERROR(VLOOKUP(C477,RP!A:F,6,0),""))</f>
        <v/>
      </c>
      <c r="F477" t="str">
        <f>IF(C477="","",IFERROR(VLOOKUP(C477,RP!A:G,7,0),""))</f>
        <v/>
      </c>
      <c r="G477" t="str">
        <f>IF(C477="","",IFERROR(VLOOKUP(C477,RP!A:H,8,0),""))</f>
        <v/>
      </c>
      <c r="H477" s="35"/>
      <c r="K477" s="35" t="str">
        <f>IF(A477="","",SUMIF(PAGO!C:C,A477,PAGO!H:H))</f>
        <v/>
      </c>
      <c r="L477" s="35" t="str">
        <f t="shared" si="7"/>
        <v/>
      </c>
    </row>
    <row r="478" spans="2:12" x14ac:dyDescent="0.3">
      <c r="B478" s="36"/>
      <c r="D478" t="str">
        <f>IF(C478="","",IFERROR(VLOOKUP(C478,RP!A:E,5,0),""))</f>
        <v/>
      </c>
      <c r="E478" t="str">
        <f>IF(C478="","",IFERROR(VLOOKUP(C478,RP!A:F,6,0),""))</f>
        <v/>
      </c>
      <c r="F478" t="str">
        <f>IF(C478="","",IFERROR(VLOOKUP(C478,RP!A:G,7,0),""))</f>
        <v/>
      </c>
      <c r="G478" t="str">
        <f>IF(C478="","",IFERROR(VLOOKUP(C478,RP!A:H,8,0),""))</f>
        <v/>
      </c>
      <c r="H478" s="35"/>
      <c r="K478" s="35" t="str">
        <f>IF(A478="","",SUMIF(PAGO!C:C,A478,PAGO!H:H))</f>
        <v/>
      </c>
      <c r="L478" s="35" t="str">
        <f t="shared" si="7"/>
        <v/>
      </c>
    </row>
    <row r="479" spans="2:12" x14ac:dyDescent="0.3">
      <c r="B479" s="36"/>
      <c r="D479" t="str">
        <f>IF(C479="","",IFERROR(VLOOKUP(C479,RP!A:E,5,0),""))</f>
        <v/>
      </c>
      <c r="E479" t="str">
        <f>IF(C479="","",IFERROR(VLOOKUP(C479,RP!A:F,6,0),""))</f>
        <v/>
      </c>
      <c r="F479" t="str">
        <f>IF(C479="","",IFERROR(VLOOKUP(C479,RP!A:G,7,0),""))</f>
        <v/>
      </c>
      <c r="G479" t="str">
        <f>IF(C479="","",IFERROR(VLOOKUP(C479,RP!A:H,8,0),""))</f>
        <v/>
      </c>
      <c r="H479" s="35"/>
      <c r="K479" s="35" t="str">
        <f>IF(A479="","",SUMIF(PAGO!C:C,A479,PAGO!H:H))</f>
        <v/>
      </c>
      <c r="L479" s="35" t="str">
        <f t="shared" si="7"/>
        <v/>
      </c>
    </row>
    <row r="480" spans="2:12" x14ac:dyDescent="0.3">
      <c r="B480" s="36"/>
      <c r="D480" t="str">
        <f>IF(C480="","",IFERROR(VLOOKUP(C480,RP!A:E,5,0),""))</f>
        <v/>
      </c>
      <c r="E480" t="str">
        <f>IF(C480="","",IFERROR(VLOOKUP(C480,RP!A:F,6,0),""))</f>
        <v/>
      </c>
      <c r="F480" t="str">
        <f>IF(C480="","",IFERROR(VLOOKUP(C480,RP!A:G,7,0),""))</f>
        <v/>
      </c>
      <c r="G480" t="str">
        <f>IF(C480="","",IFERROR(VLOOKUP(C480,RP!A:H,8,0),""))</f>
        <v/>
      </c>
      <c r="H480" s="35"/>
      <c r="K480" s="35" t="str">
        <f>IF(A480="","",SUMIF(PAGO!C:C,A480,PAGO!H:H))</f>
        <v/>
      </c>
      <c r="L480" s="35" t="str">
        <f t="shared" si="7"/>
        <v/>
      </c>
    </row>
    <row r="481" spans="2:12" x14ac:dyDescent="0.3">
      <c r="B481" s="36"/>
      <c r="D481" t="str">
        <f>IF(C481="","",IFERROR(VLOOKUP(C481,RP!A:E,5,0),""))</f>
        <v/>
      </c>
      <c r="E481" t="str">
        <f>IF(C481="","",IFERROR(VLOOKUP(C481,RP!A:F,6,0),""))</f>
        <v/>
      </c>
      <c r="F481" t="str">
        <f>IF(C481="","",IFERROR(VLOOKUP(C481,RP!A:G,7,0),""))</f>
        <v/>
      </c>
      <c r="G481" t="str">
        <f>IF(C481="","",IFERROR(VLOOKUP(C481,RP!A:H,8,0),""))</f>
        <v/>
      </c>
      <c r="H481" s="35"/>
      <c r="K481" s="35" t="str">
        <f>IF(A481="","",SUMIF(PAGO!C:C,A481,PAGO!H:H))</f>
        <v/>
      </c>
      <c r="L481" s="35" t="str">
        <f t="shared" si="7"/>
        <v/>
      </c>
    </row>
    <row r="482" spans="2:12" x14ac:dyDescent="0.3">
      <c r="B482" s="36"/>
      <c r="D482" t="str">
        <f>IF(C482="","",IFERROR(VLOOKUP(C482,RP!A:E,5,0),""))</f>
        <v/>
      </c>
      <c r="E482" t="str">
        <f>IF(C482="","",IFERROR(VLOOKUP(C482,RP!A:F,6,0),""))</f>
        <v/>
      </c>
      <c r="F482" t="str">
        <f>IF(C482="","",IFERROR(VLOOKUP(C482,RP!A:G,7,0),""))</f>
        <v/>
      </c>
      <c r="G482" t="str">
        <f>IF(C482="","",IFERROR(VLOOKUP(C482,RP!A:H,8,0),""))</f>
        <v/>
      </c>
      <c r="H482" s="35"/>
      <c r="K482" s="35" t="str">
        <f>IF(A482="","",SUMIF(PAGO!C:C,A482,PAGO!H:H))</f>
        <v/>
      </c>
      <c r="L482" s="35" t="str">
        <f t="shared" si="7"/>
        <v/>
      </c>
    </row>
    <row r="483" spans="2:12" x14ac:dyDescent="0.3">
      <c r="B483" s="36"/>
      <c r="D483" t="str">
        <f>IF(C483="","",IFERROR(VLOOKUP(C483,RP!A:E,5,0),""))</f>
        <v/>
      </c>
      <c r="E483" t="str">
        <f>IF(C483="","",IFERROR(VLOOKUP(C483,RP!A:F,6,0),""))</f>
        <v/>
      </c>
      <c r="F483" t="str">
        <f>IF(C483="","",IFERROR(VLOOKUP(C483,RP!A:G,7,0),""))</f>
        <v/>
      </c>
      <c r="G483" t="str">
        <f>IF(C483="","",IFERROR(VLOOKUP(C483,RP!A:H,8,0),""))</f>
        <v/>
      </c>
      <c r="H483" s="35"/>
      <c r="K483" s="35" t="str">
        <f>IF(A483="","",SUMIF(PAGO!C:C,A483,PAGO!H:H))</f>
        <v/>
      </c>
      <c r="L483" s="35" t="str">
        <f t="shared" si="7"/>
        <v/>
      </c>
    </row>
    <row r="484" spans="2:12" x14ac:dyDescent="0.3">
      <c r="B484" s="36"/>
      <c r="D484" t="str">
        <f>IF(C484="","",IFERROR(VLOOKUP(C484,RP!A:E,5,0),""))</f>
        <v/>
      </c>
      <c r="E484" t="str">
        <f>IF(C484="","",IFERROR(VLOOKUP(C484,RP!A:F,6,0),""))</f>
        <v/>
      </c>
      <c r="F484" t="str">
        <f>IF(C484="","",IFERROR(VLOOKUP(C484,RP!A:G,7,0),""))</f>
        <v/>
      </c>
      <c r="G484" t="str">
        <f>IF(C484="","",IFERROR(VLOOKUP(C484,RP!A:H,8,0),""))</f>
        <v/>
      </c>
      <c r="H484" s="35"/>
      <c r="K484" s="35" t="str">
        <f>IF(A484="","",SUMIF(PAGO!C:C,A484,PAGO!H:H))</f>
        <v/>
      </c>
      <c r="L484" s="35" t="str">
        <f t="shared" si="7"/>
        <v/>
      </c>
    </row>
    <row r="485" spans="2:12" x14ac:dyDescent="0.3">
      <c r="B485" s="36"/>
      <c r="D485" t="str">
        <f>IF(C485="","",IFERROR(VLOOKUP(C485,RP!A:E,5,0),""))</f>
        <v/>
      </c>
      <c r="E485" t="str">
        <f>IF(C485="","",IFERROR(VLOOKUP(C485,RP!A:F,6,0),""))</f>
        <v/>
      </c>
      <c r="F485" t="str">
        <f>IF(C485="","",IFERROR(VLOOKUP(C485,RP!A:G,7,0),""))</f>
        <v/>
      </c>
      <c r="G485" t="str">
        <f>IF(C485="","",IFERROR(VLOOKUP(C485,RP!A:H,8,0),""))</f>
        <v/>
      </c>
      <c r="H485" s="35"/>
      <c r="K485" s="35" t="str">
        <f>IF(A485="","",SUMIF(PAGO!C:C,A485,PAGO!H:H))</f>
        <v/>
      </c>
      <c r="L485" s="35" t="str">
        <f t="shared" si="7"/>
        <v/>
      </c>
    </row>
    <row r="486" spans="2:12" x14ac:dyDescent="0.3">
      <c r="B486" s="36"/>
      <c r="D486" t="str">
        <f>IF(C486="","",IFERROR(VLOOKUP(C486,RP!A:E,5,0),""))</f>
        <v/>
      </c>
      <c r="E486" t="str">
        <f>IF(C486="","",IFERROR(VLOOKUP(C486,RP!A:F,6,0),""))</f>
        <v/>
      </c>
      <c r="F486" t="str">
        <f>IF(C486="","",IFERROR(VLOOKUP(C486,RP!A:G,7,0),""))</f>
        <v/>
      </c>
      <c r="G486" t="str">
        <f>IF(C486="","",IFERROR(VLOOKUP(C486,RP!A:H,8,0),""))</f>
        <v/>
      </c>
      <c r="H486" s="35"/>
      <c r="K486" s="35" t="str">
        <f>IF(A486="","",SUMIF(PAGO!C:C,A486,PAGO!H:H))</f>
        <v/>
      </c>
      <c r="L486" s="35" t="str">
        <f t="shared" si="7"/>
        <v/>
      </c>
    </row>
    <row r="487" spans="2:12" x14ac:dyDescent="0.3">
      <c r="B487" s="36"/>
      <c r="D487" t="str">
        <f>IF(C487="","",IFERROR(VLOOKUP(C487,RP!A:E,5,0),""))</f>
        <v/>
      </c>
      <c r="E487" t="str">
        <f>IF(C487="","",IFERROR(VLOOKUP(C487,RP!A:F,6,0),""))</f>
        <v/>
      </c>
      <c r="F487" t="str">
        <f>IF(C487="","",IFERROR(VLOOKUP(C487,RP!A:G,7,0),""))</f>
        <v/>
      </c>
      <c r="G487" t="str">
        <f>IF(C487="","",IFERROR(VLOOKUP(C487,RP!A:H,8,0),""))</f>
        <v/>
      </c>
      <c r="H487" s="35"/>
      <c r="K487" s="35" t="str">
        <f>IF(A487="","",SUMIF(PAGO!C:C,A487,PAGO!H:H))</f>
        <v/>
      </c>
      <c r="L487" s="35" t="str">
        <f t="shared" si="7"/>
        <v/>
      </c>
    </row>
    <row r="488" spans="2:12" x14ac:dyDescent="0.3">
      <c r="B488" s="36"/>
      <c r="D488" t="str">
        <f>IF(C488="","",IFERROR(VLOOKUP(C488,RP!A:E,5,0),""))</f>
        <v/>
      </c>
      <c r="E488" t="str">
        <f>IF(C488="","",IFERROR(VLOOKUP(C488,RP!A:F,6,0),""))</f>
        <v/>
      </c>
      <c r="F488" t="str">
        <f>IF(C488="","",IFERROR(VLOOKUP(C488,RP!A:G,7,0),""))</f>
        <v/>
      </c>
      <c r="G488" t="str">
        <f>IF(C488="","",IFERROR(VLOOKUP(C488,RP!A:H,8,0),""))</f>
        <v/>
      </c>
      <c r="H488" s="35"/>
      <c r="K488" s="35" t="str">
        <f>IF(A488="","",SUMIF(PAGO!C:C,A488,PAGO!H:H))</f>
        <v/>
      </c>
      <c r="L488" s="35" t="str">
        <f t="shared" si="7"/>
        <v/>
      </c>
    </row>
    <row r="489" spans="2:12" x14ac:dyDescent="0.3">
      <c r="B489" s="36"/>
      <c r="D489" t="str">
        <f>IF(C489="","",IFERROR(VLOOKUP(C489,RP!A:E,5,0),""))</f>
        <v/>
      </c>
      <c r="E489" t="str">
        <f>IF(C489="","",IFERROR(VLOOKUP(C489,RP!A:F,6,0),""))</f>
        <v/>
      </c>
      <c r="F489" t="str">
        <f>IF(C489="","",IFERROR(VLOOKUP(C489,RP!A:G,7,0),""))</f>
        <v/>
      </c>
      <c r="G489" t="str">
        <f>IF(C489="","",IFERROR(VLOOKUP(C489,RP!A:H,8,0),""))</f>
        <v/>
      </c>
      <c r="H489" s="35"/>
      <c r="K489" s="35" t="str">
        <f>IF(A489="","",SUMIF(PAGO!C:C,A489,PAGO!H:H))</f>
        <v/>
      </c>
      <c r="L489" s="35" t="str">
        <f t="shared" si="7"/>
        <v/>
      </c>
    </row>
    <row r="490" spans="2:12" x14ac:dyDescent="0.3">
      <c r="B490" s="36"/>
      <c r="D490" t="str">
        <f>IF(C490="","",IFERROR(VLOOKUP(C490,RP!A:E,5,0),""))</f>
        <v/>
      </c>
      <c r="E490" t="str">
        <f>IF(C490="","",IFERROR(VLOOKUP(C490,RP!A:F,6,0),""))</f>
        <v/>
      </c>
      <c r="F490" t="str">
        <f>IF(C490="","",IFERROR(VLOOKUP(C490,RP!A:G,7,0),""))</f>
        <v/>
      </c>
      <c r="G490" t="str">
        <f>IF(C490="","",IFERROR(VLOOKUP(C490,RP!A:H,8,0),""))</f>
        <v/>
      </c>
      <c r="H490" s="35"/>
      <c r="K490" s="35" t="str">
        <f>IF(A490="","",SUMIF(PAGO!C:C,A490,PAGO!H:H))</f>
        <v/>
      </c>
      <c r="L490" s="35" t="str">
        <f t="shared" si="7"/>
        <v/>
      </c>
    </row>
    <row r="491" spans="2:12" x14ac:dyDescent="0.3">
      <c r="B491" s="36"/>
      <c r="D491" t="str">
        <f>IF(C491="","",IFERROR(VLOOKUP(C491,RP!A:E,5,0),""))</f>
        <v/>
      </c>
      <c r="E491" t="str">
        <f>IF(C491="","",IFERROR(VLOOKUP(C491,RP!A:F,6,0),""))</f>
        <v/>
      </c>
      <c r="F491" t="str">
        <f>IF(C491="","",IFERROR(VLOOKUP(C491,RP!A:G,7,0),""))</f>
        <v/>
      </c>
      <c r="G491" t="str">
        <f>IF(C491="","",IFERROR(VLOOKUP(C491,RP!A:H,8,0),""))</f>
        <v/>
      </c>
      <c r="H491" s="35"/>
      <c r="K491" s="35" t="str">
        <f>IF(A491="","",SUMIF(PAGO!C:C,A491,PAGO!H:H))</f>
        <v/>
      </c>
      <c r="L491" s="35" t="str">
        <f t="shared" si="7"/>
        <v/>
      </c>
    </row>
    <row r="492" spans="2:12" x14ac:dyDescent="0.3">
      <c r="B492" s="36"/>
      <c r="D492" t="str">
        <f>IF(C492="","",IFERROR(VLOOKUP(C492,RP!A:E,5,0),""))</f>
        <v/>
      </c>
      <c r="E492" t="str">
        <f>IF(C492="","",IFERROR(VLOOKUP(C492,RP!A:F,6,0),""))</f>
        <v/>
      </c>
      <c r="F492" t="str">
        <f>IF(C492="","",IFERROR(VLOOKUP(C492,RP!A:G,7,0),""))</f>
        <v/>
      </c>
      <c r="G492" t="str">
        <f>IF(C492="","",IFERROR(VLOOKUP(C492,RP!A:H,8,0),""))</f>
        <v/>
      </c>
      <c r="H492" s="35"/>
      <c r="K492" s="35" t="str">
        <f>IF(A492="","",SUMIF(PAGO!C:C,A492,PAGO!H:H))</f>
        <v/>
      </c>
      <c r="L492" s="35" t="str">
        <f t="shared" si="7"/>
        <v/>
      </c>
    </row>
    <row r="493" spans="2:12" x14ac:dyDescent="0.3">
      <c r="B493" s="36"/>
      <c r="D493" t="str">
        <f>IF(C493="","",IFERROR(VLOOKUP(C493,RP!A:E,5,0),""))</f>
        <v/>
      </c>
      <c r="E493" t="str">
        <f>IF(C493="","",IFERROR(VLOOKUP(C493,RP!A:F,6,0),""))</f>
        <v/>
      </c>
      <c r="F493" t="str">
        <f>IF(C493="","",IFERROR(VLOOKUP(C493,RP!A:G,7,0),""))</f>
        <v/>
      </c>
      <c r="G493" t="str">
        <f>IF(C493="","",IFERROR(VLOOKUP(C493,RP!A:H,8,0),""))</f>
        <v/>
      </c>
      <c r="H493" s="35"/>
      <c r="K493" s="35" t="str">
        <f>IF(A493="","",SUMIF(PAGO!C:C,A493,PAGO!H:H))</f>
        <v/>
      </c>
      <c r="L493" s="35" t="str">
        <f t="shared" si="7"/>
        <v/>
      </c>
    </row>
    <row r="494" spans="2:12" x14ac:dyDescent="0.3">
      <c r="B494" s="36"/>
      <c r="D494" t="str">
        <f>IF(C494="","",IFERROR(VLOOKUP(C494,RP!A:E,5,0),""))</f>
        <v/>
      </c>
      <c r="E494" t="str">
        <f>IF(C494="","",IFERROR(VLOOKUP(C494,RP!A:F,6,0),""))</f>
        <v/>
      </c>
      <c r="F494" t="str">
        <f>IF(C494="","",IFERROR(VLOOKUP(C494,RP!A:G,7,0),""))</f>
        <v/>
      </c>
      <c r="G494" t="str">
        <f>IF(C494="","",IFERROR(VLOOKUP(C494,RP!A:H,8,0),""))</f>
        <v/>
      </c>
      <c r="H494" s="35"/>
      <c r="K494" s="35" t="str">
        <f>IF(A494="","",SUMIF(PAGO!C:C,A494,PAGO!H:H))</f>
        <v/>
      </c>
      <c r="L494" s="35" t="str">
        <f t="shared" si="7"/>
        <v/>
      </c>
    </row>
    <row r="495" spans="2:12" x14ac:dyDescent="0.3">
      <c r="B495" s="36"/>
      <c r="D495" t="str">
        <f>IF(C495="","",IFERROR(VLOOKUP(C495,RP!A:E,5,0),""))</f>
        <v/>
      </c>
      <c r="E495" t="str">
        <f>IF(C495="","",IFERROR(VLOOKUP(C495,RP!A:F,6,0),""))</f>
        <v/>
      </c>
      <c r="F495" t="str">
        <f>IF(C495="","",IFERROR(VLOOKUP(C495,RP!A:G,7,0),""))</f>
        <v/>
      </c>
      <c r="G495" t="str">
        <f>IF(C495="","",IFERROR(VLOOKUP(C495,RP!A:H,8,0),""))</f>
        <v/>
      </c>
      <c r="H495" s="35"/>
      <c r="K495" s="35" t="str">
        <f>IF(A495="","",SUMIF(PAGO!C:C,A495,PAGO!H:H))</f>
        <v/>
      </c>
      <c r="L495" s="35" t="str">
        <f t="shared" si="7"/>
        <v/>
      </c>
    </row>
    <row r="496" spans="2:12" x14ac:dyDescent="0.3">
      <c r="B496" s="36"/>
      <c r="D496" t="str">
        <f>IF(C496="","",IFERROR(VLOOKUP(C496,RP!A:E,5,0),""))</f>
        <v/>
      </c>
      <c r="E496" t="str">
        <f>IF(C496="","",IFERROR(VLOOKUP(C496,RP!A:F,6,0),""))</f>
        <v/>
      </c>
      <c r="F496" t="str">
        <f>IF(C496="","",IFERROR(VLOOKUP(C496,RP!A:G,7,0),""))</f>
        <v/>
      </c>
      <c r="G496" t="str">
        <f>IF(C496="","",IFERROR(VLOOKUP(C496,RP!A:H,8,0),""))</f>
        <v/>
      </c>
      <c r="H496" s="35"/>
      <c r="K496" s="35" t="str">
        <f>IF(A496="","",SUMIF(PAGO!C:C,A496,PAGO!H:H))</f>
        <v/>
      </c>
      <c r="L496" s="35" t="str">
        <f t="shared" si="7"/>
        <v/>
      </c>
    </row>
    <row r="497" spans="2:12" x14ac:dyDescent="0.3">
      <c r="B497" s="36"/>
      <c r="D497" t="str">
        <f>IF(C497="","",IFERROR(VLOOKUP(C497,RP!A:E,5,0),""))</f>
        <v/>
      </c>
      <c r="E497" t="str">
        <f>IF(C497="","",IFERROR(VLOOKUP(C497,RP!A:F,6,0),""))</f>
        <v/>
      </c>
      <c r="F497" t="str">
        <f>IF(C497="","",IFERROR(VLOOKUP(C497,RP!A:G,7,0),""))</f>
        <v/>
      </c>
      <c r="G497" t="str">
        <f>IF(C497="","",IFERROR(VLOOKUP(C497,RP!A:H,8,0),""))</f>
        <v/>
      </c>
      <c r="H497" s="35"/>
      <c r="K497" s="35" t="str">
        <f>IF(A497="","",SUMIF(PAGO!C:C,A497,PAGO!H:H))</f>
        <v/>
      </c>
      <c r="L497" s="35" t="str">
        <f t="shared" si="7"/>
        <v/>
      </c>
    </row>
    <row r="498" spans="2:12" x14ac:dyDescent="0.3">
      <c r="B498" s="36"/>
      <c r="D498" t="str">
        <f>IF(C498="","",IFERROR(VLOOKUP(C498,RP!A:E,5,0),""))</f>
        <v/>
      </c>
      <c r="E498" t="str">
        <f>IF(C498="","",IFERROR(VLOOKUP(C498,RP!A:F,6,0),""))</f>
        <v/>
      </c>
      <c r="F498" t="str">
        <f>IF(C498="","",IFERROR(VLOOKUP(C498,RP!A:G,7,0),""))</f>
        <v/>
      </c>
      <c r="G498" t="str">
        <f>IF(C498="","",IFERROR(VLOOKUP(C498,RP!A:H,8,0),""))</f>
        <v/>
      </c>
      <c r="H498" s="35"/>
      <c r="K498" s="35" t="str">
        <f>IF(A498="","",SUMIF(PAGO!C:C,A498,PAGO!H:H))</f>
        <v/>
      </c>
      <c r="L498" s="35" t="str">
        <f t="shared" si="7"/>
        <v/>
      </c>
    </row>
    <row r="499" spans="2:12" x14ac:dyDescent="0.3">
      <c r="B499" s="36"/>
      <c r="D499" t="str">
        <f>IF(C499="","",IFERROR(VLOOKUP(C499,RP!A:E,5,0),""))</f>
        <v/>
      </c>
      <c r="E499" t="str">
        <f>IF(C499="","",IFERROR(VLOOKUP(C499,RP!A:F,6,0),""))</f>
        <v/>
      </c>
      <c r="F499" t="str">
        <f>IF(C499="","",IFERROR(VLOOKUP(C499,RP!A:G,7,0),""))</f>
        <v/>
      </c>
      <c r="G499" t="str">
        <f>IF(C499="","",IFERROR(VLOOKUP(C499,RP!A:H,8,0),""))</f>
        <v/>
      </c>
      <c r="H499" s="35"/>
      <c r="K499" s="35" t="str">
        <f>IF(A499="","",SUMIF(PAGO!C:C,A499,PAGO!H:H))</f>
        <v/>
      </c>
      <c r="L499" s="35" t="str">
        <f t="shared" si="7"/>
        <v/>
      </c>
    </row>
    <row r="500" spans="2:12" x14ac:dyDescent="0.3">
      <c r="B500" s="36"/>
      <c r="D500" t="str">
        <f>IF(C500="","",IFERROR(VLOOKUP(C500,RP!A:E,5,0),""))</f>
        <v/>
      </c>
      <c r="E500" t="str">
        <f>IF(C500="","",IFERROR(VLOOKUP(C500,RP!A:F,6,0),""))</f>
        <v/>
      </c>
      <c r="F500" t="str">
        <f>IF(C500="","",IFERROR(VLOOKUP(C500,RP!A:G,7,0),""))</f>
        <v/>
      </c>
      <c r="G500" t="str">
        <f>IF(C500="","",IFERROR(VLOOKUP(C500,RP!A:H,8,0),""))</f>
        <v/>
      </c>
      <c r="H500" s="35"/>
      <c r="K500" s="35" t="str">
        <f>IF(A500="","",SUMIF(PAGO!C:C,A500,PAGO!H:H))</f>
        <v/>
      </c>
      <c r="L500" s="35" t="str">
        <f t="shared" si="7"/>
        <v/>
      </c>
    </row>
    <row r="501" spans="2:12" x14ac:dyDescent="0.3">
      <c r="B501" s="36"/>
      <c r="H501" s="35"/>
      <c r="K501" s="35"/>
      <c r="L501" s="35"/>
    </row>
    <row r="502" spans="2:12" x14ac:dyDescent="0.3">
      <c r="B502" s="36"/>
      <c r="H502" s="35"/>
      <c r="K502" s="35"/>
      <c r="L502" s="35"/>
    </row>
    <row r="503" spans="2:12" x14ac:dyDescent="0.3">
      <c r="B503" s="36"/>
      <c r="H503" s="35"/>
      <c r="K503" s="35"/>
      <c r="L503" s="35"/>
    </row>
    <row r="504" spans="2:12" x14ac:dyDescent="0.3">
      <c r="B504" s="36"/>
      <c r="H504" s="35"/>
      <c r="K504" s="35"/>
      <c r="L504" s="35"/>
    </row>
    <row r="505" spans="2:12" x14ac:dyDescent="0.3">
      <c r="B505" s="36"/>
      <c r="H505" s="35"/>
      <c r="K505" s="35"/>
      <c r="L505" s="35"/>
    </row>
    <row r="506" spans="2:12" x14ac:dyDescent="0.3">
      <c r="B506" s="36"/>
      <c r="H506" s="35"/>
      <c r="K506" s="35"/>
      <c r="L506" s="35"/>
    </row>
    <row r="507" spans="2:12" x14ac:dyDescent="0.3">
      <c r="B507" s="36"/>
      <c r="H507" s="35"/>
      <c r="K507" s="35"/>
      <c r="L507" s="35"/>
    </row>
    <row r="508" spans="2:12" x14ac:dyDescent="0.3">
      <c r="B508" s="36"/>
      <c r="H508" s="35"/>
      <c r="K508" s="35"/>
      <c r="L508" s="35"/>
    </row>
    <row r="509" spans="2:12" x14ac:dyDescent="0.3">
      <c r="B509" s="36"/>
      <c r="H509" s="35"/>
      <c r="K509" s="35"/>
      <c r="L509" s="35"/>
    </row>
    <row r="510" spans="2:12" x14ac:dyDescent="0.3">
      <c r="B510" s="36"/>
      <c r="H510" s="35"/>
      <c r="K510" s="35"/>
      <c r="L510" s="35"/>
    </row>
    <row r="511" spans="2:12" x14ac:dyDescent="0.3">
      <c r="B511" s="36"/>
      <c r="H511" s="35"/>
      <c r="K511" s="35"/>
      <c r="L511" s="35"/>
    </row>
    <row r="512" spans="2:12" x14ac:dyDescent="0.3">
      <c r="B512" s="36"/>
      <c r="H512" s="35"/>
      <c r="K512" s="35"/>
      <c r="L512" s="35"/>
    </row>
    <row r="513" spans="2:12" x14ac:dyDescent="0.3">
      <c r="B513" s="36"/>
      <c r="H513" s="35"/>
      <c r="K513" s="35"/>
      <c r="L513" s="35"/>
    </row>
    <row r="514" spans="2:12" x14ac:dyDescent="0.3">
      <c r="B514" s="36"/>
      <c r="H514" s="35"/>
      <c r="K514" s="35"/>
      <c r="L514" s="35"/>
    </row>
    <row r="515" spans="2:12" x14ac:dyDescent="0.3">
      <c r="B515" s="36"/>
      <c r="H515" s="35"/>
      <c r="K515" s="35"/>
      <c r="L515" s="35"/>
    </row>
    <row r="516" spans="2:12" x14ac:dyDescent="0.3">
      <c r="B516" s="36"/>
      <c r="H516" s="35"/>
      <c r="K516" s="35"/>
      <c r="L516" s="35"/>
    </row>
    <row r="517" spans="2:12" x14ac:dyDescent="0.3">
      <c r="B517" s="36"/>
      <c r="H517" s="35"/>
      <c r="K517" s="35"/>
      <c r="L517" s="35"/>
    </row>
    <row r="518" spans="2:12" x14ac:dyDescent="0.3">
      <c r="B518" s="36"/>
      <c r="H518" s="35"/>
      <c r="K518" s="35"/>
      <c r="L518" s="35"/>
    </row>
    <row r="519" spans="2:12" x14ac:dyDescent="0.3">
      <c r="B519" s="36"/>
      <c r="H519" s="35"/>
      <c r="K519" s="35"/>
      <c r="L519" s="35"/>
    </row>
    <row r="520" spans="2:12" x14ac:dyDescent="0.3">
      <c r="B520" s="36"/>
      <c r="H520" s="35"/>
      <c r="K520" s="35"/>
      <c r="L520" s="35"/>
    </row>
    <row r="521" spans="2:12" x14ac:dyDescent="0.3">
      <c r="B521" s="36"/>
      <c r="H521" s="35"/>
      <c r="K521" s="35"/>
      <c r="L521" s="35"/>
    </row>
    <row r="522" spans="2:12" x14ac:dyDescent="0.3">
      <c r="B522" s="36"/>
      <c r="H522" s="35"/>
      <c r="K522" s="35"/>
      <c r="L522" s="35"/>
    </row>
    <row r="523" spans="2:12" x14ac:dyDescent="0.3">
      <c r="B523" s="36"/>
      <c r="H523" s="35"/>
      <c r="K523" s="35"/>
      <c r="L523" s="35"/>
    </row>
    <row r="524" spans="2:12" x14ac:dyDescent="0.3">
      <c r="B524" s="36"/>
      <c r="H524" s="35"/>
      <c r="K524" s="35"/>
      <c r="L524" s="35"/>
    </row>
    <row r="525" spans="2:12" x14ac:dyDescent="0.3">
      <c r="B525" s="36"/>
      <c r="H525" s="35"/>
      <c r="K525" s="35"/>
      <c r="L525" s="35"/>
    </row>
    <row r="526" spans="2:12" x14ac:dyDescent="0.3">
      <c r="B526" s="36"/>
      <c r="H526" s="35"/>
      <c r="K526" s="35"/>
      <c r="L526" s="35"/>
    </row>
    <row r="527" spans="2:12" x14ac:dyDescent="0.3">
      <c r="B527" s="36"/>
      <c r="H527" s="35"/>
      <c r="K527" s="35"/>
      <c r="L527" s="35"/>
    </row>
    <row r="528" spans="2:12" x14ac:dyDescent="0.3">
      <c r="B528" s="36"/>
      <c r="H528" s="35"/>
      <c r="K528" s="35"/>
      <c r="L528" s="35"/>
    </row>
    <row r="529" spans="2:12" x14ac:dyDescent="0.3">
      <c r="B529" s="36"/>
      <c r="H529" s="35"/>
      <c r="K529" s="35"/>
      <c r="L529" s="35"/>
    </row>
    <row r="530" spans="2:12" x14ac:dyDescent="0.3">
      <c r="B530" s="36"/>
      <c r="H530" s="35"/>
      <c r="K530" s="35"/>
      <c r="L530" s="35"/>
    </row>
    <row r="531" spans="2:12" x14ac:dyDescent="0.3">
      <c r="B531" s="36"/>
      <c r="H531" s="35"/>
      <c r="K531" s="35"/>
      <c r="L531" s="35"/>
    </row>
    <row r="532" spans="2:12" x14ac:dyDescent="0.3">
      <c r="B532" s="36"/>
      <c r="H532" s="35"/>
      <c r="K532" s="35"/>
      <c r="L532" s="35"/>
    </row>
    <row r="533" spans="2:12" x14ac:dyDescent="0.3">
      <c r="B533" s="36"/>
      <c r="H533" s="35"/>
      <c r="K533" s="35"/>
      <c r="L533" s="35"/>
    </row>
    <row r="534" spans="2:12" x14ac:dyDescent="0.3">
      <c r="B534" s="36"/>
      <c r="H534" s="35"/>
      <c r="K534" s="35"/>
      <c r="L534" s="35"/>
    </row>
    <row r="535" spans="2:12" x14ac:dyDescent="0.3">
      <c r="B535" s="36"/>
      <c r="H535" s="35"/>
      <c r="K535" s="35"/>
      <c r="L535" s="35"/>
    </row>
    <row r="536" spans="2:12" x14ac:dyDescent="0.3">
      <c r="B536" s="36"/>
      <c r="H536" s="35"/>
      <c r="K536" s="35"/>
      <c r="L536" s="35"/>
    </row>
    <row r="537" spans="2:12" x14ac:dyDescent="0.3">
      <c r="B537" s="36"/>
      <c r="H537" s="35"/>
      <c r="K537" s="35"/>
      <c r="L537" s="35"/>
    </row>
    <row r="538" spans="2:12" x14ac:dyDescent="0.3">
      <c r="B538" s="36"/>
      <c r="H538" s="35"/>
      <c r="K538" s="35"/>
      <c r="L538" s="35"/>
    </row>
    <row r="539" spans="2:12" x14ac:dyDescent="0.3">
      <c r="B539" s="36"/>
      <c r="H539" s="35"/>
      <c r="K539" s="35"/>
      <c r="L539" s="35"/>
    </row>
    <row r="540" spans="2:12" x14ac:dyDescent="0.3">
      <c r="B540" s="36"/>
      <c r="H540" s="35"/>
      <c r="K540" s="35"/>
      <c r="L540" s="35"/>
    </row>
    <row r="541" spans="2:12" x14ac:dyDescent="0.3">
      <c r="B541" s="36"/>
      <c r="H541" s="35"/>
      <c r="K541" s="35"/>
      <c r="L541" s="35"/>
    </row>
    <row r="542" spans="2:12" x14ac:dyDescent="0.3">
      <c r="B542" s="36"/>
      <c r="H542" s="35"/>
      <c r="K542" s="35"/>
      <c r="L542" s="35"/>
    </row>
    <row r="543" spans="2:12" x14ac:dyDescent="0.3">
      <c r="B543" s="36"/>
      <c r="H543" s="35"/>
      <c r="K543" s="35"/>
      <c r="L543" s="35"/>
    </row>
    <row r="544" spans="2:12" x14ac:dyDescent="0.3">
      <c r="B544" s="36"/>
      <c r="H544" s="35"/>
      <c r="K544" s="35"/>
      <c r="L544" s="35"/>
    </row>
    <row r="545" spans="2:12" x14ac:dyDescent="0.3">
      <c r="B545" s="36"/>
      <c r="H545" s="35"/>
      <c r="K545" s="35"/>
      <c r="L545" s="35"/>
    </row>
    <row r="546" spans="2:12" x14ac:dyDescent="0.3">
      <c r="B546" s="36"/>
      <c r="H546" s="35"/>
      <c r="K546" s="35"/>
      <c r="L546" s="35"/>
    </row>
    <row r="547" spans="2:12" x14ac:dyDescent="0.3">
      <c r="B547" s="36"/>
      <c r="H547" s="35"/>
      <c r="K547" s="35"/>
      <c r="L547" s="35"/>
    </row>
    <row r="548" spans="2:12" x14ac:dyDescent="0.3">
      <c r="B548" s="36"/>
      <c r="H548" s="35"/>
      <c r="K548" s="35"/>
      <c r="L548" s="35"/>
    </row>
    <row r="549" spans="2:12" x14ac:dyDescent="0.3">
      <c r="B549" s="36"/>
      <c r="H549" s="35"/>
      <c r="K549" s="35"/>
      <c r="L549" s="35"/>
    </row>
    <row r="550" spans="2:12" x14ac:dyDescent="0.3">
      <c r="B550" s="36"/>
      <c r="H550" s="35"/>
      <c r="K550" s="35"/>
      <c r="L550" s="35"/>
    </row>
    <row r="551" spans="2:12" x14ac:dyDescent="0.3">
      <c r="B551" s="36"/>
      <c r="H551" s="35"/>
      <c r="K551" s="35"/>
      <c r="L551" s="35"/>
    </row>
    <row r="552" spans="2:12" x14ac:dyDescent="0.3">
      <c r="B552" s="36"/>
      <c r="H552" s="35"/>
      <c r="K552" s="35"/>
      <c r="L552" s="35"/>
    </row>
    <row r="553" spans="2:12" x14ac:dyDescent="0.3">
      <c r="B553" s="36"/>
      <c r="H553" s="35"/>
      <c r="K553" s="35"/>
      <c r="L553" s="35"/>
    </row>
    <row r="554" spans="2:12" x14ac:dyDescent="0.3">
      <c r="B554" s="36"/>
      <c r="H554" s="35"/>
      <c r="K554" s="35"/>
      <c r="L554" s="35"/>
    </row>
    <row r="555" spans="2:12" x14ac:dyDescent="0.3">
      <c r="B555" s="36"/>
      <c r="H555" s="35"/>
      <c r="K555" s="35"/>
      <c r="L555" s="35"/>
    </row>
    <row r="556" spans="2:12" x14ac:dyDescent="0.3">
      <c r="B556" s="36"/>
      <c r="H556" s="35"/>
      <c r="K556" s="35"/>
      <c r="L556" s="35"/>
    </row>
    <row r="557" spans="2:12" x14ac:dyDescent="0.3">
      <c r="B557" s="36"/>
      <c r="H557" s="35"/>
      <c r="K557" s="35"/>
      <c r="L557" s="35"/>
    </row>
    <row r="558" spans="2:12" x14ac:dyDescent="0.3">
      <c r="B558" s="36"/>
      <c r="H558" s="35"/>
      <c r="K558" s="35"/>
      <c r="L558" s="35"/>
    </row>
    <row r="559" spans="2:12" x14ac:dyDescent="0.3">
      <c r="B559" s="36"/>
      <c r="H559" s="35"/>
      <c r="K559" s="35"/>
      <c r="L559" s="35"/>
    </row>
    <row r="560" spans="2:12" x14ac:dyDescent="0.3">
      <c r="B560" s="36"/>
      <c r="H560" s="35"/>
      <c r="K560" s="35"/>
      <c r="L560" s="35"/>
    </row>
    <row r="561" spans="2:12" x14ac:dyDescent="0.3">
      <c r="B561" s="36"/>
      <c r="H561" s="35"/>
      <c r="K561" s="35"/>
      <c r="L561" s="35"/>
    </row>
    <row r="562" spans="2:12" x14ac:dyDescent="0.3">
      <c r="B562" s="36"/>
      <c r="H562" s="35"/>
      <c r="K562" s="35"/>
      <c r="L562" s="35"/>
    </row>
    <row r="563" spans="2:12" x14ac:dyDescent="0.3">
      <c r="B563" s="36"/>
      <c r="H563" s="35"/>
      <c r="K563" s="35"/>
      <c r="L563" s="35"/>
    </row>
    <row r="564" spans="2:12" x14ac:dyDescent="0.3">
      <c r="B564" s="36"/>
      <c r="H564" s="35"/>
      <c r="K564" s="35"/>
      <c r="L564" s="35"/>
    </row>
    <row r="565" spans="2:12" x14ac:dyDescent="0.3">
      <c r="B565" s="36"/>
      <c r="H565" s="35"/>
      <c r="K565" s="35"/>
      <c r="L565" s="35"/>
    </row>
    <row r="566" spans="2:12" x14ac:dyDescent="0.3">
      <c r="B566" s="36"/>
      <c r="H566" s="35"/>
      <c r="K566" s="35"/>
      <c r="L566" s="35"/>
    </row>
    <row r="567" spans="2:12" x14ac:dyDescent="0.3">
      <c r="B567" s="36"/>
      <c r="H567" s="35"/>
      <c r="K567" s="35"/>
      <c r="L567" s="35"/>
    </row>
    <row r="568" spans="2:12" x14ac:dyDescent="0.3">
      <c r="B568" s="36"/>
      <c r="H568" s="35"/>
      <c r="K568" s="35"/>
      <c r="L568" s="35"/>
    </row>
    <row r="569" spans="2:12" x14ac:dyDescent="0.3">
      <c r="B569" s="36"/>
      <c r="H569" s="35"/>
      <c r="K569" s="35"/>
      <c r="L569" s="35"/>
    </row>
    <row r="570" spans="2:12" x14ac:dyDescent="0.3">
      <c r="B570" s="36"/>
      <c r="H570" s="35"/>
      <c r="K570" s="35"/>
      <c r="L570" s="35"/>
    </row>
    <row r="571" spans="2:12" x14ac:dyDescent="0.3">
      <c r="B571" s="36"/>
      <c r="H571" s="35"/>
      <c r="K571" s="35"/>
      <c r="L571" s="35"/>
    </row>
    <row r="572" spans="2:12" x14ac:dyDescent="0.3">
      <c r="B572" s="36"/>
      <c r="H572" s="35"/>
      <c r="K572" s="35"/>
      <c r="L572" s="35"/>
    </row>
    <row r="573" spans="2:12" x14ac:dyDescent="0.3">
      <c r="B573" s="36"/>
      <c r="H573" s="35"/>
      <c r="K573" s="35"/>
      <c r="L573" s="35"/>
    </row>
    <row r="574" spans="2:12" x14ac:dyDescent="0.3">
      <c r="B574" s="36"/>
      <c r="H574" s="35"/>
      <c r="K574" s="35"/>
      <c r="L574" s="35"/>
    </row>
    <row r="575" spans="2:12" x14ac:dyDescent="0.3">
      <c r="B575" s="36"/>
      <c r="H575" s="35"/>
      <c r="K575" s="35"/>
      <c r="L575" s="35"/>
    </row>
    <row r="576" spans="2:12" x14ac:dyDescent="0.3">
      <c r="B576" s="36"/>
      <c r="H576" s="35"/>
      <c r="K576" s="35"/>
      <c r="L576" s="35"/>
    </row>
    <row r="577" spans="2:12" x14ac:dyDescent="0.3">
      <c r="B577" s="36"/>
      <c r="H577" s="35"/>
      <c r="K577" s="35"/>
      <c r="L577" s="35"/>
    </row>
    <row r="578" spans="2:12" x14ac:dyDescent="0.3">
      <c r="B578" s="36"/>
      <c r="H578" s="35"/>
      <c r="K578" s="35"/>
      <c r="L578" s="35"/>
    </row>
    <row r="579" spans="2:12" x14ac:dyDescent="0.3">
      <c r="B579" s="36"/>
      <c r="H579" s="35"/>
      <c r="K579" s="35"/>
      <c r="L579" s="35"/>
    </row>
    <row r="580" spans="2:12" x14ac:dyDescent="0.3">
      <c r="B580" s="36"/>
      <c r="H580" s="35"/>
      <c r="K580" s="35"/>
      <c r="L580" s="35"/>
    </row>
    <row r="581" spans="2:12" x14ac:dyDescent="0.3">
      <c r="B581" s="36"/>
      <c r="H581" s="35"/>
      <c r="K581" s="35"/>
      <c r="L581" s="35"/>
    </row>
    <row r="582" spans="2:12" x14ac:dyDescent="0.3">
      <c r="B582" s="36"/>
      <c r="H582" s="35"/>
      <c r="K582" s="35"/>
      <c r="L582" s="35"/>
    </row>
    <row r="583" spans="2:12" x14ac:dyDescent="0.3">
      <c r="B583" s="36"/>
      <c r="H583" s="35"/>
      <c r="K583" s="35"/>
      <c r="L583" s="35"/>
    </row>
    <row r="584" spans="2:12" x14ac:dyDescent="0.3">
      <c r="B584" s="36"/>
      <c r="H584" s="35"/>
      <c r="K584" s="35"/>
      <c r="L584" s="35"/>
    </row>
    <row r="585" spans="2:12" x14ac:dyDescent="0.3">
      <c r="B585" s="36"/>
      <c r="H585" s="35"/>
      <c r="K585" s="35"/>
      <c r="L585" s="35"/>
    </row>
    <row r="586" spans="2:12" x14ac:dyDescent="0.3">
      <c r="B586" s="36"/>
      <c r="H586" s="35"/>
      <c r="K586" s="35"/>
      <c r="L586" s="35"/>
    </row>
    <row r="587" spans="2:12" x14ac:dyDescent="0.3">
      <c r="B587" s="36"/>
      <c r="H587" s="35"/>
      <c r="K587" s="35"/>
      <c r="L587" s="35"/>
    </row>
    <row r="588" spans="2:12" x14ac:dyDescent="0.3">
      <c r="B588" s="36"/>
      <c r="H588" s="35"/>
      <c r="K588" s="35"/>
      <c r="L588" s="35"/>
    </row>
    <row r="589" spans="2:12" x14ac:dyDescent="0.3">
      <c r="B589" s="36"/>
      <c r="H589" s="35"/>
      <c r="K589" s="35"/>
      <c r="L589" s="35"/>
    </row>
    <row r="590" spans="2:12" x14ac:dyDescent="0.3">
      <c r="B590" s="36"/>
      <c r="H590" s="35"/>
      <c r="K590" s="35"/>
      <c r="L590" s="35"/>
    </row>
    <row r="591" spans="2:12" x14ac:dyDescent="0.3">
      <c r="B591" s="36"/>
      <c r="H591" s="35"/>
      <c r="K591" s="35"/>
      <c r="L591" s="35"/>
    </row>
    <row r="592" spans="2:12" x14ac:dyDescent="0.3">
      <c r="B592" s="36"/>
      <c r="H592" s="35"/>
      <c r="K592" s="35"/>
      <c r="L592" s="35"/>
    </row>
    <row r="593" spans="2:12" x14ac:dyDescent="0.3">
      <c r="B593" s="36"/>
      <c r="H593" s="35"/>
      <c r="K593" s="35"/>
      <c r="L593" s="35"/>
    </row>
    <row r="594" spans="2:12" x14ac:dyDescent="0.3">
      <c r="B594" s="36"/>
      <c r="H594" s="35"/>
      <c r="K594" s="35"/>
      <c r="L594" s="35"/>
    </row>
    <row r="595" spans="2:12" x14ac:dyDescent="0.3">
      <c r="B595" s="36"/>
      <c r="H595" s="35"/>
      <c r="K595" s="35"/>
      <c r="L595" s="35"/>
    </row>
    <row r="596" spans="2:12" x14ac:dyDescent="0.3">
      <c r="B596" s="36"/>
      <c r="H596" s="35"/>
      <c r="K596" s="35"/>
      <c r="L596" s="35"/>
    </row>
    <row r="597" spans="2:12" x14ac:dyDescent="0.3">
      <c r="B597" s="36"/>
      <c r="H597" s="35"/>
      <c r="K597" s="35"/>
      <c r="L597" s="35"/>
    </row>
    <row r="598" spans="2:12" x14ac:dyDescent="0.3">
      <c r="B598" s="36"/>
      <c r="H598" s="35"/>
      <c r="K598" s="35"/>
      <c r="L598" s="35"/>
    </row>
    <row r="599" spans="2:12" x14ac:dyDescent="0.3">
      <c r="B599" s="36"/>
      <c r="H599" s="35"/>
      <c r="K599" s="35"/>
      <c r="L599" s="35"/>
    </row>
    <row r="600" spans="2:12" x14ac:dyDescent="0.3">
      <c r="B600" s="36"/>
      <c r="H600" s="35"/>
      <c r="K600" s="35"/>
      <c r="L600" s="35"/>
    </row>
    <row r="601" spans="2:12" x14ac:dyDescent="0.3">
      <c r="B601" s="36"/>
      <c r="H601" s="35"/>
      <c r="K601" s="35"/>
      <c r="L601" s="35"/>
    </row>
    <row r="602" spans="2:12" x14ac:dyDescent="0.3">
      <c r="B602" s="36"/>
      <c r="H602" s="35"/>
      <c r="K602" s="35"/>
      <c r="L602" s="35"/>
    </row>
    <row r="603" spans="2:12" x14ac:dyDescent="0.3">
      <c r="B603" s="36"/>
      <c r="H603" s="35"/>
      <c r="K603" s="35"/>
      <c r="L603" s="35"/>
    </row>
    <row r="604" spans="2:12" x14ac:dyDescent="0.3">
      <c r="B604" s="36"/>
      <c r="H604" s="35"/>
      <c r="K604" s="35"/>
      <c r="L604" s="35"/>
    </row>
    <row r="605" spans="2:12" x14ac:dyDescent="0.3">
      <c r="B605" s="36"/>
      <c r="H605" s="35"/>
      <c r="K605" s="35"/>
      <c r="L605" s="35"/>
    </row>
    <row r="606" spans="2:12" x14ac:dyDescent="0.3">
      <c r="B606" s="36"/>
      <c r="H606" s="35"/>
      <c r="K606" s="35"/>
      <c r="L606" s="35"/>
    </row>
    <row r="607" spans="2:12" x14ac:dyDescent="0.3">
      <c r="B607" s="36"/>
      <c r="H607" s="35"/>
      <c r="K607" s="35"/>
      <c r="L607" s="35"/>
    </row>
    <row r="608" spans="2:12" x14ac:dyDescent="0.3">
      <c r="B608" s="36"/>
      <c r="H608" s="35"/>
      <c r="K608" s="35"/>
      <c r="L608" s="35"/>
    </row>
    <row r="609" spans="2:12" x14ac:dyDescent="0.3">
      <c r="B609" s="36"/>
      <c r="H609" s="35"/>
      <c r="K609" s="35"/>
      <c r="L609" s="35"/>
    </row>
    <row r="610" spans="2:12" x14ac:dyDescent="0.3">
      <c r="B610" s="36"/>
      <c r="H610" s="35"/>
      <c r="K610" s="35"/>
      <c r="L610" s="35"/>
    </row>
    <row r="611" spans="2:12" x14ac:dyDescent="0.3">
      <c r="B611" s="36"/>
      <c r="H611" s="35"/>
      <c r="K611" s="35"/>
      <c r="L611" s="35"/>
    </row>
    <row r="612" spans="2:12" x14ac:dyDescent="0.3">
      <c r="B612" s="36"/>
      <c r="H612" s="35"/>
      <c r="K612" s="35"/>
      <c r="L612" s="35"/>
    </row>
    <row r="613" spans="2:12" x14ac:dyDescent="0.3">
      <c r="B613" s="36"/>
      <c r="H613" s="35"/>
      <c r="K613" s="35"/>
      <c r="L613" s="35"/>
    </row>
    <row r="614" spans="2:12" x14ac:dyDescent="0.3">
      <c r="B614" s="36"/>
      <c r="H614" s="35"/>
      <c r="K614" s="35"/>
      <c r="L614" s="35"/>
    </row>
    <row r="615" spans="2:12" x14ac:dyDescent="0.3">
      <c r="B615" s="36"/>
      <c r="H615" s="35"/>
      <c r="K615" s="35"/>
      <c r="L615" s="35"/>
    </row>
    <row r="616" spans="2:12" x14ac:dyDescent="0.3">
      <c r="B616" s="36"/>
      <c r="H616" s="35"/>
      <c r="K616" s="35"/>
      <c r="L616" s="35"/>
    </row>
    <row r="617" spans="2:12" x14ac:dyDescent="0.3">
      <c r="B617" s="36"/>
      <c r="H617" s="35"/>
      <c r="K617" s="35"/>
      <c r="L617" s="35"/>
    </row>
    <row r="618" spans="2:12" x14ac:dyDescent="0.3">
      <c r="B618" s="36"/>
      <c r="H618" s="35"/>
      <c r="K618" s="35"/>
      <c r="L618" s="35"/>
    </row>
    <row r="619" spans="2:12" x14ac:dyDescent="0.3">
      <c r="B619" s="36"/>
      <c r="H619" s="35"/>
      <c r="K619" s="35"/>
      <c r="L619" s="35"/>
    </row>
    <row r="620" spans="2:12" x14ac:dyDescent="0.3">
      <c r="B620" s="36"/>
      <c r="H620" s="35"/>
      <c r="K620" s="35"/>
      <c r="L620" s="35"/>
    </row>
    <row r="621" spans="2:12" x14ac:dyDescent="0.3">
      <c r="B621" s="36"/>
      <c r="H621" s="35"/>
      <c r="K621" s="35"/>
      <c r="L621" s="35"/>
    </row>
    <row r="622" spans="2:12" x14ac:dyDescent="0.3">
      <c r="B622" s="36"/>
      <c r="H622" s="35"/>
      <c r="K622" s="35"/>
      <c r="L622" s="35"/>
    </row>
    <row r="623" spans="2:12" x14ac:dyDescent="0.3">
      <c r="B623" s="36"/>
      <c r="H623" s="35"/>
      <c r="K623" s="35"/>
      <c r="L623" s="35"/>
    </row>
    <row r="624" spans="2:12" x14ac:dyDescent="0.3">
      <c r="B624" s="36"/>
      <c r="H624" s="35"/>
      <c r="K624" s="35"/>
      <c r="L624" s="35"/>
    </row>
    <row r="625" spans="2:12" x14ac:dyDescent="0.3">
      <c r="B625" s="36"/>
      <c r="H625" s="35"/>
      <c r="K625" s="35"/>
      <c r="L625" s="35"/>
    </row>
    <row r="626" spans="2:12" x14ac:dyDescent="0.3">
      <c r="B626" s="36"/>
      <c r="H626" s="35"/>
      <c r="K626" s="35"/>
      <c r="L626" s="35"/>
    </row>
    <row r="627" spans="2:12" x14ac:dyDescent="0.3">
      <c r="B627" s="36"/>
      <c r="H627" s="35"/>
      <c r="K627" s="35"/>
      <c r="L627" s="35"/>
    </row>
    <row r="628" spans="2:12" x14ac:dyDescent="0.3">
      <c r="B628" s="36"/>
      <c r="H628" s="35"/>
      <c r="K628" s="35"/>
      <c r="L628" s="35"/>
    </row>
    <row r="629" spans="2:12" x14ac:dyDescent="0.3">
      <c r="B629" s="36"/>
      <c r="H629" s="35"/>
      <c r="K629" s="35"/>
      <c r="L629" s="35"/>
    </row>
    <row r="630" spans="2:12" x14ac:dyDescent="0.3">
      <c r="B630" s="36"/>
      <c r="H630" s="35"/>
      <c r="K630" s="35"/>
      <c r="L630" s="35"/>
    </row>
    <row r="631" spans="2:12" x14ac:dyDescent="0.3">
      <c r="B631" s="36"/>
      <c r="H631" s="35"/>
      <c r="K631" s="35"/>
      <c r="L631" s="35"/>
    </row>
    <row r="632" spans="2:12" x14ac:dyDescent="0.3">
      <c r="B632" s="36"/>
      <c r="H632" s="35"/>
      <c r="K632" s="35"/>
      <c r="L632" s="35"/>
    </row>
    <row r="633" spans="2:12" x14ac:dyDescent="0.3">
      <c r="B633" s="36"/>
      <c r="H633" s="35"/>
      <c r="K633" s="35"/>
      <c r="L633" s="35"/>
    </row>
    <row r="634" spans="2:12" x14ac:dyDescent="0.3">
      <c r="B634" s="36"/>
      <c r="H634" s="35"/>
      <c r="K634" s="35"/>
      <c r="L634" s="35"/>
    </row>
    <row r="635" spans="2:12" x14ac:dyDescent="0.3">
      <c r="B635" s="36"/>
      <c r="H635" s="35"/>
      <c r="K635" s="35"/>
      <c r="L635" s="35"/>
    </row>
    <row r="636" spans="2:12" x14ac:dyDescent="0.3">
      <c r="B636" s="36"/>
      <c r="H636" s="35"/>
      <c r="K636" s="35"/>
      <c r="L636" s="35"/>
    </row>
    <row r="637" spans="2:12" x14ac:dyDescent="0.3">
      <c r="B637" s="36"/>
      <c r="H637" s="35"/>
      <c r="K637" s="35"/>
      <c r="L637" s="35"/>
    </row>
    <row r="638" spans="2:12" x14ac:dyDescent="0.3">
      <c r="B638" s="36"/>
      <c r="H638" s="35"/>
      <c r="K638" s="35"/>
      <c r="L638" s="35"/>
    </row>
    <row r="639" spans="2:12" x14ac:dyDescent="0.3">
      <c r="B639" s="36"/>
      <c r="H639" s="35"/>
      <c r="K639" s="35"/>
      <c r="L639" s="35"/>
    </row>
    <row r="640" spans="2:12" x14ac:dyDescent="0.3">
      <c r="B640" s="36"/>
      <c r="H640" s="35"/>
      <c r="K640" s="35"/>
      <c r="L640" s="35"/>
    </row>
    <row r="641" spans="2:12" x14ac:dyDescent="0.3">
      <c r="B641" s="36"/>
      <c r="H641" s="35"/>
      <c r="K641" s="35"/>
      <c r="L641" s="35"/>
    </row>
    <row r="642" spans="2:12" x14ac:dyDescent="0.3">
      <c r="B642" s="36"/>
      <c r="H642" s="35"/>
      <c r="K642" s="35"/>
      <c r="L642" s="35"/>
    </row>
    <row r="643" spans="2:12" x14ac:dyDescent="0.3">
      <c r="B643" s="36"/>
      <c r="H643" s="35"/>
      <c r="K643" s="35"/>
      <c r="L643" s="35"/>
    </row>
    <row r="644" spans="2:12" x14ac:dyDescent="0.3">
      <c r="B644" s="36"/>
      <c r="H644" s="35"/>
      <c r="K644" s="35"/>
      <c r="L644" s="35"/>
    </row>
    <row r="645" spans="2:12" x14ac:dyDescent="0.3">
      <c r="B645" s="36"/>
      <c r="H645" s="35"/>
      <c r="K645" s="35"/>
      <c r="L645" s="35"/>
    </row>
    <row r="646" spans="2:12" x14ac:dyDescent="0.3">
      <c r="B646" s="36"/>
      <c r="H646" s="35"/>
      <c r="K646" s="35"/>
      <c r="L646" s="35"/>
    </row>
    <row r="647" spans="2:12" x14ac:dyDescent="0.3">
      <c r="B647" s="36"/>
      <c r="H647" s="35"/>
      <c r="K647" s="35"/>
      <c r="L647" s="35"/>
    </row>
    <row r="648" spans="2:12" x14ac:dyDescent="0.3">
      <c r="B648" s="36"/>
      <c r="H648" s="35"/>
      <c r="K648" s="35"/>
      <c r="L648" s="35"/>
    </row>
    <row r="649" spans="2:12" x14ac:dyDescent="0.3">
      <c r="B649" s="36"/>
      <c r="H649" s="35"/>
      <c r="K649" s="35"/>
      <c r="L649" s="35"/>
    </row>
    <row r="650" spans="2:12" x14ac:dyDescent="0.3">
      <c r="B650" s="36"/>
      <c r="H650" s="35"/>
      <c r="K650" s="35"/>
      <c r="L650" s="35"/>
    </row>
    <row r="651" spans="2:12" x14ac:dyDescent="0.3">
      <c r="B651" s="36"/>
      <c r="H651" s="35"/>
      <c r="K651" s="35"/>
      <c r="L651" s="35"/>
    </row>
    <row r="652" spans="2:12" x14ac:dyDescent="0.3">
      <c r="B652" s="36"/>
      <c r="H652" s="35"/>
      <c r="K652" s="35"/>
      <c r="L652" s="35"/>
    </row>
    <row r="653" spans="2:12" x14ac:dyDescent="0.3">
      <c r="B653" s="36"/>
      <c r="H653" s="35"/>
      <c r="K653" s="35"/>
      <c r="L653" s="35"/>
    </row>
    <row r="654" spans="2:12" x14ac:dyDescent="0.3">
      <c r="B654" s="36"/>
      <c r="H654" s="35"/>
      <c r="K654" s="35"/>
      <c r="L654" s="35"/>
    </row>
    <row r="655" spans="2:12" x14ac:dyDescent="0.3">
      <c r="B655" s="36"/>
      <c r="H655" s="35"/>
      <c r="K655" s="35"/>
      <c r="L655" s="35"/>
    </row>
    <row r="656" spans="2:12" x14ac:dyDescent="0.3">
      <c r="B656" s="36"/>
      <c r="H656" s="35"/>
      <c r="K656" s="35"/>
      <c r="L656" s="35"/>
    </row>
    <row r="657" spans="2:12" x14ac:dyDescent="0.3">
      <c r="B657" s="36"/>
      <c r="H657" s="35"/>
      <c r="K657" s="35"/>
      <c r="L657" s="35"/>
    </row>
    <row r="658" spans="2:12" x14ac:dyDescent="0.3">
      <c r="B658" s="36"/>
      <c r="H658" s="35"/>
      <c r="K658" s="35"/>
      <c r="L658" s="35"/>
    </row>
    <row r="659" spans="2:12" x14ac:dyDescent="0.3">
      <c r="B659" s="36"/>
      <c r="H659" s="35"/>
      <c r="K659" s="35"/>
      <c r="L659" s="35"/>
    </row>
    <row r="660" spans="2:12" x14ac:dyDescent="0.3">
      <c r="B660" s="36"/>
      <c r="H660" s="35"/>
      <c r="K660" s="35"/>
      <c r="L660" s="35"/>
    </row>
    <row r="661" spans="2:12" x14ac:dyDescent="0.3">
      <c r="B661" s="36"/>
      <c r="H661" s="35"/>
      <c r="K661" s="35"/>
      <c r="L661" s="35"/>
    </row>
    <row r="662" spans="2:12" x14ac:dyDescent="0.3">
      <c r="B662" s="36"/>
      <c r="H662" s="35"/>
      <c r="K662" s="35"/>
      <c r="L662" s="35"/>
    </row>
    <row r="663" spans="2:12" x14ac:dyDescent="0.3">
      <c r="B663" s="36"/>
      <c r="H663" s="35"/>
      <c r="K663" s="35"/>
      <c r="L663" s="35"/>
    </row>
    <row r="664" spans="2:12" x14ac:dyDescent="0.3">
      <c r="B664" s="36"/>
      <c r="H664" s="35"/>
      <c r="K664" s="35"/>
      <c r="L664" s="35"/>
    </row>
    <row r="665" spans="2:12" x14ac:dyDescent="0.3">
      <c r="B665" s="36"/>
      <c r="H665" s="35"/>
      <c r="K665" s="35"/>
      <c r="L665" s="35"/>
    </row>
    <row r="666" spans="2:12" x14ac:dyDescent="0.3">
      <c r="B666" s="36"/>
      <c r="H666" s="35"/>
      <c r="K666" s="35"/>
      <c r="L666" s="35"/>
    </row>
    <row r="667" spans="2:12" x14ac:dyDescent="0.3">
      <c r="B667" s="36"/>
      <c r="H667" s="35"/>
      <c r="K667" s="35"/>
      <c r="L667" s="35"/>
    </row>
    <row r="668" spans="2:12" x14ac:dyDescent="0.3">
      <c r="B668" s="36"/>
      <c r="H668" s="35"/>
      <c r="K668" s="35"/>
      <c r="L668" s="35"/>
    </row>
    <row r="669" spans="2:12" x14ac:dyDescent="0.3">
      <c r="B669" s="36"/>
      <c r="H669" s="35"/>
      <c r="K669" s="35"/>
      <c r="L669" s="35"/>
    </row>
    <row r="670" spans="2:12" x14ac:dyDescent="0.3">
      <c r="B670" s="36"/>
      <c r="H670" s="35"/>
      <c r="K670" s="35"/>
      <c r="L670" s="35"/>
    </row>
    <row r="671" spans="2:12" x14ac:dyDescent="0.3">
      <c r="B671" s="36"/>
      <c r="H671" s="35"/>
      <c r="K671" s="35"/>
      <c r="L671" s="35"/>
    </row>
    <row r="672" spans="2:12" x14ac:dyDescent="0.3">
      <c r="B672" s="36"/>
      <c r="H672" s="35"/>
      <c r="K672" s="35"/>
      <c r="L672" s="35"/>
    </row>
    <row r="673" spans="2:12" x14ac:dyDescent="0.3">
      <c r="B673" s="36"/>
      <c r="H673" s="35"/>
      <c r="K673" s="35"/>
      <c r="L673" s="35"/>
    </row>
    <row r="674" spans="2:12" x14ac:dyDescent="0.3">
      <c r="B674" s="36"/>
      <c r="H674" s="35"/>
      <c r="K674" s="35"/>
      <c r="L674" s="35"/>
    </row>
    <row r="675" spans="2:12" x14ac:dyDescent="0.3">
      <c r="B675" s="36"/>
      <c r="H675" s="35"/>
      <c r="K675" s="35"/>
      <c r="L675" s="35"/>
    </row>
    <row r="676" spans="2:12" x14ac:dyDescent="0.3">
      <c r="B676" s="36"/>
      <c r="H676" s="35"/>
      <c r="K676" s="35"/>
      <c r="L676" s="35"/>
    </row>
    <row r="677" spans="2:12" x14ac:dyDescent="0.3">
      <c r="B677" s="36"/>
      <c r="H677" s="35"/>
      <c r="K677" s="35"/>
      <c r="L677" s="35"/>
    </row>
    <row r="678" spans="2:12" x14ac:dyDescent="0.3">
      <c r="B678" s="36"/>
      <c r="H678" s="35"/>
      <c r="K678" s="35"/>
      <c r="L678" s="35"/>
    </row>
    <row r="679" spans="2:12" x14ac:dyDescent="0.3">
      <c r="B679" s="36"/>
      <c r="H679" s="35"/>
      <c r="K679" s="35"/>
      <c r="L679" s="35"/>
    </row>
    <row r="680" spans="2:12" x14ac:dyDescent="0.3">
      <c r="B680" s="36"/>
      <c r="H680" s="35"/>
      <c r="K680" s="35"/>
      <c r="L680" s="35"/>
    </row>
    <row r="681" spans="2:12" x14ac:dyDescent="0.3">
      <c r="B681" s="36"/>
      <c r="H681" s="35"/>
      <c r="K681" s="35"/>
      <c r="L681" s="35"/>
    </row>
    <row r="682" spans="2:12" x14ac:dyDescent="0.3">
      <c r="B682" s="36"/>
      <c r="H682" s="35"/>
      <c r="K682" s="35"/>
      <c r="L682" s="35"/>
    </row>
    <row r="683" spans="2:12" x14ac:dyDescent="0.3">
      <c r="B683" s="36"/>
      <c r="H683" s="35"/>
      <c r="K683" s="35"/>
      <c r="L683" s="35"/>
    </row>
    <row r="684" spans="2:12" x14ac:dyDescent="0.3">
      <c r="B684" s="36"/>
      <c r="H684" s="35"/>
      <c r="K684" s="35"/>
      <c r="L684" s="35"/>
    </row>
    <row r="685" spans="2:12" x14ac:dyDescent="0.3">
      <c r="B685" s="36"/>
      <c r="H685" s="35"/>
      <c r="K685" s="35"/>
      <c r="L685" s="35"/>
    </row>
    <row r="686" spans="2:12" x14ac:dyDescent="0.3">
      <c r="B686" s="36"/>
      <c r="H686" s="35"/>
      <c r="K686" s="35"/>
      <c r="L686" s="35"/>
    </row>
    <row r="687" spans="2:12" x14ac:dyDescent="0.3">
      <c r="B687" s="36"/>
      <c r="H687" s="35"/>
      <c r="K687" s="35"/>
      <c r="L687" s="35"/>
    </row>
    <row r="688" spans="2:12" x14ac:dyDescent="0.3">
      <c r="B688" s="36"/>
      <c r="H688" s="35"/>
      <c r="K688" s="35"/>
      <c r="L688" s="35"/>
    </row>
    <row r="689" spans="2:12" x14ac:dyDescent="0.3">
      <c r="B689" s="36"/>
      <c r="H689" s="35"/>
      <c r="K689" s="35"/>
      <c r="L689" s="35"/>
    </row>
    <row r="690" spans="2:12" x14ac:dyDescent="0.3">
      <c r="B690" s="36"/>
      <c r="H690" s="35"/>
      <c r="K690" s="35"/>
      <c r="L690" s="35"/>
    </row>
    <row r="691" spans="2:12" x14ac:dyDescent="0.3">
      <c r="B691" s="36"/>
      <c r="H691" s="35"/>
      <c r="K691" s="35"/>
      <c r="L691" s="35"/>
    </row>
    <row r="692" spans="2:12" x14ac:dyDescent="0.3">
      <c r="B692" s="36"/>
      <c r="H692" s="35"/>
      <c r="K692" s="35"/>
      <c r="L692" s="35"/>
    </row>
    <row r="693" spans="2:12" x14ac:dyDescent="0.3">
      <c r="B693" s="36"/>
      <c r="H693" s="35"/>
      <c r="K693" s="35"/>
      <c r="L693" s="35"/>
    </row>
    <row r="694" spans="2:12" x14ac:dyDescent="0.3">
      <c r="B694" s="36"/>
      <c r="H694" s="35"/>
      <c r="K694" s="35"/>
      <c r="L694" s="35"/>
    </row>
    <row r="695" spans="2:12" x14ac:dyDescent="0.3">
      <c r="B695" s="36"/>
      <c r="H695" s="35"/>
      <c r="K695" s="35"/>
      <c r="L695" s="35"/>
    </row>
    <row r="696" spans="2:12" x14ac:dyDescent="0.3">
      <c r="B696" s="36"/>
      <c r="H696" s="35"/>
      <c r="K696" s="35"/>
      <c r="L696" s="35"/>
    </row>
    <row r="697" spans="2:12" x14ac:dyDescent="0.3">
      <c r="B697" s="36"/>
      <c r="H697" s="35"/>
      <c r="K697" s="35"/>
      <c r="L697" s="35"/>
    </row>
    <row r="698" spans="2:12" x14ac:dyDescent="0.3">
      <c r="B698" s="36"/>
      <c r="H698" s="35"/>
      <c r="K698" s="35"/>
      <c r="L698" s="35"/>
    </row>
    <row r="699" spans="2:12" x14ac:dyDescent="0.3">
      <c r="B699" s="36"/>
      <c r="H699" s="35"/>
      <c r="K699" s="35"/>
      <c r="L699" s="35"/>
    </row>
    <row r="700" spans="2:12" x14ac:dyDescent="0.3">
      <c r="B700" s="36"/>
      <c r="H700" s="35"/>
      <c r="K700" s="35"/>
      <c r="L700" s="35"/>
    </row>
    <row r="701" spans="2:12" x14ac:dyDescent="0.3">
      <c r="B701" s="36"/>
      <c r="H701" s="35"/>
      <c r="K701" s="35"/>
      <c r="L701" s="35"/>
    </row>
    <row r="702" spans="2:12" x14ac:dyDescent="0.3">
      <c r="B702" s="36"/>
      <c r="H702" s="35"/>
      <c r="K702" s="35"/>
      <c r="L702" s="35"/>
    </row>
    <row r="703" spans="2:12" x14ac:dyDescent="0.3">
      <c r="B703" s="36"/>
      <c r="H703" s="35"/>
      <c r="K703" s="35"/>
      <c r="L703" s="35"/>
    </row>
    <row r="704" spans="2:12" x14ac:dyDescent="0.3">
      <c r="B704" s="36"/>
      <c r="H704" s="35"/>
      <c r="K704" s="35"/>
      <c r="L704" s="35"/>
    </row>
    <row r="705" spans="2:12" x14ac:dyDescent="0.3">
      <c r="B705" s="36"/>
      <c r="H705" s="35"/>
      <c r="K705" s="35"/>
      <c r="L705" s="35"/>
    </row>
    <row r="706" spans="2:12" x14ac:dyDescent="0.3">
      <c r="B706" s="36"/>
      <c r="H706" s="35"/>
      <c r="K706" s="35"/>
      <c r="L706" s="35"/>
    </row>
    <row r="707" spans="2:12" x14ac:dyDescent="0.3">
      <c r="B707" s="36"/>
      <c r="H707" s="35"/>
      <c r="K707" s="35"/>
      <c r="L707" s="35"/>
    </row>
    <row r="708" spans="2:12" x14ac:dyDescent="0.3">
      <c r="B708" s="36"/>
      <c r="H708" s="35"/>
      <c r="K708" s="35"/>
      <c r="L708" s="35"/>
    </row>
    <row r="709" spans="2:12" x14ac:dyDescent="0.3">
      <c r="B709" s="36"/>
      <c r="H709" s="35"/>
      <c r="K709" s="35"/>
      <c r="L709" s="35"/>
    </row>
    <row r="710" spans="2:12" x14ac:dyDescent="0.3">
      <c r="B710" s="36"/>
      <c r="H710" s="35"/>
      <c r="K710" s="35"/>
      <c r="L710" s="35"/>
    </row>
    <row r="711" spans="2:12" x14ac:dyDescent="0.3">
      <c r="B711" s="36"/>
      <c r="H711" s="35"/>
      <c r="K711" s="35"/>
      <c r="L711" s="35"/>
    </row>
    <row r="712" spans="2:12" x14ac:dyDescent="0.3">
      <c r="B712" s="36"/>
      <c r="H712" s="35"/>
      <c r="K712" s="35"/>
      <c r="L712" s="35"/>
    </row>
    <row r="713" spans="2:12" x14ac:dyDescent="0.3">
      <c r="B713" s="36"/>
      <c r="H713" s="35"/>
      <c r="K713" s="35"/>
      <c r="L713" s="35"/>
    </row>
    <row r="714" spans="2:12" x14ac:dyDescent="0.3">
      <c r="B714" s="36"/>
      <c r="H714" s="35"/>
      <c r="K714" s="35"/>
      <c r="L714" s="35"/>
    </row>
    <row r="715" spans="2:12" x14ac:dyDescent="0.3">
      <c r="B715" s="36"/>
      <c r="H715" s="35"/>
      <c r="K715" s="35"/>
      <c r="L715" s="35"/>
    </row>
    <row r="716" spans="2:12" x14ac:dyDescent="0.3">
      <c r="B716" s="36"/>
      <c r="H716" s="35"/>
      <c r="K716" s="35"/>
      <c r="L716" s="35"/>
    </row>
    <row r="717" spans="2:12" x14ac:dyDescent="0.3">
      <c r="B717" s="36"/>
      <c r="H717" s="35"/>
      <c r="K717" s="35"/>
      <c r="L717" s="35"/>
    </row>
    <row r="718" spans="2:12" x14ac:dyDescent="0.3">
      <c r="B718" s="36"/>
      <c r="H718" s="35"/>
      <c r="K718" s="35"/>
      <c r="L718" s="35"/>
    </row>
    <row r="719" spans="2:12" x14ac:dyDescent="0.3">
      <c r="B719" s="36"/>
      <c r="H719" s="35"/>
      <c r="K719" s="35"/>
      <c r="L719" s="35"/>
    </row>
    <row r="720" spans="2:12" x14ac:dyDescent="0.3">
      <c r="B720" s="36"/>
      <c r="H720" s="35"/>
      <c r="K720" s="35"/>
      <c r="L720" s="35"/>
    </row>
    <row r="721" spans="2:12" x14ac:dyDescent="0.3">
      <c r="B721" s="36"/>
      <c r="H721" s="35"/>
      <c r="K721" s="35"/>
      <c r="L721" s="35"/>
    </row>
    <row r="722" spans="2:12" x14ac:dyDescent="0.3">
      <c r="B722" s="36"/>
      <c r="H722" s="35"/>
      <c r="K722" s="35"/>
      <c r="L722" s="35"/>
    </row>
    <row r="723" spans="2:12" x14ac:dyDescent="0.3">
      <c r="B723" s="36"/>
      <c r="H723" s="35"/>
      <c r="K723" s="35"/>
      <c r="L723" s="35"/>
    </row>
    <row r="724" spans="2:12" x14ac:dyDescent="0.3">
      <c r="B724" s="36"/>
      <c r="H724" s="35"/>
      <c r="K724" s="35"/>
      <c r="L724" s="35"/>
    </row>
    <row r="725" spans="2:12" x14ac:dyDescent="0.3">
      <c r="B725" s="36"/>
      <c r="H725" s="35"/>
      <c r="K725" s="35"/>
      <c r="L725" s="35"/>
    </row>
    <row r="726" spans="2:12" x14ac:dyDescent="0.3">
      <c r="B726" s="36"/>
      <c r="H726" s="35"/>
      <c r="K726" s="35"/>
      <c r="L726" s="35"/>
    </row>
    <row r="727" spans="2:12" x14ac:dyDescent="0.3">
      <c r="B727" s="36"/>
      <c r="H727" s="35"/>
      <c r="K727" s="35"/>
      <c r="L727" s="35"/>
    </row>
    <row r="728" spans="2:12" x14ac:dyDescent="0.3">
      <c r="B728" s="36"/>
      <c r="H728" s="35"/>
      <c r="K728" s="35"/>
      <c r="L728" s="35"/>
    </row>
    <row r="729" spans="2:12" x14ac:dyDescent="0.3">
      <c r="B729" s="36"/>
      <c r="H729" s="35"/>
      <c r="K729" s="35"/>
      <c r="L729" s="35"/>
    </row>
    <row r="730" spans="2:12" x14ac:dyDescent="0.3">
      <c r="B730" s="36"/>
      <c r="H730" s="35"/>
      <c r="K730" s="35"/>
      <c r="L730" s="35"/>
    </row>
    <row r="731" spans="2:12" x14ac:dyDescent="0.3">
      <c r="B731" s="36"/>
      <c r="H731" s="35"/>
      <c r="K731" s="35"/>
      <c r="L731" s="35"/>
    </row>
    <row r="732" spans="2:12" x14ac:dyDescent="0.3">
      <c r="B732" s="36"/>
      <c r="H732" s="35"/>
      <c r="K732" s="35"/>
      <c r="L732" s="35"/>
    </row>
    <row r="733" spans="2:12" x14ac:dyDescent="0.3">
      <c r="B733" s="36"/>
      <c r="H733" s="35"/>
      <c r="K733" s="35"/>
      <c r="L733" s="35"/>
    </row>
    <row r="734" spans="2:12" x14ac:dyDescent="0.3">
      <c r="B734" s="36"/>
      <c r="H734" s="35"/>
      <c r="K734" s="35"/>
      <c r="L734" s="35"/>
    </row>
    <row r="735" spans="2:12" x14ac:dyDescent="0.3">
      <c r="B735" s="36"/>
      <c r="H735" s="35"/>
      <c r="K735" s="35"/>
      <c r="L735" s="35"/>
    </row>
    <row r="736" spans="2:12" x14ac:dyDescent="0.3">
      <c r="B736" s="36"/>
      <c r="H736" s="35"/>
      <c r="K736" s="35"/>
      <c r="L736" s="35"/>
    </row>
    <row r="737" spans="2:12" x14ac:dyDescent="0.3">
      <c r="B737" s="36"/>
      <c r="H737" s="35"/>
      <c r="K737" s="35"/>
      <c r="L737" s="35"/>
    </row>
    <row r="738" spans="2:12" x14ac:dyDescent="0.3">
      <c r="B738" s="36"/>
      <c r="H738" s="35"/>
      <c r="K738" s="35"/>
      <c r="L738" s="35"/>
    </row>
    <row r="739" spans="2:12" x14ac:dyDescent="0.3">
      <c r="B739" s="36"/>
      <c r="H739" s="35"/>
      <c r="K739" s="35"/>
      <c r="L739" s="35"/>
    </row>
    <row r="740" spans="2:12" x14ac:dyDescent="0.3">
      <c r="B740" s="36"/>
      <c r="H740" s="35"/>
      <c r="K740" s="35"/>
      <c r="L740" s="35"/>
    </row>
    <row r="741" spans="2:12" x14ac:dyDescent="0.3">
      <c r="B741" s="36"/>
      <c r="H741" s="35"/>
      <c r="K741" s="35"/>
      <c r="L741" s="35"/>
    </row>
    <row r="742" spans="2:12" x14ac:dyDescent="0.3">
      <c r="B742" s="36"/>
      <c r="H742" s="35"/>
      <c r="K742" s="35"/>
      <c r="L742" s="35"/>
    </row>
    <row r="743" spans="2:12" x14ac:dyDescent="0.3">
      <c r="B743" s="36"/>
      <c r="H743" s="35"/>
      <c r="K743" s="35"/>
      <c r="L743" s="35"/>
    </row>
    <row r="744" spans="2:12" x14ac:dyDescent="0.3">
      <c r="B744" s="36"/>
      <c r="H744" s="35"/>
      <c r="K744" s="35"/>
      <c r="L744" s="35"/>
    </row>
    <row r="745" spans="2:12" x14ac:dyDescent="0.3">
      <c r="B745" s="36"/>
      <c r="H745" s="35"/>
      <c r="K745" s="35"/>
      <c r="L745" s="35"/>
    </row>
    <row r="746" spans="2:12" x14ac:dyDescent="0.3">
      <c r="B746" s="36"/>
      <c r="H746" s="35"/>
      <c r="K746" s="35"/>
      <c r="L746" s="35"/>
    </row>
    <row r="747" spans="2:12" x14ac:dyDescent="0.3">
      <c r="B747" s="36"/>
      <c r="H747" s="35"/>
      <c r="K747" s="35"/>
      <c r="L747" s="35"/>
    </row>
    <row r="748" spans="2:12" x14ac:dyDescent="0.3">
      <c r="B748" s="36"/>
      <c r="H748" s="35"/>
      <c r="K748" s="35"/>
      <c r="L748" s="35"/>
    </row>
    <row r="749" spans="2:12" x14ac:dyDescent="0.3">
      <c r="B749" s="36"/>
      <c r="H749" s="35"/>
      <c r="K749" s="35"/>
      <c r="L749" s="35"/>
    </row>
    <row r="750" spans="2:12" x14ac:dyDescent="0.3">
      <c r="B750" s="36"/>
      <c r="H750" s="35"/>
      <c r="K750" s="35"/>
      <c r="L750" s="35"/>
    </row>
    <row r="751" spans="2:12" x14ac:dyDescent="0.3">
      <c r="B751" s="36"/>
      <c r="H751" s="35"/>
      <c r="K751" s="35"/>
      <c r="L751" s="35"/>
    </row>
    <row r="752" spans="2:12" x14ac:dyDescent="0.3">
      <c r="B752" s="36"/>
      <c r="H752" s="35"/>
      <c r="K752" s="35"/>
      <c r="L752" s="35"/>
    </row>
    <row r="753" spans="2:12" x14ac:dyDescent="0.3">
      <c r="B753" s="36"/>
      <c r="H753" s="35"/>
      <c r="K753" s="35"/>
      <c r="L753" s="35"/>
    </row>
    <row r="754" spans="2:12" x14ac:dyDescent="0.3">
      <c r="B754" s="36"/>
      <c r="H754" s="35"/>
      <c r="K754" s="35"/>
      <c r="L754" s="35"/>
    </row>
    <row r="755" spans="2:12" x14ac:dyDescent="0.3">
      <c r="B755" s="36"/>
      <c r="H755" s="35"/>
      <c r="K755" s="35"/>
      <c r="L755" s="35"/>
    </row>
    <row r="756" spans="2:12" x14ac:dyDescent="0.3">
      <c r="B756" s="36"/>
      <c r="H756" s="35"/>
      <c r="K756" s="35"/>
      <c r="L756" s="35"/>
    </row>
    <row r="757" spans="2:12" x14ac:dyDescent="0.3">
      <c r="B757" s="36"/>
      <c r="H757" s="35"/>
      <c r="K757" s="35"/>
      <c r="L757" s="35"/>
    </row>
    <row r="758" spans="2:12" x14ac:dyDescent="0.3">
      <c r="B758" s="36"/>
      <c r="H758" s="35"/>
      <c r="K758" s="35"/>
      <c r="L758" s="35"/>
    </row>
    <row r="759" spans="2:12" x14ac:dyDescent="0.3">
      <c r="B759" s="36"/>
      <c r="H759" s="35"/>
      <c r="K759" s="35"/>
      <c r="L759" s="35"/>
    </row>
    <row r="760" spans="2:12" x14ac:dyDescent="0.3">
      <c r="B760" s="36"/>
      <c r="H760" s="35"/>
      <c r="K760" s="35"/>
      <c r="L760" s="35"/>
    </row>
    <row r="761" spans="2:12" x14ac:dyDescent="0.3">
      <c r="B761" s="36"/>
      <c r="H761" s="35"/>
      <c r="K761" s="35"/>
      <c r="L761" s="35"/>
    </row>
    <row r="762" spans="2:12" x14ac:dyDescent="0.3">
      <c r="B762" s="36"/>
      <c r="H762" s="35"/>
      <c r="K762" s="35"/>
      <c r="L762" s="35"/>
    </row>
    <row r="763" spans="2:12" x14ac:dyDescent="0.3">
      <c r="B763" s="36"/>
      <c r="H763" s="35"/>
      <c r="K763" s="35"/>
      <c r="L763" s="35"/>
    </row>
    <row r="764" spans="2:12" x14ac:dyDescent="0.3">
      <c r="B764" s="36"/>
      <c r="H764" s="35"/>
      <c r="K764" s="35"/>
      <c r="L764" s="35"/>
    </row>
    <row r="765" spans="2:12" x14ac:dyDescent="0.3">
      <c r="B765" s="36"/>
      <c r="H765" s="35"/>
      <c r="K765" s="35"/>
      <c r="L765" s="35"/>
    </row>
    <row r="766" spans="2:12" x14ac:dyDescent="0.3">
      <c r="B766" s="36"/>
      <c r="H766" s="35"/>
      <c r="K766" s="35"/>
      <c r="L766" s="35"/>
    </row>
    <row r="767" spans="2:12" x14ac:dyDescent="0.3">
      <c r="B767" s="36"/>
      <c r="H767" s="35"/>
      <c r="K767" s="35"/>
      <c r="L767" s="35"/>
    </row>
    <row r="768" spans="2:12" x14ac:dyDescent="0.3">
      <c r="B768" s="36"/>
      <c r="H768" s="35"/>
      <c r="K768" s="35"/>
      <c r="L768" s="35"/>
    </row>
    <row r="769" spans="2:12" x14ac:dyDescent="0.3">
      <c r="B769" s="36"/>
      <c r="H769" s="35"/>
      <c r="K769" s="35"/>
      <c r="L769" s="35"/>
    </row>
    <row r="770" spans="2:12" x14ac:dyDescent="0.3">
      <c r="B770" s="36"/>
      <c r="H770" s="35"/>
      <c r="K770" s="35"/>
      <c r="L770" s="35"/>
    </row>
    <row r="771" spans="2:12" x14ac:dyDescent="0.3">
      <c r="B771" s="36"/>
      <c r="H771" s="35"/>
      <c r="K771" s="35"/>
      <c r="L771" s="35"/>
    </row>
    <row r="772" spans="2:12" x14ac:dyDescent="0.3">
      <c r="B772" s="36"/>
      <c r="H772" s="35"/>
      <c r="K772" s="35"/>
      <c r="L772" s="35"/>
    </row>
    <row r="773" spans="2:12" x14ac:dyDescent="0.3">
      <c r="B773" s="36"/>
      <c r="H773" s="35"/>
      <c r="K773" s="35"/>
      <c r="L773" s="35"/>
    </row>
    <row r="774" spans="2:12" x14ac:dyDescent="0.3">
      <c r="B774" s="36"/>
      <c r="H774" s="35"/>
      <c r="K774" s="35"/>
      <c r="L774" s="35"/>
    </row>
    <row r="775" spans="2:12" x14ac:dyDescent="0.3">
      <c r="B775" s="36"/>
      <c r="H775" s="35"/>
      <c r="K775" s="35"/>
      <c r="L775" s="35"/>
    </row>
    <row r="776" spans="2:12" x14ac:dyDescent="0.3">
      <c r="B776" s="36"/>
      <c r="H776" s="35"/>
      <c r="K776" s="35"/>
      <c r="L776" s="35"/>
    </row>
    <row r="777" spans="2:12" x14ac:dyDescent="0.3">
      <c r="B777" s="36"/>
      <c r="H777" s="35"/>
      <c r="K777" s="35"/>
      <c r="L777" s="35"/>
    </row>
    <row r="778" spans="2:12" x14ac:dyDescent="0.3">
      <c r="B778" s="36"/>
      <c r="H778" s="35"/>
      <c r="K778" s="35"/>
      <c r="L778" s="35"/>
    </row>
    <row r="779" spans="2:12" x14ac:dyDescent="0.3">
      <c r="B779" s="36"/>
      <c r="H779" s="35"/>
      <c r="K779" s="35"/>
      <c r="L779" s="35"/>
    </row>
    <row r="780" spans="2:12" x14ac:dyDescent="0.3">
      <c r="B780" s="36"/>
      <c r="H780" s="35"/>
      <c r="K780" s="35"/>
      <c r="L780" s="35"/>
    </row>
    <row r="781" spans="2:12" x14ac:dyDescent="0.3">
      <c r="B781" s="36"/>
      <c r="H781" s="35"/>
      <c r="K781" s="35"/>
      <c r="L781" s="35"/>
    </row>
    <row r="782" spans="2:12" x14ac:dyDescent="0.3">
      <c r="B782" s="36"/>
      <c r="H782" s="35"/>
      <c r="K782" s="35"/>
      <c r="L782" s="35"/>
    </row>
    <row r="783" spans="2:12" x14ac:dyDescent="0.3">
      <c r="B783" s="36"/>
      <c r="H783" s="35"/>
      <c r="K783" s="35"/>
      <c r="L783" s="35"/>
    </row>
    <row r="784" spans="2:12" x14ac:dyDescent="0.3">
      <c r="B784" s="36"/>
      <c r="H784" s="35"/>
      <c r="K784" s="35"/>
      <c r="L784" s="35"/>
    </row>
    <row r="785" spans="2:12" x14ac:dyDescent="0.3">
      <c r="B785" s="36"/>
      <c r="H785" s="35"/>
      <c r="K785" s="35"/>
      <c r="L785" s="35"/>
    </row>
    <row r="786" spans="2:12" x14ac:dyDescent="0.3">
      <c r="B786" s="36"/>
      <c r="H786" s="35"/>
      <c r="K786" s="35"/>
      <c r="L786" s="35"/>
    </row>
    <row r="787" spans="2:12" x14ac:dyDescent="0.3">
      <c r="B787" s="36"/>
      <c r="H787" s="35"/>
      <c r="K787" s="35"/>
      <c r="L787" s="35"/>
    </row>
    <row r="788" spans="2:12" x14ac:dyDescent="0.3">
      <c r="B788" s="36"/>
      <c r="H788" s="35"/>
      <c r="K788" s="35"/>
      <c r="L788" s="35"/>
    </row>
    <row r="789" spans="2:12" x14ac:dyDescent="0.3">
      <c r="B789" s="36"/>
      <c r="H789" s="35"/>
      <c r="K789" s="35"/>
      <c r="L789" s="35"/>
    </row>
    <row r="790" spans="2:12" x14ac:dyDescent="0.3">
      <c r="B790" s="36"/>
      <c r="H790" s="35"/>
      <c r="K790" s="35"/>
      <c r="L790" s="35"/>
    </row>
    <row r="791" spans="2:12" x14ac:dyDescent="0.3">
      <c r="B791" s="36"/>
      <c r="H791" s="35"/>
      <c r="K791" s="35"/>
      <c r="L791" s="35"/>
    </row>
    <row r="792" spans="2:12" x14ac:dyDescent="0.3">
      <c r="B792" s="36"/>
      <c r="H792" s="35"/>
      <c r="K792" s="35"/>
      <c r="L792" s="35"/>
    </row>
    <row r="793" spans="2:12" x14ac:dyDescent="0.3">
      <c r="B793" s="36"/>
      <c r="H793" s="35"/>
      <c r="K793" s="35"/>
      <c r="L793" s="35"/>
    </row>
    <row r="794" spans="2:12" x14ac:dyDescent="0.3">
      <c r="B794" s="36"/>
      <c r="H794" s="35"/>
      <c r="K794" s="35"/>
      <c r="L794" s="35"/>
    </row>
    <row r="795" spans="2:12" x14ac:dyDescent="0.3">
      <c r="B795" s="36"/>
      <c r="H795" s="35"/>
      <c r="K795" s="35"/>
      <c r="L795" s="35"/>
    </row>
    <row r="796" spans="2:12" x14ac:dyDescent="0.3">
      <c r="B796" s="36"/>
      <c r="H796" s="35"/>
      <c r="K796" s="35"/>
      <c r="L796" s="35"/>
    </row>
    <row r="797" spans="2:12" x14ac:dyDescent="0.3">
      <c r="B797" s="36"/>
      <c r="H797" s="35"/>
      <c r="K797" s="35"/>
      <c r="L797" s="35"/>
    </row>
    <row r="798" spans="2:12" x14ac:dyDescent="0.3">
      <c r="B798" s="36"/>
      <c r="H798" s="35"/>
      <c r="K798" s="35"/>
      <c r="L798" s="35"/>
    </row>
    <row r="799" spans="2:12" x14ac:dyDescent="0.3">
      <c r="B799" s="36"/>
      <c r="H799" s="35"/>
      <c r="K799" s="35"/>
      <c r="L799" s="35"/>
    </row>
    <row r="800" spans="2:12" x14ac:dyDescent="0.3">
      <c r="B800" s="36"/>
      <c r="H800" s="35"/>
      <c r="K800" s="35"/>
      <c r="L800" s="35"/>
    </row>
    <row r="801" spans="2:12" x14ac:dyDescent="0.3">
      <c r="B801" s="36"/>
      <c r="H801" s="35"/>
      <c r="K801" s="35"/>
      <c r="L801" s="35"/>
    </row>
    <row r="802" spans="2:12" x14ac:dyDescent="0.3">
      <c r="B802" s="36"/>
      <c r="H802" s="35"/>
      <c r="K802" s="35"/>
      <c r="L802" s="35"/>
    </row>
    <row r="803" spans="2:12" x14ac:dyDescent="0.3">
      <c r="B803" s="36"/>
      <c r="H803" s="35"/>
      <c r="K803" s="35"/>
      <c r="L803" s="35"/>
    </row>
    <row r="804" spans="2:12" x14ac:dyDescent="0.3">
      <c r="B804" s="36"/>
      <c r="H804" s="35"/>
      <c r="K804" s="35"/>
      <c r="L804" s="35"/>
    </row>
    <row r="805" spans="2:12" x14ac:dyDescent="0.3">
      <c r="B805" s="36"/>
      <c r="H805" s="35"/>
      <c r="K805" s="35"/>
      <c r="L805" s="35"/>
    </row>
    <row r="806" spans="2:12" x14ac:dyDescent="0.3">
      <c r="B806" s="36"/>
      <c r="H806" s="35"/>
      <c r="K806" s="35"/>
      <c r="L806" s="35"/>
    </row>
    <row r="807" spans="2:12" x14ac:dyDescent="0.3">
      <c r="B807" s="36"/>
      <c r="H807" s="35"/>
      <c r="K807" s="35"/>
      <c r="L807" s="35"/>
    </row>
    <row r="808" spans="2:12" x14ac:dyDescent="0.3">
      <c r="B808" s="36"/>
      <c r="H808" s="35"/>
      <c r="K808" s="35"/>
      <c r="L808" s="35"/>
    </row>
    <row r="809" spans="2:12" x14ac:dyDescent="0.3">
      <c r="B809" s="36"/>
      <c r="H809" s="35"/>
      <c r="K809" s="35"/>
      <c r="L809" s="35"/>
    </row>
    <row r="810" spans="2:12" x14ac:dyDescent="0.3">
      <c r="B810" s="36"/>
      <c r="H810" s="35"/>
      <c r="K810" s="35"/>
      <c r="L810" s="35"/>
    </row>
    <row r="811" spans="2:12" x14ac:dyDescent="0.3">
      <c r="B811" s="36"/>
      <c r="H811" s="35"/>
      <c r="K811" s="35"/>
      <c r="L811" s="35"/>
    </row>
    <row r="812" spans="2:12" x14ac:dyDescent="0.3">
      <c r="B812" s="36"/>
      <c r="H812" s="35"/>
      <c r="K812" s="35"/>
      <c r="L812" s="35"/>
    </row>
    <row r="813" spans="2:12" x14ac:dyDescent="0.3">
      <c r="B813" s="36"/>
      <c r="H813" s="35"/>
      <c r="K813" s="35"/>
      <c r="L813" s="35"/>
    </row>
    <row r="814" spans="2:12" x14ac:dyDescent="0.3">
      <c r="B814" s="36"/>
      <c r="H814" s="35"/>
      <c r="K814" s="35"/>
      <c r="L814" s="35"/>
    </row>
    <row r="815" spans="2:12" x14ac:dyDescent="0.3">
      <c r="B815" s="36"/>
      <c r="H815" s="35"/>
      <c r="K815" s="35"/>
      <c r="L815" s="35"/>
    </row>
    <row r="816" spans="2:12" x14ac:dyDescent="0.3">
      <c r="B816" s="36"/>
      <c r="H816" s="35"/>
      <c r="K816" s="35"/>
      <c r="L816" s="35"/>
    </row>
    <row r="817" spans="2:12" x14ac:dyDescent="0.3">
      <c r="B817" s="36"/>
      <c r="H817" s="35"/>
      <c r="K817" s="35"/>
      <c r="L817" s="35"/>
    </row>
    <row r="818" spans="2:12" x14ac:dyDescent="0.3">
      <c r="B818" s="36"/>
      <c r="H818" s="35"/>
      <c r="K818" s="35"/>
      <c r="L818" s="35"/>
    </row>
    <row r="819" spans="2:12" x14ac:dyDescent="0.3">
      <c r="B819" s="36"/>
      <c r="H819" s="35"/>
      <c r="K819" s="35"/>
      <c r="L819" s="35"/>
    </row>
    <row r="820" spans="2:12" x14ac:dyDescent="0.3">
      <c r="B820" s="36"/>
      <c r="H820" s="35"/>
      <c r="K820" s="35"/>
      <c r="L820" s="35"/>
    </row>
    <row r="821" spans="2:12" x14ac:dyDescent="0.3">
      <c r="B821" s="36"/>
      <c r="H821" s="35"/>
      <c r="K821" s="35"/>
      <c r="L821" s="35"/>
    </row>
    <row r="822" spans="2:12" x14ac:dyDescent="0.3">
      <c r="B822" s="36"/>
      <c r="H822" s="35"/>
      <c r="K822" s="35"/>
      <c r="L822" s="35"/>
    </row>
    <row r="823" spans="2:12" x14ac:dyDescent="0.3">
      <c r="B823" s="36"/>
      <c r="H823" s="35"/>
      <c r="K823" s="35"/>
      <c r="L823" s="35"/>
    </row>
    <row r="824" spans="2:12" x14ac:dyDescent="0.3">
      <c r="B824" s="36"/>
      <c r="H824" s="35"/>
      <c r="K824" s="35"/>
      <c r="L824" s="35"/>
    </row>
    <row r="825" spans="2:12" x14ac:dyDescent="0.3">
      <c r="B825" s="36"/>
      <c r="H825" s="35"/>
      <c r="K825" s="35"/>
      <c r="L825" s="35"/>
    </row>
    <row r="826" spans="2:12" x14ac:dyDescent="0.3">
      <c r="B826" s="36"/>
      <c r="H826" s="35"/>
      <c r="K826" s="35"/>
      <c r="L826" s="35"/>
    </row>
    <row r="827" spans="2:12" x14ac:dyDescent="0.3">
      <c r="B827" s="36"/>
      <c r="H827" s="35"/>
      <c r="K827" s="35"/>
      <c r="L827" s="35"/>
    </row>
    <row r="828" spans="2:12" x14ac:dyDescent="0.3">
      <c r="B828" s="36"/>
      <c r="H828" s="35"/>
      <c r="K828" s="35"/>
      <c r="L828" s="35"/>
    </row>
    <row r="829" spans="2:12" x14ac:dyDescent="0.3">
      <c r="B829" s="36"/>
      <c r="H829" s="35"/>
      <c r="K829" s="35"/>
      <c r="L829" s="35"/>
    </row>
    <row r="830" spans="2:12" x14ac:dyDescent="0.3">
      <c r="B830" s="36"/>
      <c r="H830" s="35"/>
      <c r="K830" s="35"/>
      <c r="L830" s="35"/>
    </row>
    <row r="831" spans="2:12" x14ac:dyDescent="0.3">
      <c r="B831" s="36"/>
      <c r="H831" s="35"/>
      <c r="K831" s="35"/>
      <c r="L831" s="35"/>
    </row>
    <row r="832" spans="2:12" x14ac:dyDescent="0.3">
      <c r="B832" s="36"/>
      <c r="H832" s="35"/>
      <c r="K832" s="35"/>
      <c r="L832" s="35"/>
    </row>
    <row r="833" spans="2:12" x14ac:dyDescent="0.3">
      <c r="B833" s="36"/>
      <c r="H833" s="35"/>
      <c r="K833" s="35"/>
      <c r="L833" s="35"/>
    </row>
    <row r="834" spans="2:12" x14ac:dyDescent="0.3">
      <c r="B834" s="36"/>
      <c r="H834" s="35"/>
      <c r="K834" s="35"/>
      <c r="L834" s="35"/>
    </row>
    <row r="835" spans="2:12" x14ac:dyDescent="0.3">
      <c r="B835" s="36"/>
      <c r="H835" s="35"/>
      <c r="K835" s="35"/>
      <c r="L835" s="35"/>
    </row>
    <row r="836" spans="2:12" x14ac:dyDescent="0.3">
      <c r="B836" s="36"/>
      <c r="H836" s="35"/>
      <c r="K836" s="35"/>
      <c r="L836" s="35"/>
    </row>
    <row r="837" spans="2:12" x14ac:dyDescent="0.3">
      <c r="B837" s="36"/>
      <c r="H837" s="35"/>
      <c r="K837" s="35"/>
      <c r="L837" s="35"/>
    </row>
    <row r="838" spans="2:12" x14ac:dyDescent="0.3">
      <c r="B838" s="36"/>
      <c r="H838" s="35"/>
      <c r="K838" s="35"/>
      <c r="L838" s="35"/>
    </row>
    <row r="839" spans="2:12" x14ac:dyDescent="0.3">
      <c r="B839" s="36"/>
      <c r="H839" s="35"/>
      <c r="K839" s="35"/>
      <c r="L839" s="35"/>
    </row>
    <row r="840" spans="2:12" x14ac:dyDescent="0.3">
      <c r="B840" s="36"/>
      <c r="H840" s="35"/>
      <c r="K840" s="35"/>
      <c r="L840" s="35"/>
    </row>
    <row r="841" spans="2:12" x14ac:dyDescent="0.3">
      <c r="B841" s="36"/>
      <c r="H841" s="35"/>
      <c r="K841" s="35"/>
      <c r="L841" s="35"/>
    </row>
    <row r="842" spans="2:12" x14ac:dyDescent="0.3">
      <c r="B842" s="36"/>
      <c r="H842" s="35"/>
      <c r="K842" s="35"/>
      <c r="L842" s="35"/>
    </row>
    <row r="843" spans="2:12" x14ac:dyDescent="0.3">
      <c r="B843" s="36"/>
      <c r="H843" s="35"/>
      <c r="K843" s="35"/>
      <c r="L843" s="35"/>
    </row>
    <row r="844" spans="2:12" x14ac:dyDescent="0.3">
      <c r="B844" s="36"/>
      <c r="H844" s="35"/>
      <c r="K844" s="35"/>
      <c r="L844" s="35"/>
    </row>
    <row r="845" spans="2:12" x14ac:dyDescent="0.3">
      <c r="B845" s="36"/>
      <c r="H845" s="35"/>
      <c r="K845" s="35"/>
      <c r="L845" s="35"/>
    </row>
    <row r="846" spans="2:12" x14ac:dyDescent="0.3">
      <c r="B846" s="36"/>
      <c r="H846" s="35"/>
      <c r="K846" s="35"/>
      <c r="L846" s="35"/>
    </row>
    <row r="847" spans="2:12" x14ac:dyDescent="0.3">
      <c r="B847" s="36"/>
      <c r="H847" s="35"/>
      <c r="K847" s="35"/>
      <c r="L847" s="35"/>
    </row>
    <row r="848" spans="2:12" x14ac:dyDescent="0.3">
      <c r="B848" s="36"/>
      <c r="H848" s="35"/>
      <c r="K848" s="35"/>
      <c r="L848" s="35"/>
    </row>
    <row r="849" spans="2:12" x14ac:dyDescent="0.3">
      <c r="B849" s="36"/>
      <c r="H849" s="35"/>
      <c r="K849" s="35"/>
      <c r="L849" s="35"/>
    </row>
    <row r="850" spans="2:12" x14ac:dyDescent="0.3">
      <c r="B850" s="36"/>
      <c r="H850" s="35"/>
      <c r="K850" s="35"/>
      <c r="L850" s="35"/>
    </row>
    <row r="851" spans="2:12" x14ac:dyDescent="0.3">
      <c r="B851" s="36"/>
      <c r="H851" s="35"/>
      <c r="K851" s="35"/>
      <c r="L851" s="35"/>
    </row>
    <row r="852" spans="2:12" x14ac:dyDescent="0.3">
      <c r="B852" s="36"/>
      <c r="H852" s="35"/>
      <c r="K852" s="35"/>
      <c r="L852" s="35"/>
    </row>
    <row r="853" spans="2:12" x14ac:dyDescent="0.3">
      <c r="B853" s="36"/>
      <c r="H853" s="35"/>
      <c r="K853" s="35"/>
      <c r="L853" s="35"/>
    </row>
    <row r="854" spans="2:12" x14ac:dyDescent="0.3">
      <c r="B854" s="36"/>
      <c r="H854" s="35"/>
      <c r="K854" s="35"/>
      <c r="L854" s="35"/>
    </row>
    <row r="855" spans="2:12" x14ac:dyDescent="0.3">
      <c r="B855" s="36"/>
      <c r="H855" s="35"/>
      <c r="K855" s="35"/>
      <c r="L855" s="35"/>
    </row>
    <row r="856" spans="2:12" x14ac:dyDescent="0.3">
      <c r="B856" s="36"/>
      <c r="H856" s="35"/>
      <c r="K856" s="35"/>
      <c r="L856" s="35"/>
    </row>
    <row r="857" spans="2:12" x14ac:dyDescent="0.3">
      <c r="B857" s="36"/>
      <c r="H857" s="35"/>
      <c r="K857" s="35"/>
      <c r="L857" s="35"/>
    </row>
    <row r="858" spans="2:12" x14ac:dyDescent="0.3">
      <c r="B858" s="36"/>
      <c r="H858" s="35"/>
      <c r="K858" s="35"/>
      <c r="L858" s="35"/>
    </row>
    <row r="859" spans="2:12" x14ac:dyDescent="0.3">
      <c r="B859" s="36"/>
      <c r="H859" s="35"/>
      <c r="K859" s="35"/>
      <c r="L859" s="35"/>
    </row>
    <row r="860" spans="2:12" x14ac:dyDescent="0.3">
      <c r="B860" s="36"/>
      <c r="H860" s="35"/>
      <c r="K860" s="35"/>
      <c r="L860" s="35"/>
    </row>
    <row r="861" spans="2:12" x14ac:dyDescent="0.3">
      <c r="B861" s="36"/>
      <c r="H861" s="35"/>
      <c r="K861" s="35"/>
      <c r="L861" s="35"/>
    </row>
    <row r="862" spans="2:12" x14ac:dyDescent="0.3">
      <c r="B862" s="36"/>
      <c r="H862" s="35"/>
      <c r="K862" s="35"/>
      <c r="L862" s="35"/>
    </row>
    <row r="863" spans="2:12" x14ac:dyDescent="0.3">
      <c r="B863" s="36"/>
      <c r="H863" s="35"/>
      <c r="K863" s="35"/>
      <c r="L863" s="35"/>
    </row>
    <row r="864" spans="2:12" x14ac:dyDescent="0.3">
      <c r="B864" s="36"/>
      <c r="H864" s="35"/>
      <c r="K864" s="35"/>
      <c r="L864" s="35"/>
    </row>
    <row r="865" spans="2:12" x14ac:dyDescent="0.3">
      <c r="B865" s="36"/>
      <c r="H865" s="35"/>
      <c r="K865" s="35"/>
      <c r="L865" s="35"/>
    </row>
    <row r="866" spans="2:12" x14ac:dyDescent="0.3">
      <c r="B866" s="36"/>
      <c r="H866" s="35"/>
      <c r="K866" s="35"/>
      <c r="L866" s="35"/>
    </row>
    <row r="867" spans="2:12" x14ac:dyDescent="0.3">
      <c r="B867" s="36"/>
      <c r="H867" s="35"/>
      <c r="K867" s="35"/>
      <c r="L867" s="35"/>
    </row>
    <row r="868" spans="2:12" x14ac:dyDescent="0.3">
      <c r="B868" s="36"/>
      <c r="H868" s="35"/>
      <c r="K868" s="35"/>
      <c r="L868" s="35"/>
    </row>
    <row r="869" spans="2:12" x14ac:dyDescent="0.3">
      <c r="B869" s="36"/>
      <c r="H869" s="35"/>
      <c r="K869" s="35"/>
      <c r="L869" s="35"/>
    </row>
    <row r="870" spans="2:12" x14ac:dyDescent="0.3">
      <c r="B870" s="36"/>
      <c r="H870" s="35"/>
      <c r="K870" s="35"/>
      <c r="L870" s="35"/>
    </row>
    <row r="871" spans="2:12" x14ac:dyDescent="0.3">
      <c r="B871" s="36"/>
      <c r="H871" s="35"/>
      <c r="K871" s="35"/>
      <c r="L871" s="35"/>
    </row>
    <row r="872" spans="2:12" x14ac:dyDescent="0.3">
      <c r="B872" s="36"/>
      <c r="H872" s="35"/>
      <c r="K872" s="35"/>
      <c r="L872" s="35"/>
    </row>
    <row r="873" spans="2:12" x14ac:dyDescent="0.3">
      <c r="B873" s="36"/>
      <c r="H873" s="35"/>
      <c r="K873" s="35"/>
      <c r="L873" s="35"/>
    </row>
    <row r="874" spans="2:12" x14ac:dyDescent="0.3">
      <c r="B874" s="36"/>
      <c r="H874" s="35"/>
      <c r="K874" s="35"/>
      <c r="L874" s="35"/>
    </row>
    <row r="875" spans="2:12" x14ac:dyDescent="0.3">
      <c r="B875" s="36"/>
      <c r="H875" s="35"/>
      <c r="K875" s="35"/>
      <c r="L875" s="35"/>
    </row>
    <row r="876" spans="2:12" x14ac:dyDescent="0.3">
      <c r="B876" s="36"/>
      <c r="H876" s="35"/>
      <c r="K876" s="35"/>
      <c r="L876" s="35"/>
    </row>
    <row r="877" spans="2:12" x14ac:dyDescent="0.3">
      <c r="B877" s="36"/>
      <c r="H877" s="35"/>
      <c r="K877" s="35"/>
      <c r="L877" s="35"/>
    </row>
    <row r="878" spans="2:12" x14ac:dyDescent="0.3">
      <c r="B878" s="36"/>
      <c r="H878" s="35"/>
      <c r="K878" s="35"/>
      <c r="L878" s="35"/>
    </row>
    <row r="879" spans="2:12" x14ac:dyDescent="0.3">
      <c r="B879" s="36"/>
      <c r="H879" s="35"/>
      <c r="K879" s="35"/>
      <c r="L879" s="35"/>
    </row>
    <row r="880" spans="2:12" x14ac:dyDescent="0.3">
      <c r="B880" s="36"/>
      <c r="H880" s="35"/>
      <c r="K880" s="35"/>
      <c r="L880" s="35"/>
    </row>
    <row r="881" spans="2:12" x14ac:dyDescent="0.3">
      <c r="B881" s="36"/>
      <c r="H881" s="35"/>
      <c r="K881" s="35"/>
      <c r="L881" s="35"/>
    </row>
    <row r="882" spans="2:12" x14ac:dyDescent="0.3">
      <c r="B882" s="36"/>
      <c r="H882" s="35"/>
      <c r="K882" s="35"/>
      <c r="L882" s="35"/>
    </row>
    <row r="883" spans="2:12" x14ac:dyDescent="0.3">
      <c r="B883" s="36"/>
      <c r="H883" s="35"/>
      <c r="K883" s="35"/>
      <c r="L883" s="35"/>
    </row>
    <row r="884" spans="2:12" x14ac:dyDescent="0.3">
      <c r="B884" s="36"/>
      <c r="H884" s="35"/>
      <c r="K884" s="35"/>
      <c r="L884" s="35"/>
    </row>
    <row r="885" spans="2:12" x14ac:dyDescent="0.3">
      <c r="B885" s="36"/>
      <c r="H885" s="35"/>
      <c r="K885" s="35"/>
      <c r="L885" s="35"/>
    </row>
    <row r="886" spans="2:12" x14ac:dyDescent="0.3">
      <c r="B886" s="36"/>
      <c r="H886" s="35"/>
      <c r="K886" s="35"/>
      <c r="L886" s="35"/>
    </row>
    <row r="887" spans="2:12" x14ac:dyDescent="0.3">
      <c r="B887" s="36"/>
      <c r="H887" s="35"/>
      <c r="K887" s="35"/>
      <c r="L887" s="35"/>
    </row>
    <row r="888" spans="2:12" x14ac:dyDescent="0.3">
      <c r="B888" s="36"/>
      <c r="H888" s="35"/>
      <c r="K888" s="35"/>
      <c r="L888" s="35"/>
    </row>
    <row r="889" spans="2:12" x14ac:dyDescent="0.3">
      <c r="B889" s="36"/>
      <c r="H889" s="35"/>
      <c r="K889" s="35"/>
      <c r="L889" s="35"/>
    </row>
    <row r="890" spans="2:12" x14ac:dyDescent="0.3">
      <c r="B890" s="36"/>
      <c r="H890" s="35"/>
      <c r="K890" s="35"/>
      <c r="L890" s="35"/>
    </row>
    <row r="891" spans="2:12" x14ac:dyDescent="0.3">
      <c r="B891" s="36"/>
      <c r="H891" s="35"/>
      <c r="K891" s="35"/>
      <c r="L891" s="35"/>
    </row>
    <row r="892" spans="2:12" x14ac:dyDescent="0.3">
      <c r="B892" s="36"/>
      <c r="H892" s="35"/>
      <c r="K892" s="35"/>
      <c r="L892" s="35"/>
    </row>
    <row r="893" spans="2:12" x14ac:dyDescent="0.3">
      <c r="B893" s="36"/>
      <c r="H893" s="35"/>
      <c r="K893" s="35"/>
      <c r="L893" s="35"/>
    </row>
    <row r="894" spans="2:12" x14ac:dyDescent="0.3">
      <c r="B894" s="36"/>
      <c r="H894" s="35"/>
      <c r="K894" s="35"/>
      <c r="L894" s="35"/>
    </row>
    <row r="895" spans="2:12" x14ac:dyDescent="0.3">
      <c r="B895" s="36"/>
      <c r="H895" s="35"/>
      <c r="K895" s="35"/>
      <c r="L895" s="35"/>
    </row>
    <row r="896" spans="2:12" x14ac:dyDescent="0.3">
      <c r="B896" s="36"/>
      <c r="H896" s="35"/>
      <c r="K896" s="35"/>
      <c r="L896" s="35"/>
    </row>
    <row r="897" spans="2:12" x14ac:dyDescent="0.3">
      <c r="B897" s="36"/>
      <c r="H897" s="35"/>
      <c r="K897" s="35"/>
      <c r="L897" s="35"/>
    </row>
    <row r="898" spans="2:12" x14ac:dyDescent="0.3">
      <c r="B898" s="36"/>
      <c r="H898" s="35"/>
      <c r="K898" s="35"/>
      <c r="L898" s="35"/>
    </row>
    <row r="899" spans="2:12" x14ac:dyDescent="0.3">
      <c r="B899" s="36"/>
      <c r="H899" s="35"/>
      <c r="K899" s="35"/>
      <c r="L899" s="35"/>
    </row>
    <row r="900" spans="2:12" x14ac:dyDescent="0.3">
      <c r="B900" s="36"/>
      <c r="H900" s="35"/>
      <c r="K900" s="35"/>
      <c r="L900" s="35"/>
    </row>
    <row r="901" spans="2:12" x14ac:dyDescent="0.3">
      <c r="B901" s="36"/>
      <c r="H901" s="35"/>
      <c r="K901" s="35"/>
      <c r="L901" s="35"/>
    </row>
    <row r="902" spans="2:12" x14ac:dyDescent="0.3">
      <c r="B902" s="36"/>
      <c r="H902" s="35"/>
      <c r="K902" s="35"/>
      <c r="L902" s="35"/>
    </row>
    <row r="903" spans="2:12" x14ac:dyDescent="0.3">
      <c r="B903" s="36"/>
      <c r="H903" s="35"/>
      <c r="K903" s="35"/>
      <c r="L903" s="35"/>
    </row>
    <row r="904" spans="2:12" x14ac:dyDescent="0.3">
      <c r="B904" s="36"/>
      <c r="H904" s="35"/>
      <c r="K904" s="35"/>
      <c r="L904" s="35"/>
    </row>
    <row r="905" spans="2:12" x14ac:dyDescent="0.3">
      <c r="B905" s="36"/>
      <c r="H905" s="35"/>
      <c r="K905" s="35"/>
      <c r="L905" s="35"/>
    </row>
    <row r="906" spans="2:12" x14ac:dyDescent="0.3">
      <c r="B906" s="36"/>
      <c r="H906" s="35"/>
      <c r="K906" s="35"/>
      <c r="L906" s="35"/>
    </row>
    <row r="907" spans="2:12" x14ac:dyDescent="0.3">
      <c r="B907" s="36"/>
      <c r="H907" s="35"/>
      <c r="K907" s="35"/>
      <c r="L907" s="35"/>
    </row>
    <row r="908" spans="2:12" x14ac:dyDescent="0.3">
      <c r="B908" s="36"/>
      <c r="H908" s="35"/>
      <c r="K908" s="35"/>
      <c r="L908" s="35"/>
    </row>
    <row r="909" spans="2:12" x14ac:dyDescent="0.3">
      <c r="B909" s="36"/>
      <c r="H909" s="35"/>
      <c r="K909" s="35"/>
      <c r="L909" s="35"/>
    </row>
    <row r="910" spans="2:12" x14ac:dyDescent="0.3">
      <c r="B910" s="36"/>
      <c r="H910" s="35"/>
      <c r="K910" s="35"/>
      <c r="L910" s="35"/>
    </row>
    <row r="911" spans="2:12" x14ac:dyDescent="0.3">
      <c r="B911" s="36"/>
      <c r="H911" s="35"/>
      <c r="K911" s="35"/>
      <c r="L911" s="35"/>
    </row>
    <row r="912" spans="2:12" x14ac:dyDescent="0.3">
      <c r="B912" s="36"/>
      <c r="H912" s="35"/>
      <c r="K912" s="35"/>
      <c r="L912" s="35"/>
    </row>
    <row r="913" spans="2:12" x14ac:dyDescent="0.3">
      <c r="B913" s="36"/>
      <c r="H913" s="35"/>
      <c r="K913" s="35"/>
      <c r="L913" s="35"/>
    </row>
    <row r="914" spans="2:12" x14ac:dyDescent="0.3">
      <c r="B914" s="36"/>
      <c r="H914" s="35"/>
      <c r="K914" s="35"/>
      <c r="L914" s="35"/>
    </row>
    <row r="915" spans="2:12" x14ac:dyDescent="0.3">
      <c r="B915" s="36"/>
      <c r="H915" s="35"/>
      <c r="K915" s="35"/>
      <c r="L915" s="35"/>
    </row>
    <row r="916" spans="2:12" x14ac:dyDescent="0.3">
      <c r="B916" s="36"/>
      <c r="H916" s="35"/>
      <c r="K916" s="35"/>
      <c r="L916" s="35"/>
    </row>
    <row r="917" spans="2:12" x14ac:dyDescent="0.3">
      <c r="B917" s="36"/>
      <c r="H917" s="35"/>
      <c r="K917" s="35"/>
      <c r="L917" s="35"/>
    </row>
    <row r="918" spans="2:12" x14ac:dyDescent="0.3">
      <c r="B918" s="36"/>
      <c r="H918" s="35"/>
      <c r="K918" s="35"/>
      <c r="L918" s="35"/>
    </row>
    <row r="919" spans="2:12" x14ac:dyDescent="0.3">
      <c r="B919" s="36"/>
      <c r="H919" s="35"/>
      <c r="K919" s="35"/>
      <c r="L919" s="35"/>
    </row>
    <row r="920" spans="2:12" x14ac:dyDescent="0.3">
      <c r="B920" s="36"/>
      <c r="H920" s="35"/>
      <c r="K920" s="35"/>
      <c r="L920" s="35"/>
    </row>
    <row r="921" spans="2:12" x14ac:dyDescent="0.3">
      <c r="B921" s="36"/>
      <c r="H921" s="35"/>
      <c r="K921" s="35"/>
      <c r="L921" s="35"/>
    </row>
    <row r="922" spans="2:12" x14ac:dyDescent="0.3">
      <c r="B922" s="36"/>
      <c r="H922" s="35"/>
      <c r="K922" s="35"/>
      <c r="L922" s="35"/>
    </row>
    <row r="923" spans="2:12" x14ac:dyDescent="0.3">
      <c r="B923" s="36"/>
      <c r="H923" s="35"/>
      <c r="K923" s="35"/>
      <c r="L923" s="35"/>
    </row>
    <row r="924" spans="2:12" x14ac:dyDescent="0.3">
      <c r="B924" s="36"/>
      <c r="H924" s="35"/>
      <c r="K924" s="35"/>
      <c r="L924" s="35"/>
    </row>
    <row r="925" spans="2:12" x14ac:dyDescent="0.3">
      <c r="B925" s="36"/>
      <c r="H925" s="35"/>
      <c r="K925" s="35"/>
      <c r="L925" s="35"/>
    </row>
    <row r="926" spans="2:12" x14ac:dyDescent="0.3">
      <c r="B926" s="36"/>
      <c r="H926" s="35"/>
      <c r="K926" s="35"/>
      <c r="L926" s="35"/>
    </row>
    <row r="927" spans="2:12" x14ac:dyDescent="0.3">
      <c r="B927" s="36"/>
      <c r="H927" s="35"/>
      <c r="K927" s="35"/>
      <c r="L927" s="35"/>
    </row>
    <row r="928" spans="2:12" x14ac:dyDescent="0.3">
      <c r="B928" s="36"/>
      <c r="H928" s="35"/>
      <c r="K928" s="35"/>
      <c r="L928" s="35"/>
    </row>
    <row r="929" spans="2:12" x14ac:dyDescent="0.3">
      <c r="B929" s="36"/>
      <c r="H929" s="35"/>
      <c r="K929" s="35"/>
      <c r="L929" s="35"/>
    </row>
    <row r="930" spans="2:12" x14ac:dyDescent="0.3">
      <c r="B930" s="36"/>
      <c r="H930" s="35"/>
      <c r="K930" s="35"/>
      <c r="L930" s="35"/>
    </row>
    <row r="931" spans="2:12" x14ac:dyDescent="0.3">
      <c r="B931" s="36"/>
      <c r="H931" s="35"/>
      <c r="K931" s="35"/>
      <c r="L931" s="35"/>
    </row>
    <row r="932" spans="2:12" x14ac:dyDescent="0.3">
      <c r="B932" s="36"/>
      <c r="H932" s="35"/>
      <c r="K932" s="35"/>
      <c r="L932" s="35"/>
    </row>
    <row r="933" spans="2:12" x14ac:dyDescent="0.3">
      <c r="B933" s="36"/>
      <c r="H933" s="35"/>
      <c r="K933" s="35"/>
      <c r="L933" s="35"/>
    </row>
    <row r="934" spans="2:12" x14ac:dyDescent="0.3">
      <c r="B934" s="36"/>
      <c r="H934" s="35"/>
      <c r="K934" s="35"/>
      <c r="L934" s="35"/>
    </row>
    <row r="935" spans="2:12" x14ac:dyDescent="0.3">
      <c r="B935" s="36"/>
      <c r="H935" s="35"/>
      <c r="K935" s="35"/>
      <c r="L935" s="35"/>
    </row>
    <row r="936" spans="2:12" x14ac:dyDescent="0.3">
      <c r="B936" s="36"/>
      <c r="H936" s="35"/>
      <c r="K936" s="35"/>
      <c r="L936" s="35"/>
    </row>
    <row r="937" spans="2:12" x14ac:dyDescent="0.3">
      <c r="B937" s="36"/>
      <c r="H937" s="35"/>
      <c r="K937" s="35"/>
      <c r="L937" s="35"/>
    </row>
    <row r="938" spans="2:12" x14ac:dyDescent="0.3">
      <c r="B938" s="36"/>
      <c r="H938" s="35"/>
      <c r="K938" s="35"/>
      <c r="L938" s="35"/>
    </row>
    <row r="939" spans="2:12" x14ac:dyDescent="0.3">
      <c r="B939" s="36"/>
      <c r="H939" s="35"/>
      <c r="K939" s="35"/>
      <c r="L939" s="35"/>
    </row>
    <row r="940" spans="2:12" x14ac:dyDescent="0.3">
      <c r="B940" s="36"/>
      <c r="H940" s="35"/>
      <c r="K940" s="35"/>
      <c r="L940" s="35"/>
    </row>
    <row r="941" spans="2:12" x14ac:dyDescent="0.3">
      <c r="B941" s="36"/>
      <c r="H941" s="35"/>
      <c r="K941" s="35"/>
      <c r="L941" s="35"/>
    </row>
    <row r="942" spans="2:12" x14ac:dyDescent="0.3">
      <c r="B942" s="36"/>
      <c r="H942" s="35"/>
      <c r="K942" s="35"/>
      <c r="L942" s="35"/>
    </row>
    <row r="943" spans="2:12" x14ac:dyDescent="0.3">
      <c r="B943" s="36"/>
      <c r="H943" s="35"/>
      <c r="K943" s="35"/>
      <c r="L943" s="35"/>
    </row>
    <row r="944" spans="2:12" x14ac:dyDescent="0.3">
      <c r="B944" s="36"/>
      <c r="H944" s="35"/>
      <c r="K944" s="35"/>
      <c r="L944" s="35"/>
    </row>
    <row r="945" spans="2:12" x14ac:dyDescent="0.3">
      <c r="B945" s="36"/>
      <c r="H945" s="35"/>
      <c r="K945" s="35"/>
      <c r="L945" s="35"/>
    </row>
    <row r="946" spans="2:12" x14ac:dyDescent="0.3">
      <c r="B946" s="36"/>
      <c r="H946" s="35"/>
      <c r="K946" s="35"/>
      <c r="L946" s="35"/>
    </row>
    <row r="947" spans="2:12" x14ac:dyDescent="0.3">
      <c r="B947" s="36"/>
      <c r="H947" s="35"/>
      <c r="K947" s="35"/>
      <c r="L947" s="35"/>
    </row>
    <row r="948" spans="2:12" x14ac:dyDescent="0.3">
      <c r="B948" s="36"/>
      <c r="H948" s="35"/>
      <c r="K948" s="35"/>
      <c r="L948" s="35"/>
    </row>
    <row r="949" spans="2:12" x14ac:dyDescent="0.3">
      <c r="B949" s="36"/>
      <c r="H949" s="35"/>
      <c r="K949" s="35"/>
      <c r="L949" s="35"/>
    </row>
    <row r="950" spans="2:12" x14ac:dyDescent="0.3">
      <c r="B950" s="36"/>
      <c r="H950" s="35"/>
      <c r="K950" s="35"/>
      <c r="L950" s="35"/>
    </row>
    <row r="951" spans="2:12" x14ac:dyDescent="0.3">
      <c r="B951" s="36"/>
      <c r="H951" s="35"/>
      <c r="K951" s="35"/>
      <c r="L951" s="35"/>
    </row>
    <row r="952" spans="2:12" x14ac:dyDescent="0.3">
      <c r="B952" s="36"/>
      <c r="H952" s="35"/>
      <c r="K952" s="35"/>
      <c r="L952" s="35"/>
    </row>
    <row r="953" spans="2:12" x14ac:dyDescent="0.3">
      <c r="B953" s="36"/>
      <c r="H953" s="35"/>
      <c r="K953" s="35"/>
      <c r="L953" s="35"/>
    </row>
    <row r="954" spans="2:12" x14ac:dyDescent="0.3">
      <c r="B954" s="36"/>
      <c r="H954" s="35"/>
      <c r="K954" s="35"/>
      <c r="L954" s="35"/>
    </row>
    <row r="955" spans="2:12" x14ac:dyDescent="0.3">
      <c r="B955" s="36"/>
      <c r="H955" s="35"/>
      <c r="K955" s="35"/>
      <c r="L955" s="35"/>
    </row>
    <row r="956" spans="2:12" x14ac:dyDescent="0.3">
      <c r="B956" s="36"/>
      <c r="H956" s="35"/>
      <c r="K956" s="35"/>
      <c r="L956" s="35"/>
    </row>
    <row r="957" spans="2:12" x14ac:dyDescent="0.3">
      <c r="B957" s="36"/>
      <c r="H957" s="35"/>
      <c r="K957" s="35"/>
      <c r="L957" s="35"/>
    </row>
    <row r="958" spans="2:12" x14ac:dyDescent="0.3">
      <c r="B958" s="36"/>
      <c r="H958" s="35"/>
      <c r="K958" s="35"/>
      <c r="L958" s="35"/>
    </row>
    <row r="959" spans="2:12" x14ac:dyDescent="0.3">
      <c r="B959" s="36"/>
      <c r="H959" s="35"/>
      <c r="K959" s="35"/>
      <c r="L959" s="35"/>
    </row>
    <row r="960" spans="2:12" x14ac:dyDescent="0.3">
      <c r="B960" s="36"/>
      <c r="H960" s="35"/>
      <c r="K960" s="35"/>
      <c r="L960" s="35"/>
    </row>
    <row r="961" spans="2:12" x14ac:dyDescent="0.3">
      <c r="B961" s="36"/>
      <c r="H961" s="35"/>
      <c r="K961" s="35"/>
      <c r="L961" s="35"/>
    </row>
    <row r="962" spans="2:12" x14ac:dyDescent="0.3">
      <c r="B962" s="36"/>
      <c r="H962" s="35"/>
      <c r="K962" s="35"/>
      <c r="L962" s="35"/>
    </row>
    <row r="963" spans="2:12" x14ac:dyDescent="0.3">
      <c r="B963" s="36"/>
      <c r="H963" s="35"/>
      <c r="K963" s="35"/>
      <c r="L963" s="35"/>
    </row>
    <row r="964" spans="2:12" x14ac:dyDescent="0.3">
      <c r="B964" s="36"/>
      <c r="H964" s="35"/>
      <c r="K964" s="35"/>
      <c r="L964" s="35"/>
    </row>
    <row r="965" spans="2:12" x14ac:dyDescent="0.3">
      <c r="B965" s="36"/>
      <c r="H965" s="35"/>
      <c r="K965" s="35"/>
      <c r="L965" s="35"/>
    </row>
    <row r="966" spans="2:12" x14ac:dyDescent="0.3">
      <c r="B966" s="36"/>
      <c r="H966" s="35"/>
      <c r="K966" s="35"/>
      <c r="L966" s="35"/>
    </row>
    <row r="967" spans="2:12" x14ac:dyDescent="0.3">
      <c r="B967" s="36"/>
      <c r="H967" s="35"/>
      <c r="K967" s="35"/>
      <c r="L967" s="35"/>
    </row>
    <row r="968" spans="2:12" x14ac:dyDescent="0.3">
      <c r="B968" s="36"/>
      <c r="H968" s="35"/>
      <c r="K968" s="35"/>
      <c r="L968" s="35"/>
    </row>
    <row r="969" spans="2:12" x14ac:dyDescent="0.3">
      <c r="B969" s="36"/>
      <c r="H969" s="35"/>
      <c r="K969" s="35"/>
      <c r="L969" s="35"/>
    </row>
    <row r="970" spans="2:12" x14ac:dyDescent="0.3">
      <c r="B970" s="36"/>
      <c r="H970" s="35"/>
      <c r="K970" s="35"/>
      <c r="L970" s="35"/>
    </row>
    <row r="971" spans="2:12" x14ac:dyDescent="0.3">
      <c r="B971" s="36"/>
      <c r="H971" s="35"/>
      <c r="K971" s="35"/>
      <c r="L971" s="35"/>
    </row>
    <row r="972" spans="2:12" x14ac:dyDescent="0.3">
      <c r="B972" s="36"/>
      <c r="H972" s="35"/>
      <c r="K972" s="35"/>
      <c r="L972" s="35"/>
    </row>
    <row r="973" spans="2:12" x14ac:dyDescent="0.3">
      <c r="B973" s="36"/>
      <c r="H973" s="35"/>
      <c r="K973" s="35"/>
      <c r="L973" s="35"/>
    </row>
    <row r="974" spans="2:12" x14ac:dyDescent="0.3">
      <c r="B974" s="36"/>
      <c r="H974" s="35"/>
      <c r="K974" s="35"/>
      <c r="L974" s="35"/>
    </row>
    <row r="975" spans="2:12" x14ac:dyDescent="0.3">
      <c r="B975" s="36"/>
      <c r="H975" s="35"/>
      <c r="K975" s="35"/>
      <c r="L975" s="35"/>
    </row>
    <row r="976" spans="2:12" x14ac:dyDescent="0.3">
      <c r="B976" s="36"/>
      <c r="H976" s="35"/>
      <c r="K976" s="35"/>
      <c r="L976" s="35"/>
    </row>
    <row r="977" spans="2:12" x14ac:dyDescent="0.3">
      <c r="B977" s="36"/>
      <c r="H977" s="35"/>
      <c r="K977" s="35"/>
      <c r="L977" s="35"/>
    </row>
    <row r="978" spans="2:12" x14ac:dyDescent="0.3">
      <c r="B978" s="36"/>
      <c r="H978" s="35"/>
      <c r="K978" s="35"/>
      <c r="L978" s="35"/>
    </row>
    <row r="979" spans="2:12" x14ac:dyDescent="0.3">
      <c r="B979" s="36"/>
      <c r="H979" s="35"/>
      <c r="K979" s="35"/>
      <c r="L979" s="35"/>
    </row>
    <row r="980" spans="2:12" x14ac:dyDescent="0.3">
      <c r="B980" s="36"/>
      <c r="H980" s="35"/>
      <c r="K980" s="35"/>
      <c r="L980" s="35"/>
    </row>
    <row r="981" spans="2:12" x14ac:dyDescent="0.3">
      <c r="B981" s="36"/>
      <c r="H981" s="35"/>
      <c r="K981" s="35"/>
      <c r="L981" s="35"/>
    </row>
    <row r="982" spans="2:12" x14ac:dyDescent="0.3">
      <c r="B982" s="36"/>
      <c r="H982" s="35"/>
      <c r="K982" s="35"/>
      <c r="L982" s="35"/>
    </row>
    <row r="983" spans="2:12" x14ac:dyDescent="0.3">
      <c r="B983" s="36"/>
      <c r="H983" s="35"/>
      <c r="K983" s="35"/>
      <c r="L983" s="35"/>
    </row>
    <row r="984" spans="2:12" x14ac:dyDescent="0.3">
      <c r="B984" s="36"/>
      <c r="H984" s="35"/>
      <c r="K984" s="35"/>
      <c r="L984" s="35"/>
    </row>
    <row r="985" spans="2:12" x14ac:dyDescent="0.3">
      <c r="B985" s="36"/>
      <c r="H985" s="35"/>
      <c r="K985" s="35"/>
      <c r="L985" s="35"/>
    </row>
    <row r="986" spans="2:12" x14ac:dyDescent="0.3">
      <c r="B986" s="36"/>
      <c r="H986" s="35"/>
      <c r="K986" s="35"/>
      <c r="L986" s="35"/>
    </row>
    <row r="987" spans="2:12" x14ac:dyDescent="0.3">
      <c r="B987" s="36"/>
      <c r="H987" s="35"/>
      <c r="K987" s="35"/>
      <c r="L987" s="35"/>
    </row>
    <row r="988" spans="2:12" x14ac:dyDescent="0.3">
      <c r="B988" s="36"/>
      <c r="H988" s="35"/>
      <c r="K988" s="35"/>
      <c r="L988" s="35"/>
    </row>
    <row r="989" spans="2:12" x14ac:dyDescent="0.3">
      <c r="B989" s="36"/>
      <c r="H989" s="35"/>
      <c r="K989" s="35"/>
      <c r="L989" s="35"/>
    </row>
    <row r="990" spans="2:12" x14ac:dyDescent="0.3">
      <c r="B990" s="36"/>
      <c r="H990" s="35"/>
      <c r="K990" s="35"/>
      <c r="L990" s="35"/>
    </row>
    <row r="991" spans="2:12" x14ac:dyDescent="0.3">
      <c r="B991" s="36"/>
      <c r="H991" s="35"/>
      <c r="K991" s="35"/>
      <c r="L991" s="35"/>
    </row>
    <row r="992" spans="2:12" x14ac:dyDescent="0.3">
      <c r="B992" s="36"/>
      <c r="H992" s="35"/>
      <c r="K992" s="35"/>
      <c r="L992" s="35"/>
    </row>
    <row r="993" spans="2:12" x14ac:dyDescent="0.3">
      <c r="B993" s="36"/>
      <c r="H993" s="35"/>
      <c r="K993" s="35"/>
      <c r="L993" s="35"/>
    </row>
    <row r="994" spans="2:12" x14ac:dyDescent="0.3">
      <c r="B994" s="36"/>
      <c r="H994" s="35"/>
      <c r="K994" s="35"/>
      <c r="L994" s="35"/>
    </row>
    <row r="995" spans="2:12" x14ac:dyDescent="0.3">
      <c r="B995" s="36"/>
      <c r="H995" s="35"/>
      <c r="K995" s="35"/>
      <c r="L995" s="35"/>
    </row>
    <row r="996" spans="2:12" x14ac:dyDescent="0.3">
      <c r="B996" s="36"/>
      <c r="H996" s="35"/>
      <c r="K996" s="35"/>
      <c r="L996" s="35"/>
    </row>
    <row r="997" spans="2:12" x14ac:dyDescent="0.3">
      <c r="B997" s="36"/>
      <c r="H997" s="35"/>
      <c r="K997" s="35"/>
      <c r="L997" s="35"/>
    </row>
    <row r="998" spans="2:12" x14ac:dyDescent="0.3">
      <c r="B998" s="36"/>
      <c r="H998" s="35"/>
      <c r="K998" s="35"/>
      <c r="L998" s="35"/>
    </row>
    <row r="999" spans="2:12" x14ac:dyDescent="0.3">
      <c r="B999" s="36"/>
      <c r="H999" s="35"/>
      <c r="K999" s="35"/>
      <c r="L999" s="35"/>
    </row>
    <row r="1000" spans="2:12" x14ac:dyDescent="0.3">
      <c r="B1000" s="36"/>
      <c r="H1000" s="35"/>
      <c r="K1000" s="35"/>
      <c r="L1000" s="35"/>
    </row>
  </sheetData>
  <conditionalFormatting sqref="A2:L500">
    <cfRule type="cellIs" dxfId="2" priority="1" stopIfTrue="1" operator="equal">
      <formula>$J2="ANULADA"</formula>
    </cfRule>
    <cfRule type="cellIs" dxfId="1" priority="2" stopIfTrue="1" operator="equal">
      <formula>$J2="PAGADA"</formula>
    </cfRule>
  </conditionalFormatting>
  <dataValidations count="1">
    <dataValidation type="list" allowBlank="1" showInputMessage="1" showErrorMessage="1" sqref="J2:J1000" xr:uid="{33CE9ECC-6285-45AB-AF14-8ACB76EFBD0C}">
      <formula1>"ACTIVO,PAGADA,ANULADA"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A0052-A7A8-4C5C-9212-F377782BB05F}">
  <sheetPr codeName="Hoja9"/>
  <dimension ref="A1:L1000"/>
  <sheetViews>
    <sheetView workbookViewId="0"/>
  </sheetViews>
  <sheetFormatPr baseColWidth="10" defaultRowHeight="14.4" x14ac:dyDescent="0.3"/>
  <cols>
    <col min="1" max="1" width="10.77734375" customWidth="1"/>
    <col min="2" max="3" width="14.77734375" customWidth="1"/>
    <col min="4" max="4" width="25.77734375" customWidth="1"/>
    <col min="5" max="5" width="40.77734375" customWidth="1"/>
    <col min="6" max="6" width="15.77734375" customWidth="1"/>
    <col min="7" max="7" width="40.77734375" customWidth="1"/>
    <col min="8" max="8" width="18.77734375" customWidth="1"/>
    <col min="9" max="9" width="30.77734375" customWidth="1"/>
    <col min="10" max="11" width="18.77734375" customWidth="1"/>
    <col min="12" max="12" width="14.77734375" customWidth="1"/>
  </cols>
  <sheetData>
    <row r="1" spans="1:12" ht="28.8" x14ac:dyDescent="0.3">
      <c r="A1" s="39" t="s">
        <v>406</v>
      </c>
      <c r="B1" s="39" t="s">
        <v>386</v>
      </c>
      <c r="C1" s="39" t="s">
        <v>402</v>
      </c>
      <c r="D1" s="39" t="s">
        <v>387</v>
      </c>
      <c r="E1" s="39" t="s">
        <v>388</v>
      </c>
      <c r="F1" s="39" t="s">
        <v>397</v>
      </c>
      <c r="G1" s="39" t="s">
        <v>398</v>
      </c>
      <c r="H1" s="39" t="s">
        <v>390</v>
      </c>
      <c r="I1" s="39" t="s">
        <v>407</v>
      </c>
      <c r="J1" s="39" t="s">
        <v>408</v>
      </c>
      <c r="K1" s="39" t="s">
        <v>409</v>
      </c>
      <c r="L1" s="39" t="s">
        <v>392</v>
      </c>
    </row>
    <row r="2" spans="1:12" x14ac:dyDescent="0.3">
      <c r="A2">
        <v>1</v>
      </c>
      <c r="B2" s="36">
        <v>46067</v>
      </c>
      <c r="C2">
        <v>1</v>
      </c>
      <c r="D2" t="str">
        <f>IF(C2="","",IFERROR(VLOOKUP(C2,OBLIGACION!A:D,4,0),""))</f>
        <v>2.1.2.02.02.006.04</v>
      </c>
      <c r="E2" t="str">
        <f>IF(C2="","",IFERROR(VLOOKUP(C2,OBLIGACION!A:E,5,0),""))</f>
        <v xml:space="preserve">Servicio de energia electrica </v>
      </c>
      <c r="F2">
        <f>IF(C2="","",IFERROR(VLOOKUP(C2,OBLIGACION!A:F,6,0),""))</f>
        <v>27472769</v>
      </c>
      <c r="G2" t="str">
        <f>IF(C2="","",IFERROR(VLOOKUP(C2,OBLIGACION!A:G,7,0),""))</f>
        <v>MARTHA CECILIA RIOBAMBA ARCINIEGAS</v>
      </c>
      <c r="H2" s="35">
        <v>400000</v>
      </c>
      <c r="I2" t="s">
        <v>449</v>
      </c>
      <c r="J2" t="s">
        <v>457</v>
      </c>
      <c r="K2">
        <v>1</v>
      </c>
      <c r="L2" t="s">
        <v>458</v>
      </c>
    </row>
    <row r="3" spans="1:12" x14ac:dyDescent="0.3">
      <c r="B3" s="36"/>
      <c r="D3" t="str">
        <f>IF(C3="","",IFERROR(VLOOKUP(C3,OBLIGACION!A:D,4,0),""))</f>
        <v/>
      </c>
      <c r="E3" t="str">
        <f>IF(C3="","",IFERROR(VLOOKUP(C3,OBLIGACION!A:E,5,0),""))</f>
        <v/>
      </c>
      <c r="F3" t="str">
        <f>IF(C3="","",IFERROR(VLOOKUP(C3,OBLIGACION!A:F,6,0),""))</f>
        <v/>
      </c>
      <c r="G3" t="str">
        <f>IF(C3="","",IFERROR(VLOOKUP(C3,OBLIGACION!A:G,7,0),""))</f>
        <v/>
      </c>
      <c r="H3" s="35"/>
    </row>
    <row r="4" spans="1:12" x14ac:dyDescent="0.3">
      <c r="B4" s="36"/>
      <c r="D4" t="str">
        <f>IF(C4="","",IFERROR(VLOOKUP(C4,OBLIGACION!A:D,4,0),""))</f>
        <v/>
      </c>
      <c r="E4" t="str">
        <f>IF(C4="","",IFERROR(VLOOKUP(C4,OBLIGACION!A:E,5,0),""))</f>
        <v/>
      </c>
      <c r="F4" t="str">
        <f>IF(C4="","",IFERROR(VLOOKUP(C4,OBLIGACION!A:F,6,0),""))</f>
        <v/>
      </c>
      <c r="G4" t="str">
        <f>IF(C4="","",IFERROR(VLOOKUP(C4,OBLIGACION!A:G,7,0),""))</f>
        <v/>
      </c>
      <c r="H4" s="35"/>
    </row>
    <row r="5" spans="1:12" x14ac:dyDescent="0.3">
      <c r="B5" s="36"/>
      <c r="D5" t="str">
        <f>IF(C5="","",IFERROR(VLOOKUP(C5,OBLIGACION!A:D,4,0),""))</f>
        <v/>
      </c>
      <c r="E5" t="str">
        <f>IF(C5="","",IFERROR(VLOOKUP(C5,OBLIGACION!A:E,5,0),""))</f>
        <v/>
      </c>
      <c r="F5" t="str">
        <f>IF(C5="","",IFERROR(VLOOKUP(C5,OBLIGACION!A:F,6,0),""))</f>
        <v/>
      </c>
      <c r="G5" t="str">
        <f>IF(C5="","",IFERROR(VLOOKUP(C5,OBLIGACION!A:G,7,0),""))</f>
        <v/>
      </c>
      <c r="H5" s="35"/>
    </row>
    <row r="6" spans="1:12" x14ac:dyDescent="0.3">
      <c r="B6" s="36"/>
      <c r="D6" t="str">
        <f>IF(C6="","",IFERROR(VLOOKUP(C6,OBLIGACION!A:D,4,0),""))</f>
        <v/>
      </c>
      <c r="E6" t="str">
        <f>IF(C6="","",IFERROR(VLOOKUP(C6,OBLIGACION!A:E,5,0),""))</f>
        <v/>
      </c>
      <c r="F6" t="str">
        <f>IF(C6="","",IFERROR(VLOOKUP(C6,OBLIGACION!A:F,6,0),""))</f>
        <v/>
      </c>
      <c r="G6" t="str">
        <f>IF(C6="","",IFERROR(VLOOKUP(C6,OBLIGACION!A:G,7,0),""))</f>
        <v/>
      </c>
      <c r="H6" s="35"/>
    </row>
    <row r="7" spans="1:12" x14ac:dyDescent="0.3">
      <c r="B7" s="36"/>
      <c r="D7" t="str">
        <f>IF(C7="","",IFERROR(VLOOKUP(C7,OBLIGACION!A:D,4,0),""))</f>
        <v/>
      </c>
      <c r="E7" t="str">
        <f>IF(C7="","",IFERROR(VLOOKUP(C7,OBLIGACION!A:E,5,0),""))</f>
        <v/>
      </c>
      <c r="F7" t="str">
        <f>IF(C7="","",IFERROR(VLOOKUP(C7,OBLIGACION!A:F,6,0),""))</f>
        <v/>
      </c>
      <c r="G7" t="str">
        <f>IF(C7="","",IFERROR(VLOOKUP(C7,OBLIGACION!A:G,7,0),""))</f>
        <v/>
      </c>
      <c r="H7" s="35"/>
    </row>
    <row r="8" spans="1:12" x14ac:dyDescent="0.3">
      <c r="B8" s="36"/>
      <c r="D8" t="str">
        <f>IF(C8="","",IFERROR(VLOOKUP(C8,OBLIGACION!A:D,4,0),""))</f>
        <v/>
      </c>
      <c r="E8" t="str">
        <f>IF(C8="","",IFERROR(VLOOKUP(C8,OBLIGACION!A:E,5,0),""))</f>
        <v/>
      </c>
      <c r="F8" t="str">
        <f>IF(C8="","",IFERROR(VLOOKUP(C8,OBLIGACION!A:F,6,0),""))</f>
        <v/>
      </c>
      <c r="G8" t="str">
        <f>IF(C8="","",IFERROR(VLOOKUP(C8,OBLIGACION!A:G,7,0),""))</f>
        <v/>
      </c>
      <c r="H8" s="35"/>
    </row>
    <row r="9" spans="1:12" x14ac:dyDescent="0.3">
      <c r="B9" s="36"/>
      <c r="D9" t="str">
        <f>IF(C9="","",IFERROR(VLOOKUP(C9,OBLIGACION!A:D,4,0),""))</f>
        <v/>
      </c>
      <c r="E9" t="str">
        <f>IF(C9="","",IFERROR(VLOOKUP(C9,OBLIGACION!A:E,5,0),""))</f>
        <v/>
      </c>
      <c r="F9" t="str">
        <f>IF(C9="","",IFERROR(VLOOKUP(C9,OBLIGACION!A:F,6,0),""))</f>
        <v/>
      </c>
      <c r="G9" t="str">
        <f>IF(C9="","",IFERROR(VLOOKUP(C9,OBLIGACION!A:G,7,0),""))</f>
        <v/>
      </c>
      <c r="H9" s="35"/>
    </row>
    <row r="10" spans="1:12" x14ac:dyDescent="0.3">
      <c r="B10" s="36"/>
      <c r="D10" t="str">
        <f>IF(C10="","",IFERROR(VLOOKUP(C10,OBLIGACION!A:D,4,0),""))</f>
        <v/>
      </c>
      <c r="E10" t="str">
        <f>IF(C10="","",IFERROR(VLOOKUP(C10,OBLIGACION!A:E,5,0),""))</f>
        <v/>
      </c>
      <c r="F10" t="str">
        <f>IF(C10="","",IFERROR(VLOOKUP(C10,OBLIGACION!A:F,6,0),""))</f>
        <v/>
      </c>
      <c r="G10" t="str">
        <f>IF(C10="","",IFERROR(VLOOKUP(C10,OBLIGACION!A:G,7,0),""))</f>
        <v/>
      </c>
      <c r="H10" s="35"/>
    </row>
    <row r="11" spans="1:12" x14ac:dyDescent="0.3">
      <c r="B11" s="36"/>
      <c r="D11" t="str">
        <f>IF(C11="","",IFERROR(VLOOKUP(C11,OBLIGACION!A:D,4,0),""))</f>
        <v/>
      </c>
      <c r="E11" t="str">
        <f>IF(C11="","",IFERROR(VLOOKUP(C11,OBLIGACION!A:E,5,0),""))</f>
        <v/>
      </c>
      <c r="F11" t="str">
        <f>IF(C11="","",IFERROR(VLOOKUP(C11,OBLIGACION!A:F,6,0),""))</f>
        <v/>
      </c>
      <c r="G11" t="str">
        <f>IF(C11="","",IFERROR(VLOOKUP(C11,OBLIGACION!A:G,7,0),""))</f>
        <v/>
      </c>
      <c r="H11" s="35"/>
    </row>
    <row r="12" spans="1:12" x14ac:dyDescent="0.3">
      <c r="B12" s="36"/>
      <c r="D12" t="str">
        <f>IF(C12="","",IFERROR(VLOOKUP(C12,OBLIGACION!A:D,4,0),""))</f>
        <v/>
      </c>
      <c r="E12" t="str">
        <f>IF(C12="","",IFERROR(VLOOKUP(C12,OBLIGACION!A:E,5,0),""))</f>
        <v/>
      </c>
      <c r="F12" t="str">
        <f>IF(C12="","",IFERROR(VLOOKUP(C12,OBLIGACION!A:F,6,0),""))</f>
        <v/>
      </c>
      <c r="G12" t="str">
        <f>IF(C12="","",IFERROR(VLOOKUP(C12,OBLIGACION!A:G,7,0),""))</f>
        <v/>
      </c>
      <c r="H12" s="35"/>
    </row>
    <row r="13" spans="1:12" x14ac:dyDescent="0.3">
      <c r="B13" s="36"/>
      <c r="D13" t="str">
        <f>IF(C13="","",IFERROR(VLOOKUP(C13,OBLIGACION!A:D,4,0),""))</f>
        <v/>
      </c>
      <c r="E13" t="str">
        <f>IF(C13="","",IFERROR(VLOOKUP(C13,OBLIGACION!A:E,5,0),""))</f>
        <v/>
      </c>
      <c r="F13" t="str">
        <f>IF(C13="","",IFERROR(VLOOKUP(C13,OBLIGACION!A:F,6,0),""))</f>
        <v/>
      </c>
      <c r="G13" t="str">
        <f>IF(C13="","",IFERROR(VLOOKUP(C13,OBLIGACION!A:G,7,0),""))</f>
        <v/>
      </c>
      <c r="H13" s="35"/>
    </row>
    <row r="14" spans="1:12" x14ac:dyDescent="0.3">
      <c r="B14" s="36"/>
      <c r="D14" t="str">
        <f>IF(C14="","",IFERROR(VLOOKUP(C14,OBLIGACION!A:D,4,0),""))</f>
        <v/>
      </c>
      <c r="E14" t="str">
        <f>IF(C14="","",IFERROR(VLOOKUP(C14,OBLIGACION!A:E,5,0),""))</f>
        <v/>
      </c>
      <c r="F14" t="str">
        <f>IF(C14="","",IFERROR(VLOOKUP(C14,OBLIGACION!A:F,6,0),""))</f>
        <v/>
      </c>
      <c r="G14" t="str">
        <f>IF(C14="","",IFERROR(VLOOKUP(C14,OBLIGACION!A:G,7,0),""))</f>
        <v/>
      </c>
      <c r="H14" s="35"/>
    </row>
    <row r="15" spans="1:12" x14ac:dyDescent="0.3">
      <c r="B15" s="36"/>
      <c r="D15" t="str">
        <f>IF(C15="","",IFERROR(VLOOKUP(C15,OBLIGACION!A:D,4,0),""))</f>
        <v/>
      </c>
      <c r="E15" t="str">
        <f>IF(C15="","",IFERROR(VLOOKUP(C15,OBLIGACION!A:E,5,0),""))</f>
        <v/>
      </c>
      <c r="F15" t="str">
        <f>IF(C15="","",IFERROR(VLOOKUP(C15,OBLIGACION!A:F,6,0),""))</f>
        <v/>
      </c>
      <c r="G15" t="str">
        <f>IF(C15="","",IFERROR(VLOOKUP(C15,OBLIGACION!A:G,7,0),""))</f>
        <v/>
      </c>
      <c r="H15" s="35"/>
    </row>
    <row r="16" spans="1:12" x14ac:dyDescent="0.3">
      <c r="B16" s="36"/>
      <c r="D16" t="str">
        <f>IF(C16="","",IFERROR(VLOOKUP(C16,OBLIGACION!A:D,4,0),""))</f>
        <v/>
      </c>
      <c r="E16" t="str">
        <f>IF(C16="","",IFERROR(VLOOKUP(C16,OBLIGACION!A:E,5,0),""))</f>
        <v/>
      </c>
      <c r="F16" t="str">
        <f>IF(C16="","",IFERROR(VLOOKUP(C16,OBLIGACION!A:F,6,0),""))</f>
        <v/>
      </c>
      <c r="G16" t="str">
        <f>IF(C16="","",IFERROR(VLOOKUP(C16,OBLIGACION!A:G,7,0),""))</f>
        <v/>
      </c>
      <c r="H16" s="35"/>
    </row>
    <row r="17" spans="2:8" x14ac:dyDescent="0.3">
      <c r="B17" s="36"/>
      <c r="D17" t="str">
        <f>IF(C17="","",IFERROR(VLOOKUP(C17,OBLIGACION!A:D,4,0),""))</f>
        <v/>
      </c>
      <c r="E17" t="str">
        <f>IF(C17="","",IFERROR(VLOOKUP(C17,OBLIGACION!A:E,5,0),""))</f>
        <v/>
      </c>
      <c r="F17" t="str">
        <f>IF(C17="","",IFERROR(VLOOKUP(C17,OBLIGACION!A:F,6,0),""))</f>
        <v/>
      </c>
      <c r="G17" t="str">
        <f>IF(C17="","",IFERROR(VLOOKUP(C17,OBLIGACION!A:G,7,0),""))</f>
        <v/>
      </c>
      <c r="H17" s="35"/>
    </row>
    <row r="18" spans="2:8" x14ac:dyDescent="0.3">
      <c r="B18" s="36"/>
      <c r="D18" t="str">
        <f>IF(C18="","",IFERROR(VLOOKUP(C18,OBLIGACION!A:D,4,0),""))</f>
        <v/>
      </c>
      <c r="E18" t="str">
        <f>IF(C18="","",IFERROR(VLOOKUP(C18,OBLIGACION!A:E,5,0),""))</f>
        <v/>
      </c>
      <c r="F18" t="str">
        <f>IF(C18="","",IFERROR(VLOOKUP(C18,OBLIGACION!A:F,6,0),""))</f>
        <v/>
      </c>
      <c r="G18" t="str">
        <f>IF(C18="","",IFERROR(VLOOKUP(C18,OBLIGACION!A:G,7,0),""))</f>
        <v/>
      </c>
      <c r="H18" s="35"/>
    </row>
    <row r="19" spans="2:8" x14ac:dyDescent="0.3">
      <c r="B19" s="36"/>
      <c r="D19" t="str">
        <f>IF(C19="","",IFERROR(VLOOKUP(C19,OBLIGACION!A:D,4,0),""))</f>
        <v/>
      </c>
      <c r="E19" t="str">
        <f>IF(C19="","",IFERROR(VLOOKUP(C19,OBLIGACION!A:E,5,0),""))</f>
        <v/>
      </c>
      <c r="F19" t="str">
        <f>IF(C19="","",IFERROR(VLOOKUP(C19,OBLIGACION!A:F,6,0),""))</f>
        <v/>
      </c>
      <c r="G19" t="str">
        <f>IF(C19="","",IFERROR(VLOOKUP(C19,OBLIGACION!A:G,7,0),""))</f>
        <v/>
      </c>
      <c r="H19" s="35"/>
    </row>
    <row r="20" spans="2:8" x14ac:dyDescent="0.3">
      <c r="B20" s="36"/>
      <c r="D20" t="str">
        <f>IF(C20="","",IFERROR(VLOOKUP(C20,OBLIGACION!A:D,4,0),""))</f>
        <v/>
      </c>
      <c r="E20" t="str">
        <f>IF(C20="","",IFERROR(VLOOKUP(C20,OBLIGACION!A:E,5,0),""))</f>
        <v/>
      </c>
      <c r="F20" t="str">
        <f>IF(C20="","",IFERROR(VLOOKUP(C20,OBLIGACION!A:F,6,0),""))</f>
        <v/>
      </c>
      <c r="G20" t="str">
        <f>IF(C20="","",IFERROR(VLOOKUP(C20,OBLIGACION!A:G,7,0),""))</f>
        <v/>
      </c>
      <c r="H20" s="35"/>
    </row>
    <row r="21" spans="2:8" x14ac:dyDescent="0.3">
      <c r="B21" s="36"/>
      <c r="D21" t="str">
        <f>IF(C21="","",IFERROR(VLOOKUP(C21,OBLIGACION!A:D,4,0),""))</f>
        <v/>
      </c>
      <c r="E21" t="str">
        <f>IF(C21="","",IFERROR(VLOOKUP(C21,OBLIGACION!A:E,5,0),""))</f>
        <v/>
      </c>
      <c r="F21" t="str">
        <f>IF(C21="","",IFERROR(VLOOKUP(C21,OBLIGACION!A:F,6,0),""))</f>
        <v/>
      </c>
      <c r="G21" t="str">
        <f>IF(C21="","",IFERROR(VLOOKUP(C21,OBLIGACION!A:G,7,0),""))</f>
        <v/>
      </c>
      <c r="H21" s="35"/>
    </row>
    <row r="22" spans="2:8" x14ac:dyDescent="0.3">
      <c r="B22" s="36"/>
      <c r="D22" t="str">
        <f>IF(C22="","",IFERROR(VLOOKUP(C22,OBLIGACION!A:D,4,0),""))</f>
        <v/>
      </c>
      <c r="E22" t="str">
        <f>IF(C22="","",IFERROR(VLOOKUP(C22,OBLIGACION!A:E,5,0),""))</f>
        <v/>
      </c>
      <c r="F22" t="str">
        <f>IF(C22="","",IFERROR(VLOOKUP(C22,OBLIGACION!A:F,6,0),""))</f>
        <v/>
      </c>
      <c r="G22" t="str">
        <f>IF(C22="","",IFERROR(VLOOKUP(C22,OBLIGACION!A:G,7,0),""))</f>
        <v/>
      </c>
      <c r="H22" s="35"/>
    </row>
    <row r="23" spans="2:8" x14ac:dyDescent="0.3">
      <c r="B23" s="36"/>
      <c r="D23" t="str">
        <f>IF(C23="","",IFERROR(VLOOKUP(C23,OBLIGACION!A:D,4,0),""))</f>
        <v/>
      </c>
      <c r="E23" t="str">
        <f>IF(C23="","",IFERROR(VLOOKUP(C23,OBLIGACION!A:E,5,0),""))</f>
        <v/>
      </c>
      <c r="F23" t="str">
        <f>IF(C23="","",IFERROR(VLOOKUP(C23,OBLIGACION!A:F,6,0),""))</f>
        <v/>
      </c>
      <c r="G23" t="str">
        <f>IF(C23="","",IFERROR(VLOOKUP(C23,OBLIGACION!A:G,7,0),""))</f>
        <v/>
      </c>
      <c r="H23" s="35"/>
    </row>
    <row r="24" spans="2:8" x14ac:dyDescent="0.3">
      <c r="B24" s="36"/>
      <c r="D24" t="str">
        <f>IF(C24="","",IFERROR(VLOOKUP(C24,OBLIGACION!A:D,4,0),""))</f>
        <v/>
      </c>
      <c r="E24" t="str">
        <f>IF(C24="","",IFERROR(VLOOKUP(C24,OBLIGACION!A:E,5,0),""))</f>
        <v/>
      </c>
      <c r="F24" t="str">
        <f>IF(C24="","",IFERROR(VLOOKUP(C24,OBLIGACION!A:F,6,0),""))</f>
        <v/>
      </c>
      <c r="G24" t="str">
        <f>IF(C24="","",IFERROR(VLOOKUP(C24,OBLIGACION!A:G,7,0),""))</f>
        <v/>
      </c>
      <c r="H24" s="35"/>
    </row>
    <row r="25" spans="2:8" x14ac:dyDescent="0.3">
      <c r="B25" s="36"/>
      <c r="D25" t="str">
        <f>IF(C25="","",IFERROR(VLOOKUP(C25,OBLIGACION!A:D,4,0),""))</f>
        <v/>
      </c>
      <c r="E25" t="str">
        <f>IF(C25="","",IFERROR(VLOOKUP(C25,OBLIGACION!A:E,5,0),""))</f>
        <v/>
      </c>
      <c r="F25" t="str">
        <f>IF(C25="","",IFERROR(VLOOKUP(C25,OBLIGACION!A:F,6,0),""))</f>
        <v/>
      </c>
      <c r="G25" t="str">
        <f>IF(C25="","",IFERROR(VLOOKUP(C25,OBLIGACION!A:G,7,0),""))</f>
        <v/>
      </c>
      <c r="H25" s="35"/>
    </row>
    <row r="26" spans="2:8" x14ac:dyDescent="0.3">
      <c r="B26" s="36"/>
      <c r="D26" t="str">
        <f>IF(C26="","",IFERROR(VLOOKUP(C26,OBLIGACION!A:D,4,0),""))</f>
        <v/>
      </c>
      <c r="E26" t="str">
        <f>IF(C26="","",IFERROR(VLOOKUP(C26,OBLIGACION!A:E,5,0),""))</f>
        <v/>
      </c>
      <c r="F26" t="str">
        <f>IF(C26="","",IFERROR(VLOOKUP(C26,OBLIGACION!A:F,6,0),""))</f>
        <v/>
      </c>
      <c r="G26" t="str">
        <f>IF(C26="","",IFERROR(VLOOKUP(C26,OBLIGACION!A:G,7,0),""))</f>
        <v/>
      </c>
      <c r="H26" s="35"/>
    </row>
    <row r="27" spans="2:8" x14ac:dyDescent="0.3">
      <c r="B27" s="36"/>
      <c r="D27" t="str">
        <f>IF(C27="","",IFERROR(VLOOKUP(C27,OBLIGACION!A:D,4,0),""))</f>
        <v/>
      </c>
      <c r="E27" t="str">
        <f>IF(C27="","",IFERROR(VLOOKUP(C27,OBLIGACION!A:E,5,0),""))</f>
        <v/>
      </c>
      <c r="F27" t="str">
        <f>IF(C27="","",IFERROR(VLOOKUP(C27,OBLIGACION!A:F,6,0),""))</f>
        <v/>
      </c>
      <c r="G27" t="str">
        <f>IF(C27="","",IFERROR(VLOOKUP(C27,OBLIGACION!A:G,7,0),""))</f>
        <v/>
      </c>
      <c r="H27" s="35"/>
    </row>
    <row r="28" spans="2:8" x14ac:dyDescent="0.3">
      <c r="B28" s="36"/>
      <c r="D28" t="str">
        <f>IF(C28="","",IFERROR(VLOOKUP(C28,OBLIGACION!A:D,4,0),""))</f>
        <v/>
      </c>
      <c r="E28" t="str">
        <f>IF(C28="","",IFERROR(VLOOKUP(C28,OBLIGACION!A:E,5,0),""))</f>
        <v/>
      </c>
      <c r="F28" t="str">
        <f>IF(C28="","",IFERROR(VLOOKUP(C28,OBLIGACION!A:F,6,0),""))</f>
        <v/>
      </c>
      <c r="G28" t="str">
        <f>IF(C28="","",IFERROR(VLOOKUP(C28,OBLIGACION!A:G,7,0),""))</f>
        <v/>
      </c>
      <c r="H28" s="35"/>
    </row>
    <row r="29" spans="2:8" x14ac:dyDescent="0.3">
      <c r="B29" s="36"/>
      <c r="D29" t="str">
        <f>IF(C29="","",IFERROR(VLOOKUP(C29,OBLIGACION!A:D,4,0),""))</f>
        <v/>
      </c>
      <c r="E29" t="str">
        <f>IF(C29="","",IFERROR(VLOOKUP(C29,OBLIGACION!A:E,5,0),""))</f>
        <v/>
      </c>
      <c r="F29" t="str">
        <f>IF(C29="","",IFERROR(VLOOKUP(C29,OBLIGACION!A:F,6,0),""))</f>
        <v/>
      </c>
      <c r="G29" t="str">
        <f>IF(C29="","",IFERROR(VLOOKUP(C29,OBLIGACION!A:G,7,0),""))</f>
        <v/>
      </c>
      <c r="H29" s="35"/>
    </row>
    <row r="30" spans="2:8" x14ac:dyDescent="0.3">
      <c r="B30" s="36"/>
      <c r="D30" t="str">
        <f>IF(C30="","",IFERROR(VLOOKUP(C30,OBLIGACION!A:D,4,0),""))</f>
        <v/>
      </c>
      <c r="E30" t="str">
        <f>IF(C30="","",IFERROR(VLOOKUP(C30,OBLIGACION!A:E,5,0),""))</f>
        <v/>
      </c>
      <c r="F30" t="str">
        <f>IF(C30="","",IFERROR(VLOOKUP(C30,OBLIGACION!A:F,6,0),""))</f>
        <v/>
      </c>
      <c r="G30" t="str">
        <f>IF(C30="","",IFERROR(VLOOKUP(C30,OBLIGACION!A:G,7,0),""))</f>
        <v/>
      </c>
      <c r="H30" s="35"/>
    </row>
    <row r="31" spans="2:8" x14ac:dyDescent="0.3">
      <c r="B31" s="36"/>
      <c r="D31" t="str">
        <f>IF(C31="","",IFERROR(VLOOKUP(C31,OBLIGACION!A:D,4,0),""))</f>
        <v/>
      </c>
      <c r="E31" t="str">
        <f>IF(C31="","",IFERROR(VLOOKUP(C31,OBLIGACION!A:E,5,0),""))</f>
        <v/>
      </c>
      <c r="F31" t="str">
        <f>IF(C31="","",IFERROR(VLOOKUP(C31,OBLIGACION!A:F,6,0),""))</f>
        <v/>
      </c>
      <c r="G31" t="str">
        <f>IF(C31="","",IFERROR(VLOOKUP(C31,OBLIGACION!A:G,7,0),""))</f>
        <v/>
      </c>
      <c r="H31" s="35"/>
    </row>
    <row r="32" spans="2:8" x14ac:dyDescent="0.3">
      <c r="B32" s="36"/>
      <c r="D32" t="str">
        <f>IF(C32="","",IFERROR(VLOOKUP(C32,OBLIGACION!A:D,4,0),""))</f>
        <v/>
      </c>
      <c r="E32" t="str">
        <f>IF(C32="","",IFERROR(VLOOKUP(C32,OBLIGACION!A:E,5,0),""))</f>
        <v/>
      </c>
      <c r="F32" t="str">
        <f>IF(C32="","",IFERROR(VLOOKUP(C32,OBLIGACION!A:F,6,0),""))</f>
        <v/>
      </c>
      <c r="G32" t="str">
        <f>IF(C32="","",IFERROR(VLOOKUP(C32,OBLIGACION!A:G,7,0),""))</f>
        <v/>
      </c>
      <c r="H32" s="35"/>
    </row>
    <row r="33" spans="2:8" x14ac:dyDescent="0.3">
      <c r="B33" s="36"/>
      <c r="D33" t="str">
        <f>IF(C33="","",IFERROR(VLOOKUP(C33,OBLIGACION!A:D,4,0),""))</f>
        <v/>
      </c>
      <c r="E33" t="str">
        <f>IF(C33="","",IFERROR(VLOOKUP(C33,OBLIGACION!A:E,5,0),""))</f>
        <v/>
      </c>
      <c r="F33" t="str">
        <f>IF(C33="","",IFERROR(VLOOKUP(C33,OBLIGACION!A:F,6,0),""))</f>
        <v/>
      </c>
      <c r="G33" t="str">
        <f>IF(C33="","",IFERROR(VLOOKUP(C33,OBLIGACION!A:G,7,0),""))</f>
        <v/>
      </c>
      <c r="H33" s="35"/>
    </row>
    <row r="34" spans="2:8" x14ac:dyDescent="0.3">
      <c r="B34" s="36"/>
      <c r="D34" t="str">
        <f>IF(C34="","",IFERROR(VLOOKUP(C34,OBLIGACION!A:D,4,0),""))</f>
        <v/>
      </c>
      <c r="E34" t="str">
        <f>IF(C34="","",IFERROR(VLOOKUP(C34,OBLIGACION!A:E,5,0),""))</f>
        <v/>
      </c>
      <c r="F34" t="str">
        <f>IF(C34="","",IFERROR(VLOOKUP(C34,OBLIGACION!A:F,6,0),""))</f>
        <v/>
      </c>
      <c r="G34" t="str">
        <f>IF(C34="","",IFERROR(VLOOKUP(C34,OBLIGACION!A:G,7,0),""))</f>
        <v/>
      </c>
      <c r="H34" s="35"/>
    </row>
    <row r="35" spans="2:8" x14ac:dyDescent="0.3">
      <c r="B35" s="36"/>
      <c r="D35" t="str">
        <f>IF(C35="","",IFERROR(VLOOKUP(C35,OBLIGACION!A:D,4,0),""))</f>
        <v/>
      </c>
      <c r="E35" t="str">
        <f>IF(C35="","",IFERROR(VLOOKUP(C35,OBLIGACION!A:E,5,0),""))</f>
        <v/>
      </c>
      <c r="F35" t="str">
        <f>IF(C35="","",IFERROR(VLOOKUP(C35,OBLIGACION!A:F,6,0),""))</f>
        <v/>
      </c>
      <c r="G35" t="str">
        <f>IF(C35="","",IFERROR(VLOOKUP(C35,OBLIGACION!A:G,7,0),""))</f>
        <v/>
      </c>
      <c r="H35" s="35"/>
    </row>
    <row r="36" spans="2:8" x14ac:dyDescent="0.3">
      <c r="B36" s="36"/>
      <c r="D36" t="str">
        <f>IF(C36="","",IFERROR(VLOOKUP(C36,OBLIGACION!A:D,4,0),""))</f>
        <v/>
      </c>
      <c r="E36" t="str">
        <f>IF(C36="","",IFERROR(VLOOKUP(C36,OBLIGACION!A:E,5,0),""))</f>
        <v/>
      </c>
      <c r="F36" t="str">
        <f>IF(C36="","",IFERROR(VLOOKUP(C36,OBLIGACION!A:F,6,0),""))</f>
        <v/>
      </c>
      <c r="G36" t="str">
        <f>IF(C36="","",IFERROR(VLOOKUP(C36,OBLIGACION!A:G,7,0),""))</f>
        <v/>
      </c>
      <c r="H36" s="35"/>
    </row>
    <row r="37" spans="2:8" x14ac:dyDescent="0.3">
      <c r="B37" s="36"/>
      <c r="D37" t="str">
        <f>IF(C37="","",IFERROR(VLOOKUP(C37,OBLIGACION!A:D,4,0),""))</f>
        <v/>
      </c>
      <c r="E37" t="str">
        <f>IF(C37="","",IFERROR(VLOOKUP(C37,OBLIGACION!A:E,5,0),""))</f>
        <v/>
      </c>
      <c r="F37" t="str">
        <f>IF(C37="","",IFERROR(VLOOKUP(C37,OBLIGACION!A:F,6,0),""))</f>
        <v/>
      </c>
      <c r="G37" t="str">
        <f>IF(C37="","",IFERROR(VLOOKUP(C37,OBLIGACION!A:G,7,0),""))</f>
        <v/>
      </c>
      <c r="H37" s="35"/>
    </row>
    <row r="38" spans="2:8" x14ac:dyDescent="0.3">
      <c r="B38" s="36"/>
      <c r="D38" t="str">
        <f>IF(C38="","",IFERROR(VLOOKUP(C38,OBLIGACION!A:D,4,0),""))</f>
        <v/>
      </c>
      <c r="E38" t="str">
        <f>IF(C38="","",IFERROR(VLOOKUP(C38,OBLIGACION!A:E,5,0),""))</f>
        <v/>
      </c>
      <c r="F38" t="str">
        <f>IF(C38="","",IFERROR(VLOOKUP(C38,OBLIGACION!A:F,6,0),""))</f>
        <v/>
      </c>
      <c r="G38" t="str">
        <f>IF(C38="","",IFERROR(VLOOKUP(C38,OBLIGACION!A:G,7,0),""))</f>
        <v/>
      </c>
      <c r="H38" s="35"/>
    </row>
    <row r="39" spans="2:8" x14ac:dyDescent="0.3">
      <c r="B39" s="36"/>
      <c r="D39" t="str">
        <f>IF(C39="","",IFERROR(VLOOKUP(C39,OBLIGACION!A:D,4,0),""))</f>
        <v/>
      </c>
      <c r="E39" t="str">
        <f>IF(C39="","",IFERROR(VLOOKUP(C39,OBLIGACION!A:E,5,0),""))</f>
        <v/>
      </c>
      <c r="F39" t="str">
        <f>IF(C39="","",IFERROR(VLOOKUP(C39,OBLIGACION!A:F,6,0),""))</f>
        <v/>
      </c>
      <c r="G39" t="str">
        <f>IF(C39="","",IFERROR(VLOOKUP(C39,OBLIGACION!A:G,7,0),""))</f>
        <v/>
      </c>
      <c r="H39" s="35"/>
    </row>
    <row r="40" spans="2:8" x14ac:dyDescent="0.3">
      <c r="B40" s="36"/>
      <c r="D40" t="str">
        <f>IF(C40="","",IFERROR(VLOOKUP(C40,OBLIGACION!A:D,4,0),""))</f>
        <v/>
      </c>
      <c r="E40" t="str">
        <f>IF(C40="","",IFERROR(VLOOKUP(C40,OBLIGACION!A:E,5,0),""))</f>
        <v/>
      </c>
      <c r="F40" t="str">
        <f>IF(C40="","",IFERROR(VLOOKUP(C40,OBLIGACION!A:F,6,0),""))</f>
        <v/>
      </c>
      <c r="G40" t="str">
        <f>IF(C40="","",IFERROR(VLOOKUP(C40,OBLIGACION!A:G,7,0),""))</f>
        <v/>
      </c>
      <c r="H40" s="35"/>
    </row>
    <row r="41" spans="2:8" x14ac:dyDescent="0.3">
      <c r="B41" s="36"/>
      <c r="D41" t="str">
        <f>IF(C41="","",IFERROR(VLOOKUP(C41,OBLIGACION!A:D,4,0),""))</f>
        <v/>
      </c>
      <c r="E41" t="str">
        <f>IF(C41="","",IFERROR(VLOOKUP(C41,OBLIGACION!A:E,5,0),""))</f>
        <v/>
      </c>
      <c r="F41" t="str">
        <f>IF(C41="","",IFERROR(VLOOKUP(C41,OBLIGACION!A:F,6,0),""))</f>
        <v/>
      </c>
      <c r="G41" t="str">
        <f>IF(C41="","",IFERROR(VLOOKUP(C41,OBLIGACION!A:G,7,0),""))</f>
        <v/>
      </c>
      <c r="H41" s="35"/>
    </row>
    <row r="42" spans="2:8" x14ac:dyDescent="0.3">
      <c r="B42" s="36"/>
      <c r="D42" t="str">
        <f>IF(C42="","",IFERROR(VLOOKUP(C42,OBLIGACION!A:D,4,0),""))</f>
        <v/>
      </c>
      <c r="E42" t="str">
        <f>IF(C42="","",IFERROR(VLOOKUP(C42,OBLIGACION!A:E,5,0),""))</f>
        <v/>
      </c>
      <c r="F42" t="str">
        <f>IF(C42="","",IFERROR(VLOOKUP(C42,OBLIGACION!A:F,6,0),""))</f>
        <v/>
      </c>
      <c r="G42" t="str">
        <f>IF(C42="","",IFERROR(VLOOKUP(C42,OBLIGACION!A:G,7,0),""))</f>
        <v/>
      </c>
      <c r="H42" s="35"/>
    </row>
    <row r="43" spans="2:8" x14ac:dyDescent="0.3">
      <c r="B43" s="36"/>
      <c r="D43" t="str">
        <f>IF(C43="","",IFERROR(VLOOKUP(C43,OBLIGACION!A:D,4,0),""))</f>
        <v/>
      </c>
      <c r="E43" t="str">
        <f>IF(C43="","",IFERROR(VLOOKUP(C43,OBLIGACION!A:E,5,0),""))</f>
        <v/>
      </c>
      <c r="F43" t="str">
        <f>IF(C43="","",IFERROR(VLOOKUP(C43,OBLIGACION!A:F,6,0),""))</f>
        <v/>
      </c>
      <c r="G43" t="str">
        <f>IF(C43="","",IFERROR(VLOOKUP(C43,OBLIGACION!A:G,7,0),""))</f>
        <v/>
      </c>
      <c r="H43" s="35"/>
    </row>
    <row r="44" spans="2:8" x14ac:dyDescent="0.3">
      <c r="B44" s="36"/>
      <c r="D44" t="str">
        <f>IF(C44="","",IFERROR(VLOOKUP(C44,OBLIGACION!A:D,4,0),""))</f>
        <v/>
      </c>
      <c r="E44" t="str">
        <f>IF(C44="","",IFERROR(VLOOKUP(C44,OBLIGACION!A:E,5,0),""))</f>
        <v/>
      </c>
      <c r="F44" t="str">
        <f>IF(C44="","",IFERROR(VLOOKUP(C44,OBLIGACION!A:F,6,0),""))</f>
        <v/>
      </c>
      <c r="G44" t="str">
        <f>IF(C44="","",IFERROR(VLOOKUP(C44,OBLIGACION!A:G,7,0),""))</f>
        <v/>
      </c>
      <c r="H44" s="35"/>
    </row>
    <row r="45" spans="2:8" x14ac:dyDescent="0.3">
      <c r="B45" s="36"/>
      <c r="D45" t="str">
        <f>IF(C45="","",IFERROR(VLOOKUP(C45,OBLIGACION!A:D,4,0),""))</f>
        <v/>
      </c>
      <c r="E45" t="str">
        <f>IF(C45="","",IFERROR(VLOOKUP(C45,OBLIGACION!A:E,5,0),""))</f>
        <v/>
      </c>
      <c r="F45" t="str">
        <f>IF(C45="","",IFERROR(VLOOKUP(C45,OBLIGACION!A:F,6,0),""))</f>
        <v/>
      </c>
      <c r="G45" t="str">
        <f>IF(C45="","",IFERROR(VLOOKUP(C45,OBLIGACION!A:G,7,0),""))</f>
        <v/>
      </c>
      <c r="H45" s="35"/>
    </row>
    <row r="46" spans="2:8" x14ac:dyDescent="0.3">
      <c r="B46" s="36"/>
      <c r="D46" t="str">
        <f>IF(C46="","",IFERROR(VLOOKUP(C46,OBLIGACION!A:D,4,0),""))</f>
        <v/>
      </c>
      <c r="E46" t="str">
        <f>IF(C46="","",IFERROR(VLOOKUP(C46,OBLIGACION!A:E,5,0),""))</f>
        <v/>
      </c>
      <c r="F46" t="str">
        <f>IF(C46="","",IFERROR(VLOOKUP(C46,OBLIGACION!A:F,6,0),""))</f>
        <v/>
      </c>
      <c r="G46" t="str">
        <f>IF(C46="","",IFERROR(VLOOKUP(C46,OBLIGACION!A:G,7,0),""))</f>
        <v/>
      </c>
      <c r="H46" s="35"/>
    </row>
    <row r="47" spans="2:8" x14ac:dyDescent="0.3">
      <c r="B47" s="36"/>
      <c r="D47" t="str">
        <f>IF(C47="","",IFERROR(VLOOKUP(C47,OBLIGACION!A:D,4,0),""))</f>
        <v/>
      </c>
      <c r="E47" t="str">
        <f>IF(C47="","",IFERROR(VLOOKUP(C47,OBLIGACION!A:E,5,0),""))</f>
        <v/>
      </c>
      <c r="F47" t="str">
        <f>IF(C47="","",IFERROR(VLOOKUP(C47,OBLIGACION!A:F,6,0),""))</f>
        <v/>
      </c>
      <c r="G47" t="str">
        <f>IF(C47="","",IFERROR(VLOOKUP(C47,OBLIGACION!A:G,7,0),""))</f>
        <v/>
      </c>
      <c r="H47" s="35"/>
    </row>
    <row r="48" spans="2:8" x14ac:dyDescent="0.3">
      <c r="B48" s="36"/>
      <c r="D48" t="str">
        <f>IF(C48="","",IFERROR(VLOOKUP(C48,OBLIGACION!A:D,4,0),""))</f>
        <v/>
      </c>
      <c r="E48" t="str">
        <f>IF(C48="","",IFERROR(VLOOKUP(C48,OBLIGACION!A:E,5,0),""))</f>
        <v/>
      </c>
      <c r="F48" t="str">
        <f>IF(C48="","",IFERROR(VLOOKUP(C48,OBLIGACION!A:F,6,0),""))</f>
        <v/>
      </c>
      <c r="G48" t="str">
        <f>IF(C48="","",IFERROR(VLOOKUP(C48,OBLIGACION!A:G,7,0),""))</f>
        <v/>
      </c>
      <c r="H48" s="35"/>
    </row>
    <row r="49" spans="2:8" x14ac:dyDescent="0.3">
      <c r="B49" s="36"/>
      <c r="D49" t="str">
        <f>IF(C49="","",IFERROR(VLOOKUP(C49,OBLIGACION!A:D,4,0),""))</f>
        <v/>
      </c>
      <c r="E49" t="str">
        <f>IF(C49="","",IFERROR(VLOOKUP(C49,OBLIGACION!A:E,5,0),""))</f>
        <v/>
      </c>
      <c r="F49" t="str">
        <f>IF(C49="","",IFERROR(VLOOKUP(C49,OBLIGACION!A:F,6,0),""))</f>
        <v/>
      </c>
      <c r="G49" t="str">
        <f>IF(C49="","",IFERROR(VLOOKUP(C49,OBLIGACION!A:G,7,0),""))</f>
        <v/>
      </c>
      <c r="H49" s="35"/>
    </row>
    <row r="50" spans="2:8" x14ac:dyDescent="0.3">
      <c r="B50" s="36"/>
      <c r="D50" t="str">
        <f>IF(C50="","",IFERROR(VLOOKUP(C50,OBLIGACION!A:D,4,0),""))</f>
        <v/>
      </c>
      <c r="E50" t="str">
        <f>IF(C50="","",IFERROR(VLOOKUP(C50,OBLIGACION!A:E,5,0),""))</f>
        <v/>
      </c>
      <c r="F50" t="str">
        <f>IF(C50="","",IFERROR(VLOOKUP(C50,OBLIGACION!A:F,6,0),""))</f>
        <v/>
      </c>
      <c r="G50" t="str">
        <f>IF(C50="","",IFERROR(VLOOKUP(C50,OBLIGACION!A:G,7,0),""))</f>
        <v/>
      </c>
      <c r="H50" s="35"/>
    </row>
    <row r="51" spans="2:8" x14ac:dyDescent="0.3">
      <c r="B51" s="36"/>
      <c r="D51" t="str">
        <f>IF(C51="","",IFERROR(VLOOKUP(C51,OBLIGACION!A:D,4,0),""))</f>
        <v/>
      </c>
      <c r="E51" t="str">
        <f>IF(C51="","",IFERROR(VLOOKUP(C51,OBLIGACION!A:E,5,0),""))</f>
        <v/>
      </c>
      <c r="F51" t="str">
        <f>IF(C51="","",IFERROR(VLOOKUP(C51,OBLIGACION!A:F,6,0),""))</f>
        <v/>
      </c>
      <c r="G51" t="str">
        <f>IF(C51="","",IFERROR(VLOOKUP(C51,OBLIGACION!A:G,7,0),""))</f>
        <v/>
      </c>
      <c r="H51" s="35"/>
    </row>
    <row r="52" spans="2:8" x14ac:dyDescent="0.3">
      <c r="B52" s="36"/>
      <c r="D52" t="str">
        <f>IF(C52="","",IFERROR(VLOOKUP(C52,OBLIGACION!A:D,4,0),""))</f>
        <v/>
      </c>
      <c r="E52" t="str">
        <f>IF(C52="","",IFERROR(VLOOKUP(C52,OBLIGACION!A:E,5,0),""))</f>
        <v/>
      </c>
      <c r="F52" t="str">
        <f>IF(C52="","",IFERROR(VLOOKUP(C52,OBLIGACION!A:F,6,0),""))</f>
        <v/>
      </c>
      <c r="G52" t="str">
        <f>IF(C52="","",IFERROR(VLOOKUP(C52,OBLIGACION!A:G,7,0),""))</f>
        <v/>
      </c>
      <c r="H52" s="35"/>
    </row>
    <row r="53" spans="2:8" x14ac:dyDescent="0.3">
      <c r="B53" s="36"/>
      <c r="D53" t="str">
        <f>IF(C53="","",IFERROR(VLOOKUP(C53,OBLIGACION!A:D,4,0),""))</f>
        <v/>
      </c>
      <c r="E53" t="str">
        <f>IF(C53="","",IFERROR(VLOOKUP(C53,OBLIGACION!A:E,5,0),""))</f>
        <v/>
      </c>
      <c r="F53" t="str">
        <f>IF(C53="","",IFERROR(VLOOKUP(C53,OBLIGACION!A:F,6,0),""))</f>
        <v/>
      </c>
      <c r="G53" t="str">
        <f>IF(C53="","",IFERROR(VLOOKUP(C53,OBLIGACION!A:G,7,0),""))</f>
        <v/>
      </c>
      <c r="H53" s="35"/>
    </row>
    <row r="54" spans="2:8" x14ac:dyDescent="0.3">
      <c r="B54" s="36"/>
      <c r="D54" t="str">
        <f>IF(C54="","",IFERROR(VLOOKUP(C54,OBLIGACION!A:D,4,0),""))</f>
        <v/>
      </c>
      <c r="E54" t="str">
        <f>IF(C54="","",IFERROR(VLOOKUP(C54,OBLIGACION!A:E,5,0),""))</f>
        <v/>
      </c>
      <c r="F54" t="str">
        <f>IF(C54="","",IFERROR(VLOOKUP(C54,OBLIGACION!A:F,6,0),""))</f>
        <v/>
      </c>
      <c r="G54" t="str">
        <f>IF(C54="","",IFERROR(VLOOKUP(C54,OBLIGACION!A:G,7,0),""))</f>
        <v/>
      </c>
      <c r="H54" s="35"/>
    </row>
    <row r="55" spans="2:8" x14ac:dyDescent="0.3">
      <c r="B55" s="36"/>
      <c r="D55" t="str">
        <f>IF(C55="","",IFERROR(VLOOKUP(C55,OBLIGACION!A:D,4,0),""))</f>
        <v/>
      </c>
      <c r="E55" t="str">
        <f>IF(C55="","",IFERROR(VLOOKUP(C55,OBLIGACION!A:E,5,0),""))</f>
        <v/>
      </c>
      <c r="F55" t="str">
        <f>IF(C55="","",IFERROR(VLOOKUP(C55,OBLIGACION!A:F,6,0),""))</f>
        <v/>
      </c>
      <c r="G55" t="str">
        <f>IF(C55="","",IFERROR(VLOOKUP(C55,OBLIGACION!A:G,7,0),""))</f>
        <v/>
      </c>
      <c r="H55" s="35"/>
    </row>
    <row r="56" spans="2:8" x14ac:dyDescent="0.3">
      <c r="B56" s="36"/>
      <c r="D56" t="str">
        <f>IF(C56="","",IFERROR(VLOOKUP(C56,OBLIGACION!A:D,4,0),""))</f>
        <v/>
      </c>
      <c r="E56" t="str">
        <f>IF(C56="","",IFERROR(VLOOKUP(C56,OBLIGACION!A:E,5,0),""))</f>
        <v/>
      </c>
      <c r="F56" t="str">
        <f>IF(C56="","",IFERROR(VLOOKUP(C56,OBLIGACION!A:F,6,0),""))</f>
        <v/>
      </c>
      <c r="G56" t="str">
        <f>IF(C56="","",IFERROR(VLOOKUP(C56,OBLIGACION!A:G,7,0),""))</f>
        <v/>
      </c>
      <c r="H56" s="35"/>
    </row>
    <row r="57" spans="2:8" x14ac:dyDescent="0.3">
      <c r="B57" s="36"/>
      <c r="D57" t="str">
        <f>IF(C57="","",IFERROR(VLOOKUP(C57,OBLIGACION!A:D,4,0),""))</f>
        <v/>
      </c>
      <c r="E57" t="str">
        <f>IF(C57="","",IFERROR(VLOOKUP(C57,OBLIGACION!A:E,5,0),""))</f>
        <v/>
      </c>
      <c r="F57" t="str">
        <f>IF(C57="","",IFERROR(VLOOKUP(C57,OBLIGACION!A:F,6,0),""))</f>
        <v/>
      </c>
      <c r="G57" t="str">
        <f>IF(C57="","",IFERROR(VLOOKUP(C57,OBLIGACION!A:G,7,0),""))</f>
        <v/>
      </c>
      <c r="H57" s="35"/>
    </row>
    <row r="58" spans="2:8" x14ac:dyDescent="0.3">
      <c r="B58" s="36"/>
      <c r="D58" t="str">
        <f>IF(C58="","",IFERROR(VLOOKUP(C58,OBLIGACION!A:D,4,0),""))</f>
        <v/>
      </c>
      <c r="E58" t="str">
        <f>IF(C58="","",IFERROR(VLOOKUP(C58,OBLIGACION!A:E,5,0),""))</f>
        <v/>
      </c>
      <c r="F58" t="str">
        <f>IF(C58="","",IFERROR(VLOOKUP(C58,OBLIGACION!A:F,6,0),""))</f>
        <v/>
      </c>
      <c r="G58" t="str">
        <f>IF(C58="","",IFERROR(VLOOKUP(C58,OBLIGACION!A:G,7,0),""))</f>
        <v/>
      </c>
      <c r="H58" s="35"/>
    </row>
    <row r="59" spans="2:8" x14ac:dyDescent="0.3">
      <c r="B59" s="36"/>
      <c r="D59" t="str">
        <f>IF(C59="","",IFERROR(VLOOKUP(C59,OBLIGACION!A:D,4,0),""))</f>
        <v/>
      </c>
      <c r="E59" t="str">
        <f>IF(C59="","",IFERROR(VLOOKUP(C59,OBLIGACION!A:E,5,0),""))</f>
        <v/>
      </c>
      <c r="F59" t="str">
        <f>IF(C59="","",IFERROR(VLOOKUP(C59,OBLIGACION!A:F,6,0),""))</f>
        <v/>
      </c>
      <c r="G59" t="str">
        <f>IF(C59="","",IFERROR(VLOOKUP(C59,OBLIGACION!A:G,7,0),""))</f>
        <v/>
      </c>
      <c r="H59" s="35"/>
    </row>
    <row r="60" spans="2:8" x14ac:dyDescent="0.3">
      <c r="B60" s="36"/>
      <c r="D60" t="str">
        <f>IF(C60="","",IFERROR(VLOOKUP(C60,OBLIGACION!A:D,4,0),""))</f>
        <v/>
      </c>
      <c r="E60" t="str">
        <f>IF(C60="","",IFERROR(VLOOKUP(C60,OBLIGACION!A:E,5,0),""))</f>
        <v/>
      </c>
      <c r="F60" t="str">
        <f>IF(C60="","",IFERROR(VLOOKUP(C60,OBLIGACION!A:F,6,0),""))</f>
        <v/>
      </c>
      <c r="G60" t="str">
        <f>IF(C60="","",IFERROR(VLOOKUP(C60,OBLIGACION!A:G,7,0),""))</f>
        <v/>
      </c>
      <c r="H60" s="35"/>
    </row>
    <row r="61" spans="2:8" x14ac:dyDescent="0.3">
      <c r="B61" s="36"/>
      <c r="D61" t="str">
        <f>IF(C61="","",IFERROR(VLOOKUP(C61,OBLIGACION!A:D,4,0),""))</f>
        <v/>
      </c>
      <c r="E61" t="str">
        <f>IF(C61="","",IFERROR(VLOOKUP(C61,OBLIGACION!A:E,5,0),""))</f>
        <v/>
      </c>
      <c r="F61" t="str">
        <f>IF(C61="","",IFERROR(VLOOKUP(C61,OBLIGACION!A:F,6,0),""))</f>
        <v/>
      </c>
      <c r="G61" t="str">
        <f>IF(C61="","",IFERROR(VLOOKUP(C61,OBLIGACION!A:G,7,0),""))</f>
        <v/>
      </c>
      <c r="H61" s="35"/>
    </row>
    <row r="62" spans="2:8" x14ac:dyDescent="0.3">
      <c r="B62" s="36"/>
      <c r="D62" t="str">
        <f>IF(C62="","",IFERROR(VLOOKUP(C62,OBLIGACION!A:D,4,0),""))</f>
        <v/>
      </c>
      <c r="E62" t="str">
        <f>IF(C62="","",IFERROR(VLOOKUP(C62,OBLIGACION!A:E,5,0),""))</f>
        <v/>
      </c>
      <c r="F62" t="str">
        <f>IF(C62="","",IFERROR(VLOOKUP(C62,OBLIGACION!A:F,6,0),""))</f>
        <v/>
      </c>
      <c r="G62" t="str">
        <f>IF(C62="","",IFERROR(VLOOKUP(C62,OBLIGACION!A:G,7,0),""))</f>
        <v/>
      </c>
      <c r="H62" s="35"/>
    </row>
    <row r="63" spans="2:8" x14ac:dyDescent="0.3">
      <c r="B63" s="36"/>
      <c r="D63" t="str">
        <f>IF(C63="","",IFERROR(VLOOKUP(C63,OBLIGACION!A:D,4,0),""))</f>
        <v/>
      </c>
      <c r="E63" t="str">
        <f>IF(C63="","",IFERROR(VLOOKUP(C63,OBLIGACION!A:E,5,0),""))</f>
        <v/>
      </c>
      <c r="F63" t="str">
        <f>IF(C63="","",IFERROR(VLOOKUP(C63,OBLIGACION!A:F,6,0),""))</f>
        <v/>
      </c>
      <c r="G63" t="str">
        <f>IF(C63="","",IFERROR(VLOOKUP(C63,OBLIGACION!A:G,7,0),""))</f>
        <v/>
      </c>
      <c r="H63" s="35"/>
    </row>
    <row r="64" spans="2:8" x14ac:dyDescent="0.3">
      <c r="B64" s="36"/>
      <c r="D64" t="str">
        <f>IF(C64="","",IFERROR(VLOOKUP(C64,OBLIGACION!A:D,4,0),""))</f>
        <v/>
      </c>
      <c r="E64" t="str">
        <f>IF(C64="","",IFERROR(VLOOKUP(C64,OBLIGACION!A:E,5,0),""))</f>
        <v/>
      </c>
      <c r="F64" t="str">
        <f>IF(C64="","",IFERROR(VLOOKUP(C64,OBLIGACION!A:F,6,0),""))</f>
        <v/>
      </c>
      <c r="G64" t="str">
        <f>IF(C64="","",IFERROR(VLOOKUP(C64,OBLIGACION!A:G,7,0),""))</f>
        <v/>
      </c>
      <c r="H64" s="35"/>
    </row>
    <row r="65" spans="2:8" x14ac:dyDescent="0.3">
      <c r="B65" s="36"/>
      <c r="D65" t="str">
        <f>IF(C65="","",IFERROR(VLOOKUP(C65,OBLIGACION!A:D,4,0),""))</f>
        <v/>
      </c>
      <c r="E65" t="str">
        <f>IF(C65="","",IFERROR(VLOOKUP(C65,OBLIGACION!A:E,5,0),""))</f>
        <v/>
      </c>
      <c r="F65" t="str">
        <f>IF(C65="","",IFERROR(VLOOKUP(C65,OBLIGACION!A:F,6,0),""))</f>
        <v/>
      </c>
      <c r="G65" t="str">
        <f>IF(C65="","",IFERROR(VLOOKUP(C65,OBLIGACION!A:G,7,0),""))</f>
        <v/>
      </c>
      <c r="H65" s="35"/>
    </row>
    <row r="66" spans="2:8" x14ac:dyDescent="0.3">
      <c r="B66" s="36"/>
      <c r="D66" t="str">
        <f>IF(C66="","",IFERROR(VLOOKUP(C66,OBLIGACION!A:D,4,0),""))</f>
        <v/>
      </c>
      <c r="E66" t="str">
        <f>IF(C66="","",IFERROR(VLOOKUP(C66,OBLIGACION!A:E,5,0),""))</f>
        <v/>
      </c>
      <c r="F66" t="str">
        <f>IF(C66="","",IFERROR(VLOOKUP(C66,OBLIGACION!A:F,6,0),""))</f>
        <v/>
      </c>
      <c r="G66" t="str">
        <f>IF(C66="","",IFERROR(VLOOKUP(C66,OBLIGACION!A:G,7,0),""))</f>
        <v/>
      </c>
      <c r="H66" s="35"/>
    </row>
    <row r="67" spans="2:8" x14ac:dyDescent="0.3">
      <c r="B67" s="36"/>
      <c r="D67" t="str">
        <f>IF(C67="","",IFERROR(VLOOKUP(C67,OBLIGACION!A:D,4,0),""))</f>
        <v/>
      </c>
      <c r="E67" t="str">
        <f>IF(C67="","",IFERROR(VLOOKUP(C67,OBLIGACION!A:E,5,0),""))</f>
        <v/>
      </c>
      <c r="F67" t="str">
        <f>IF(C67="","",IFERROR(VLOOKUP(C67,OBLIGACION!A:F,6,0),""))</f>
        <v/>
      </c>
      <c r="G67" t="str">
        <f>IF(C67="","",IFERROR(VLOOKUP(C67,OBLIGACION!A:G,7,0),""))</f>
        <v/>
      </c>
      <c r="H67" s="35"/>
    </row>
    <row r="68" spans="2:8" x14ac:dyDescent="0.3">
      <c r="B68" s="36"/>
      <c r="D68" t="str">
        <f>IF(C68="","",IFERROR(VLOOKUP(C68,OBLIGACION!A:D,4,0),""))</f>
        <v/>
      </c>
      <c r="E68" t="str">
        <f>IF(C68="","",IFERROR(VLOOKUP(C68,OBLIGACION!A:E,5,0),""))</f>
        <v/>
      </c>
      <c r="F68" t="str">
        <f>IF(C68="","",IFERROR(VLOOKUP(C68,OBLIGACION!A:F,6,0),""))</f>
        <v/>
      </c>
      <c r="G68" t="str">
        <f>IF(C68="","",IFERROR(VLOOKUP(C68,OBLIGACION!A:G,7,0),""))</f>
        <v/>
      </c>
      <c r="H68" s="35"/>
    </row>
    <row r="69" spans="2:8" x14ac:dyDescent="0.3">
      <c r="B69" s="36"/>
      <c r="D69" t="str">
        <f>IF(C69="","",IFERROR(VLOOKUP(C69,OBLIGACION!A:D,4,0),""))</f>
        <v/>
      </c>
      <c r="E69" t="str">
        <f>IF(C69="","",IFERROR(VLOOKUP(C69,OBLIGACION!A:E,5,0),""))</f>
        <v/>
      </c>
      <c r="F69" t="str">
        <f>IF(C69="","",IFERROR(VLOOKUP(C69,OBLIGACION!A:F,6,0),""))</f>
        <v/>
      </c>
      <c r="G69" t="str">
        <f>IF(C69="","",IFERROR(VLOOKUP(C69,OBLIGACION!A:G,7,0),""))</f>
        <v/>
      </c>
      <c r="H69" s="35"/>
    </row>
    <row r="70" spans="2:8" x14ac:dyDescent="0.3">
      <c r="B70" s="36"/>
      <c r="D70" t="str">
        <f>IF(C70="","",IFERROR(VLOOKUP(C70,OBLIGACION!A:D,4,0),""))</f>
        <v/>
      </c>
      <c r="E70" t="str">
        <f>IF(C70="","",IFERROR(VLOOKUP(C70,OBLIGACION!A:E,5,0),""))</f>
        <v/>
      </c>
      <c r="F70" t="str">
        <f>IF(C70="","",IFERROR(VLOOKUP(C70,OBLIGACION!A:F,6,0),""))</f>
        <v/>
      </c>
      <c r="G70" t="str">
        <f>IF(C70="","",IFERROR(VLOOKUP(C70,OBLIGACION!A:G,7,0),""))</f>
        <v/>
      </c>
      <c r="H70" s="35"/>
    </row>
    <row r="71" spans="2:8" x14ac:dyDescent="0.3">
      <c r="B71" s="36"/>
      <c r="D71" t="str">
        <f>IF(C71="","",IFERROR(VLOOKUP(C71,OBLIGACION!A:D,4,0),""))</f>
        <v/>
      </c>
      <c r="E71" t="str">
        <f>IF(C71="","",IFERROR(VLOOKUP(C71,OBLIGACION!A:E,5,0),""))</f>
        <v/>
      </c>
      <c r="F71" t="str">
        <f>IF(C71="","",IFERROR(VLOOKUP(C71,OBLIGACION!A:F,6,0),""))</f>
        <v/>
      </c>
      <c r="G71" t="str">
        <f>IF(C71="","",IFERROR(VLOOKUP(C71,OBLIGACION!A:G,7,0),""))</f>
        <v/>
      </c>
      <c r="H71" s="35"/>
    </row>
    <row r="72" spans="2:8" x14ac:dyDescent="0.3">
      <c r="B72" s="36"/>
      <c r="D72" t="str">
        <f>IF(C72="","",IFERROR(VLOOKUP(C72,OBLIGACION!A:D,4,0),""))</f>
        <v/>
      </c>
      <c r="E72" t="str">
        <f>IF(C72="","",IFERROR(VLOOKUP(C72,OBLIGACION!A:E,5,0),""))</f>
        <v/>
      </c>
      <c r="F72" t="str">
        <f>IF(C72="","",IFERROR(VLOOKUP(C72,OBLIGACION!A:F,6,0),""))</f>
        <v/>
      </c>
      <c r="G72" t="str">
        <f>IF(C72="","",IFERROR(VLOOKUP(C72,OBLIGACION!A:G,7,0),""))</f>
        <v/>
      </c>
      <c r="H72" s="35"/>
    </row>
    <row r="73" spans="2:8" x14ac:dyDescent="0.3">
      <c r="B73" s="36"/>
      <c r="D73" t="str">
        <f>IF(C73="","",IFERROR(VLOOKUP(C73,OBLIGACION!A:D,4,0),""))</f>
        <v/>
      </c>
      <c r="E73" t="str">
        <f>IF(C73="","",IFERROR(VLOOKUP(C73,OBLIGACION!A:E,5,0),""))</f>
        <v/>
      </c>
      <c r="F73" t="str">
        <f>IF(C73="","",IFERROR(VLOOKUP(C73,OBLIGACION!A:F,6,0),""))</f>
        <v/>
      </c>
      <c r="G73" t="str">
        <f>IF(C73="","",IFERROR(VLOOKUP(C73,OBLIGACION!A:G,7,0),""))</f>
        <v/>
      </c>
      <c r="H73" s="35"/>
    </row>
    <row r="74" spans="2:8" x14ac:dyDescent="0.3">
      <c r="B74" s="36"/>
      <c r="D74" t="str">
        <f>IF(C74="","",IFERROR(VLOOKUP(C74,OBLIGACION!A:D,4,0),""))</f>
        <v/>
      </c>
      <c r="E74" t="str">
        <f>IF(C74="","",IFERROR(VLOOKUP(C74,OBLIGACION!A:E,5,0),""))</f>
        <v/>
      </c>
      <c r="F74" t="str">
        <f>IF(C74="","",IFERROR(VLOOKUP(C74,OBLIGACION!A:F,6,0),""))</f>
        <v/>
      </c>
      <c r="G74" t="str">
        <f>IF(C74="","",IFERROR(VLOOKUP(C74,OBLIGACION!A:G,7,0),""))</f>
        <v/>
      </c>
      <c r="H74" s="35"/>
    </row>
    <row r="75" spans="2:8" x14ac:dyDescent="0.3">
      <c r="B75" s="36"/>
      <c r="D75" t="str">
        <f>IF(C75="","",IFERROR(VLOOKUP(C75,OBLIGACION!A:D,4,0),""))</f>
        <v/>
      </c>
      <c r="E75" t="str">
        <f>IF(C75="","",IFERROR(VLOOKUP(C75,OBLIGACION!A:E,5,0),""))</f>
        <v/>
      </c>
      <c r="F75" t="str">
        <f>IF(C75="","",IFERROR(VLOOKUP(C75,OBLIGACION!A:F,6,0),""))</f>
        <v/>
      </c>
      <c r="G75" t="str">
        <f>IF(C75="","",IFERROR(VLOOKUP(C75,OBLIGACION!A:G,7,0),""))</f>
        <v/>
      </c>
      <c r="H75" s="35"/>
    </row>
    <row r="76" spans="2:8" x14ac:dyDescent="0.3">
      <c r="B76" s="36"/>
      <c r="D76" t="str">
        <f>IF(C76="","",IFERROR(VLOOKUP(C76,OBLIGACION!A:D,4,0),""))</f>
        <v/>
      </c>
      <c r="E76" t="str">
        <f>IF(C76="","",IFERROR(VLOOKUP(C76,OBLIGACION!A:E,5,0),""))</f>
        <v/>
      </c>
      <c r="F76" t="str">
        <f>IF(C76="","",IFERROR(VLOOKUP(C76,OBLIGACION!A:F,6,0),""))</f>
        <v/>
      </c>
      <c r="G76" t="str">
        <f>IF(C76="","",IFERROR(VLOOKUP(C76,OBLIGACION!A:G,7,0),""))</f>
        <v/>
      </c>
      <c r="H76" s="35"/>
    </row>
    <row r="77" spans="2:8" x14ac:dyDescent="0.3">
      <c r="B77" s="36"/>
      <c r="D77" t="str">
        <f>IF(C77="","",IFERROR(VLOOKUP(C77,OBLIGACION!A:D,4,0),""))</f>
        <v/>
      </c>
      <c r="E77" t="str">
        <f>IF(C77="","",IFERROR(VLOOKUP(C77,OBLIGACION!A:E,5,0),""))</f>
        <v/>
      </c>
      <c r="F77" t="str">
        <f>IF(C77="","",IFERROR(VLOOKUP(C77,OBLIGACION!A:F,6,0),""))</f>
        <v/>
      </c>
      <c r="G77" t="str">
        <f>IF(C77="","",IFERROR(VLOOKUP(C77,OBLIGACION!A:G,7,0),""))</f>
        <v/>
      </c>
      <c r="H77" s="35"/>
    </row>
    <row r="78" spans="2:8" x14ac:dyDescent="0.3">
      <c r="B78" s="36"/>
      <c r="D78" t="str">
        <f>IF(C78="","",IFERROR(VLOOKUP(C78,OBLIGACION!A:D,4,0),""))</f>
        <v/>
      </c>
      <c r="E78" t="str">
        <f>IF(C78="","",IFERROR(VLOOKUP(C78,OBLIGACION!A:E,5,0),""))</f>
        <v/>
      </c>
      <c r="F78" t="str">
        <f>IF(C78="","",IFERROR(VLOOKUP(C78,OBLIGACION!A:F,6,0),""))</f>
        <v/>
      </c>
      <c r="G78" t="str">
        <f>IF(C78="","",IFERROR(VLOOKUP(C78,OBLIGACION!A:G,7,0),""))</f>
        <v/>
      </c>
      <c r="H78" s="35"/>
    </row>
    <row r="79" spans="2:8" x14ac:dyDescent="0.3">
      <c r="B79" s="36"/>
      <c r="D79" t="str">
        <f>IF(C79="","",IFERROR(VLOOKUP(C79,OBLIGACION!A:D,4,0),""))</f>
        <v/>
      </c>
      <c r="E79" t="str">
        <f>IF(C79="","",IFERROR(VLOOKUP(C79,OBLIGACION!A:E,5,0),""))</f>
        <v/>
      </c>
      <c r="F79" t="str">
        <f>IF(C79="","",IFERROR(VLOOKUP(C79,OBLIGACION!A:F,6,0),""))</f>
        <v/>
      </c>
      <c r="G79" t="str">
        <f>IF(C79="","",IFERROR(VLOOKUP(C79,OBLIGACION!A:G,7,0),""))</f>
        <v/>
      </c>
      <c r="H79" s="35"/>
    </row>
    <row r="80" spans="2:8" x14ac:dyDescent="0.3">
      <c r="B80" s="36"/>
      <c r="D80" t="str">
        <f>IF(C80="","",IFERROR(VLOOKUP(C80,OBLIGACION!A:D,4,0),""))</f>
        <v/>
      </c>
      <c r="E80" t="str">
        <f>IF(C80="","",IFERROR(VLOOKUP(C80,OBLIGACION!A:E,5,0),""))</f>
        <v/>
      </c>
      <c r="F80" t="str">
        <f>IF(C80="","",IFERROR(VLOOKUP(C80,OBLIGACION!A:F,6,0),""))</f>
        <v/>
      </c>
      <c r="G80" t="str">
        <f>IF(C80="","",IFERROR(VLOOKUP(C80,OBLIGACION!A:G,7,0),""))</f>
        <v/>
      </c>
      <c r="H80" s="35"/>
    </row>
    <row r="81" spans="2:8" x14ac:dyDescent="0.3">
      <c r="B81" s="36"/>
      <c r="D81" t="str">
        <f>IF(C81="","",IFERROR(VLOOKUP(C81,OBLIGACION!A:D,4,0),""))</f>
        <v/>
      </c>
      <c r="E81" t="str">
        <f>IF(C81="","",IFERROR(VLOOKUP(C81,OBLIGACION!A:E,5,0),""))</f>
        <v/>
      </c>
      <c r="F81" t="str">
        <f>IF(C81="","",IFERROR(VLOOKUP(C81,OBLIGACION!A:F,6,0),""))</f>
        <v/>
      </c>
      <c r="G81" t="str">
        <f>IF(C81="","",IFERROR(VLOOKUP(C81,OBLIGACION!A:G,7,0),""))</f>
        <v/>
      </c>
      <c r="H81" s="35"/>
    </row>
    <row r="82" spans="2:8" x14ac:dyDescent="0.3">
      <c r="B82" s="36"/>
      <c r="D82" t="str">
        <f>IF(C82="","",IFERROR(VLOOKUP(C82,OBLIGACION!A:D,4,0),""))</f>
        <v/>
      </c>
      <c r="E82" t="str">
        <f>IF(C82="","",IFERROR(VLOOKUP(C82,OBLIGACION!A:E,5,0),""))</f>
        <v/>
      </c>
      <c r="F82" t="str">
        <f>IF(C82="","",IFERROR(VLOOKUP(C82,OBLIGACION!A:F,6,0),""))</f>
        <v/>
      </c>
      <c r="G82" t="str">
        <f>IF(C82="","",IFERROR(VLOOKUP(C82,OBLIGACION!A:G,7,0),""))</f>
        <v/>
      </c>
      <c r="H82" s="35"/>
    </row>
    <row r="83" spans="2:8" x14ac:dyDescent="0.3">
      <c r="B83" s="36"/>
      <c r="D83" t="str">
        <f>IF(C83="","",IFERROR(VLOOKUP(C83,OBLIGACION!A:D,4,0),""))</f>
        <v/>
      </c>
      <c r="E83" t="str">
        <f>IF(C83="","",IFERROR(VLOOKUP(C83,OBLIGACION!A:E,5,0),""))</f>
        <v/>
      </c>
      <c r="F83" t="str">
        <f>IF(C83="","",IFERROR(VLOOKUP(C83,OBLIGACION!A:F,6,0),""))</f>
        <v/>
      </c>
      <c r="G83" t="str">
        <f>IF(C83="","",IFERROR(VLOOKUP(C83,OBLIGACION!A:G,7,0),""))</f>
        <v/>
      </c>
      <c r="H83" s="35"/>
    </row>
    <row r="84" spans="2:8" x14ac:dyDescent="0.3">
      <c r="B84" s="36"/>
      <c r="D84" t="str">
        <f>IF(C84="","",IFERROR(VLOOKUP(C84,OBLIGACION!A:D,4,0),""))</f>
        <v/>
      </c>
      <c r="E84" t="str">
        <f>IF(C84="","",IFERROR(VLOOKUP(C84,OBLIGACION!A:E,5,0),""))</f>
        <v/>
      </c>
      <c r="F84" t="str">
        <f>IF(C84="","",IFERROR(VLOOKUP(C84,OBLIGACION!A:F,6,0),""))</f>
        <v/>
      </c>
      <c r="G84" t="str">
        <f>IF(C84="","",IFERROR(VLOOKUP(C84,OBLIGACION!A:G,7,0),""))</f>
        <v/>
      </c>
      <c r="H84" s="35"/>
    </row>
    <row r="85" spans="2:8" x14ac:dyDescent="0.3">
      <c r="B85" s="36"/>
      <c r="D85" t="str">
        <f>IF(C85="","",IFERROR(VLOOKUP(C85,OBLIGACION!A:D,4,0),""))</f>
        <v/>
      </c>
      <c r="E85" t="str">
        <f>IF(C85="","",IFERROR(VLOOKUP(C85,OBLIGACION!A:E,5,0),""))</f>
        <v/>
      </c>
      <c r="F85" t="str">
        <f>IF(C85="","",IFERROR(VLOOKUP(C85,OBLIGACION!A:F,6,0),""))</f>
        <v/>
      </c>
      <c r="G85" t="str">
        <f>IF(C85="","",IFERROR(VLOOKUP(C85,OBLIGACION!A:G,7,0),""))</f>
        <v/>
      </c>
      <c r="H85" s="35"/>
    </row>
    <row r="86" spans="2:8" x14ac:dyDescent="0.3">
      <c r="B86" s="36"/>
      <c r="D86" t="str">
        <f>IF(C86="","",IFERROR(VLOOKUP(C86,OBLIGACION!A:D,4,0),""))</f>
        <v/>
      </c>
      <c r="E86" t="str">
        <f>IF(C86="","",IFERROR(VLOOKUP(C86,OBLIGACION!A:E,5,0),""))</f>
        <v/>
      </c>
      <c r="F86" t="str">
        <f>IF(C86="","",IFERROR(VLOOKUP(C86,OBLIGACION!A:F,6,0),""))</f>
        <v/>
      </c>
      <c r="G86" t="str">
        <f>IF(C86="","",IFERROR(VLOOKUP(C86,OBLIGACION!A:G,7,0),""))</f>
        <v/>
      </c>
      <c r="H86" s="35"/>
    </row>
    <row r="87" spans="2:8" x14ac:dyDescent="0.3">
      <c r="B87" s="36"/>
      <c r="D87" t="str">
        <f>IF(C87="","",IFERROR(VLOOKUP(C87,OBLIGACION!A:D,4,0),""))</f>
        <v/>
      </c>
      <c r="E87" t="str">
        <f>IF(C87="","",IFERROR(VLOOKUP(C87,OBLIGACION!A:E,5,0),""))</f>
        <v/>
      </c>
      <c r="F87" t="str">
        <f>IF(C87="","",IFERROR(VLOOKUP(C87,OBLIGACION!A:F,6,0),""))</f>
        <v/>
      </c>
      <c r="G87" t="str">
        <f>IF(C87="","",IFERROR(VLOOKUP(C87,OBLIGACION!A:G,7,0),""))</f>
        <v/>
      </c>
      <c r="H87" s="35"/>
    </row>
    <row r="88" spans="2:8" x14ac:dyDescent="0.3">
      <c r="B88" s="36"/>
      <c r="D88" t="str">
        <f>IF(C88="","",IFERROR(VLOOKUP(C88,OBLIGACION!A:D,4,0),""))</f>
        <v/>
      </c>
      <c r="E88" t="str">
        <f>IF(C88="","",IFERROR(VLOOKUP(C88,OBLIGACION!A:E,5,0),""))</f>
        <v/>
      </c>
      <c r="F88" t="str">
        <f>IF(C88="","",IFERROR(VLOOKUP(C88,OBLIGACION!A:F,6,0),""))</f>
        <v/>
      </c>
      <c r="G88" t="str">
        <f>IF(C88="","",IFERROR(VLOOKUP(C88,OBLIGACION!A:G,7,0),""))</f>
        <v/>
      </c>
      <c r="H88" s="35"/>
    </row>
    <row r="89" spans="2:8" x14ac:dyDescent="0.3">
      <c r="B89" s="36"/>
      <c r="D89" t="str">
        <f>IF(C89="","",IFERROR(VLOOKUP(C89,OBLIGACION!A:D,4,0),""))</f>
        <v/>
      </c>
      <c r="E89" t="str">
        <f>IF(C89="","",IFERROR(VLOOKUP(C89,OBLIGACION!A:E,5,0),""))</f>
        <v/>
      </c>
      <c r="F89" t="str">
        <f>IF(C89="","",IFERROR(VLOOKUP(C89,OBLIGACION!A:F,6,0),""))</f>
        <v/>
      </c>
      <c r="G89" t="str">
        <f>IF(C89="","",IFERROR(VLOOKUP(C89,OBLIGACION!A:G,7,0),""))</f>
        <v/>
      </c>
      <c r="H89" s="35"/>
    </row>
    <row r="90" spans="2:8" x14ac:dyDescent="0.3">
      <c r="B90" s="36"/>
      <c r="D90" t="str">
        <f>IF(C90="","",IFERROR(VLOOKUP(C90,OBLIGACION!A:D,4,0),""))</f>
        <v/>
      </c>
      <c r="E90" t="str">
        <f>IF(C90="","",IFERROR(VLOOKUP(C90,OBLIGACION!A:E,5,0),""))</f>
        <v/>
      </c>
      <c r="F90" t="str">
        <f>IF(C90="","",IFERROR(VLOOKUP(C90,OBLIGACION!A:F,6,0),""))</f>
        <v/>
      </c>
      <c r="G90" t="str">
        <f>IF(C90="","",IFERROR(VLOOKUP(C90,OBLIGACION!A:G,7,0),""))</f>
        <v/>
      </c>
      <c r="H90" s="35"/>
    </row>
    <row r="91" spans="2:8" x14ac:dyDescent="0.3">
      <c r="B91" s="36"/>
      <c r="D91" t="str">
        <f>IF(C91="","",IFERROR(VLOOKUP(C91,OBLIGACION!A:D,4,0),""))</f>
        <v/>
      </c>
      <c r="E91" t="str">
        <f>IF(C91="","",IFERROR(VLOOKUP(C91,OBLIGACION!A:E,5,0),""))</f>
        <v/>
      </c>
      <c r="F91" t="str">
        <f>IF(C91="","",IFERROR(VLOOKUP(C91,OBLIGACION!A:F,6,0),""))</f>
        <v/>
      </c>
      <c r="G91" t="str">
        <f>IF(C91="","",IFERROR(VLOOKUP(C91,OBLIGACION!A:G,7,0),""))</f>
        <v/>
      </c>
      <c r="H91" s="35"/>
    </row>
    <row r="92" spans="2:8" x14ac:dyDescent="0.3">
      <c r="B92" s="36"/>
      <c r="D92" t="str">
        <f>IF(C92="","",IFERROR(VLOOKUP(C92,OBLIGACION!A:D,4,0),""))</f>
        <v/>
      </c>
      <c r="E92" t="str">
        <f>IF(C92="","",IFERROR(VLOOKUP(C92,OBLIGACION!A:E,5,0),""))</f>
        <v/>
      </c>
      <c r="F92" t="str">
        <f>IF(C92="","",IFERROR(VLOOKUP(C92,OBLIGACION!A:F,6,0),""))</f>
        <v/>
      </c>
      <c r="G92" t="str">
        <f>IF(C92="","",IFERROR(VLOOKUP(C92,OBLIGACION!A:G,7,0),""))</f>
        <v/>
      </c>
      <c r="H92" s="35"/>
    </row>
    <row r="93" spans="2:8" x14ac:dyDescent="0.3">
      <c r="B93" s="36"/>
      <c r="D93" t="str">
        <f>IF(C93="","",IFERROR(VLOOKUP(C93,OBLIGACION!A:D,4,0),""))</f>
        <v/>
      </c>
      <c r="E93" t="str">
        <f>IF(C93="","",IFERROR(VLOOKUP(C93,OBLIGACION!A:E,5,0),""))</f>
        <v/>
      </c>
      <c r="F93" t="str">
        <f>IF(C93="","",IFERROR(VLOOKUP(C93,OBLIGACION!A:F,6,0),""))</f>
        <v/>
      </c>
      <c r="G93" t="str">
        <f>IF(C93="","",IFERROR(VLOOKUP(C93,OBLIGACION!A:G,7,0),""))</f>
        <v/>
      </c>
      <c r="H93" s="35"/>
    </row>
    <row r="94" spans="2:8" x14ac:dyDescent="0.3">
      <c r="B94" s="36"/>
      <c r="D94" t="str">
        <f>IF(C94="","",IFERROR(VLOOKUP(C94,OBLIGACION!A:D,4,0),""))</f>
        <v/>
      </c>
      <c r="E94" t="str">
        <f>IF(C94="","",IFERROR(VLOOKUP(C94,OBLIGACION!A:E,5,0),""))</f>
        <v/>
      </c>
      <c r="F94" t="str">
        <f>IF(C94="","",IFERROR(VLOOKUP(C94,OBLIGACION!A:F,6,0),""))</f>
        <v/>
      </c>
      <c r="G94" t="str">
        <f>IF(C94="","",IFERROR(VLOOKUP(C94,OBLIGACION!A:G,7,0),""))</f>
        <v/>
      </c>
      <c r="H94" s="35"/>
    </row>
    <row r="95" spans="2:8" x14ac:dyDescent="0.3">
      <c r="B95" s="36"/>
      <c r="D95" t="str">
        <f>IF(C95="","",IFERROR(VLOOKUP(C95,OBLIGACION!A:D,4,0),""))</f>
        <v/>
      </c>
      <c r="E95" t="str">
        <f>IF(C95="","",IFERROR(VLOOKUP(C95,OBLIGACION!A:E,5,0),""))</f>
        <v/>
      </c>
      <c r="F95" t="str">
        <f>IF(C95="","",IFERROR(VLOOKUP(C95,OBLIGACION!A:F,6,0),""))</f>
        <v/>
      </c>
      <c r="G95" t="str">
        <f>IF(C95="","",IFERROR(VLOOKUP(C95,OBLIGACION!A:G,7,0),""))</f>
        <v/>
      </c>
      <c r="H95" s="35"/>
    </row>
    <row r="96" spans="2:8" x14ac:dyDescent="0.3">
      <c r="B96" s="36"/>
      <c r="D96" t="str">
        <f>IF(C96="","",IFERROR(VLOOKUP(C96,OBLIGACION!A:D,4,0),""))</f>
        <v/>
      </c>
      <c r="E96" t="str">
        <f>IF(C96="","",IFERROR(VLOOKUP(C96,OBLIGACION!A:E,5,0),""))</f>
        <v/>
      </c>
      <c r="F96" t="str">
        <f>IF(C96="","",IFERROR(VLOOKUP(C96,OBLIGACION!A:F,6,0),""))</f>
        <v/>
      </c>
      <c r="G96" t="str">
        <f>IF(C96="","",IFERROR(VLOOKUP(C96,OBLIGACION!A:G,7,0),""))</f>
        <v/>
      </c>
      <c r="H96" s="35"/>
    </row>
    <row r="97" spans="2:8" x14ac:dyDescent="0.3">
      <c r="B97" s="36"/>
      <c r="D97" t="str">
        <f>IF(C97="","",IFERROR(VLOOKUP(C97,OBLIGACION!A:D,4,0),""))</f>
        <v/>
      </c>
      <c r="E97" t="str">
        <f>IF(C97="","",IFERROR(VLOOKUP(C97,OBLIGACION!A:E,5,0),""))</f>
        <v/>
      </c>
      <c r="F97" t="str">
        <f>IF(C97="","",IFERROR(VLOOKUP(C97,OBLIGACION!A:F,6,0),""))</f>
        <v/>
      </c>
      <c r="G97" t="str">
        <f>IF(C97="","",IFERROR(VLOOKUP(C97,OBLIGACION!A:G,7,0),""))</f>
        <v/>
      </c>
      <c r="H97" s="35"/>
    </row>
    <row r="98" spans="2:8" x14ac:dyDescent="0.3">
      <c r="B98" s="36"/>
      <c r="D98" t="str">
        <f>IF(C98="","",IFERROR(VLOOKUP(C98,OBLIGACION!A:D,4,0),""))</f>
        <v/>
      </c>
      <c r="E98" t="str">
        <f>IF(C98="","",IFERROR(VLOOKUP(C98,OBLIGACION!A:E,5,0),""))</f>
        <v/>
      </c>
      <c r="F98" t="str">
        <f>IF(C98="","",IFERROR(VLOOKUP(C98,OBLIGACION!A:F,6,0),""))</f>
        <v/>
      </c>
      <c r="G98" t="str">
        <f>IF(C98="","",IFERROR(VLOOKUP(C98,OBLIGACION!A:G,7,0),""))</f>
        <v/>
      </c>
      <c r="H98" s="35"/>
    </row>
    <row r="99" spans="2:8" x14ac:dyDescent="0.3">
      <c r="B99" s="36"/>
      <c r="D99" t="str">
        <f>IF(C99="","",IFERROR(VLOOKUP(C99,OBLIGACION!A:D,4,0),""))</f>
        <v/>
      </c>
      <c r="E99" t="str">
        <f>IF(C99="","",IFERROR(VLOOKUP(C99,OBLIGACION!A:E,5,0),""))</f>
        <v/>
      </c>
      <c r="F99" t="str">
        <f>IF(C99="","",IFERROR(VLOOKUP(C99,OBLIGACION!A:F,6,0),""))</f>
        <v/>
      </c>
      <c r="G99" t="str">
        <f>IF(C99="","",IFERROR(VLOOKUP(C99,OBLIGACION!A:G,7,0),""))</f>
        <v/>
      </c>
      <c r="H99" s="35"/>
    </row>
    <row r="100" spans="2:8" x14ac:dyDescent="0.3">
      <c r="B100" s="36"/>
      <c r="D100" t="str">
        <f>IF(C100="","",IFERROR(VLOOKUP(C100,OBLIGACION!A:D,4,0),""))</f>
        <v/>
      </c>
      <c r="E100" t="str">
        <f>IF(C100="","",IFERROR(VLOOKUP(C100,OBLIGACION!A:E,5,0),""))</f>
        <v/>
      </c>
      <c r="F100" t="str">
        <f>IF(C100="","",IFERROR(VLOOKUP(C100,OBLIGACION!A:F,6,0),""))</f>
        <v/>
      </c>
      <c r="G100" t="str">
        <f>IF(C100="","",IFERROR(VLOOKUP(C100,OBLIGACION!A:G,7,0),""))</f>
        <v/>
      </c>
      <c r="H100" s="35"/>
    </row>
    <row r="101" spans="2:8" x14ac:dyDescent="0.3">
      <c r="B101" s="36"/>
      <c r="D101" t="str">
        <f>IF(C101="","",IFERROR(VLOOKUP(C101,OBLIGACION!A:D,4,0),""))</f>
        <v/>
      </c>
      <c r="E101" t="str">
        <f>IF(C101="","",IFERROR(VLOOKUP(C101,OBLIGACION!A:E,5,0),""))</f>
        <v/>
      </c>
      <c r="F101" t="str">
        <f>IF(C101="","",IFERROR(VLOOKUP(C101,OBLIGACION!A:F,6,0),""))</f>
        <v/>
      </c>
      <c r="G101" t="str">
        <f>IF(C101="","",IFERROR(VLOOKUP(C101,OBLIGACION!A:G,7,0),""))</f>
        <v/>
      </c>
      <c r="H101" s="35"/>
    </row>
    <row r="102" spans="2:8" x14ac:dyDescent="0.3">
      <c r="B102" s="36"/>
      <c r="D102" t="str">
        <f>IF(C102="","",IFERROR(VLOOKUP(C102,OBLIGACION!A:D,4,0),""))</f>
        <v/>
      </c>
      <c r="E102" t="str">
        <f>IF(C102="","",IFERROR(VLOOKUP(C102,OBLIGACION!A:E,5,0),""))</f>
        <v/>
      </c>
      <c r="F102" t="str">
        <f>IF(C102="","",IFERROR(VLOOKUP(C102,OBLIGACION!A:F,6,0),""))</f>
        <v/>
      </c>
      <c r="G102" t="str">
        <f>IF(C102="","",IFERROR(VLOOKUP(C102,OBLIGACION!A:G,7,0),""))</f>
        <v/>
      </c>
      <c r="H102" s="35"/>
    </row>
    <row r="103" spans="2:8" x14ac:dyDescent="0.3">
      <c r="B103" s="36"/>
      <c r="D103" t="str">
        <f>IF(C103="","",IFERROR(VLOOKUP(C103,OBLIGACION!A:D,4,0),""))</f>
        <v/>
      </c>
      <c r="E103" t="str">
        <f>IF(C103="","",IFERROR(VLOOKUP(C103,OBLIGACION!A:E,5,0),""))</f>
        <v/>
      </c>
      <c r="F103" t="str">
        <f>IF(C103="","",IFERROR(VLOOKUP(C103,OBLIGACION!A:F,6,0),""))</f>
        <v/>
      </c>
      <c r="G103" t="str">
        <f>IF(C103="","",IFERROR(VLOOKUP(C103,OBLIGACION!A:G,7,0),""))</f>
        <v/>
      </c>
      <c r="H103" s="35"/>
    </row>
    <row r="104" spans="2:8" x14ac:dyDescent="0.3">
      <c r="B104" s="36"/>
      <c r="D104" t="str">
        <f>IF(C104="","",IFERROR(VLOOKUP(C104,OBLIGACION!A:D,4,0),""))</f>
        <v/>
      </c>
      <c r="E104" t="str">
        <f>IF(C104="","",IFERROR(VLOOKUP(C104,OBLIGACION!A:E,5,0),""))</f>
        <v/>
      </c>
      <c r="F104" t="str">
        <f>IF(C104="","",IFERROR(VLOOKUP(C104,OBLIGACION!A:F,6,0),""))</f>
        <v/>
      </c>
      <c r="G104" t="str">
        <f>IF(C104="","",IFERROR(VLOOKUP(C104,OBLIGACION!A:G,7,0),""))</f>
        <v/>
      </c>
      <c r="H104" s="35"/>
    </row>
    <row r="105" spans="2:8" x14ac:dyDescent="0.3">
      <c r="B105" s="36"/>
      <c r="D105" t="str">
        <f>IF(C105="","",IFERROR(VLOOKUP(C105,OBLIGACION!A:D,4,0),""))</f>
        <v/>
      </c>
      <c r="E105" t="str">
        <f>IF(C105="","",IFERROR(VLOOKUP(C105,OBLIGACION!A:E,5,0),""))</f>
        <v/>
      </c>
      <c r="F105" t="str">
        <f>IF(C105="","",IFERROR(VLOOKUP(C105,OBLIGACION!A:F,6,0),""))</f>
        <v/>
      </c>
      <c r="G105" t="str">
        <f>IF(C105="","",IFERROR(VLOOKUP(C105,OBLIGACION!A:G,7,0),""))</f>
        <v/>
      </c>
      <c r="H105" s="35"/>
    </row>
    <row r="106" spans="2:8" x14ac:dyDescent="0.3">
      <c r="B106" s="36"/>
      <c r="D106" t="str">
        <f>IF(C106="","",IFERROR(VLOOKUP(C106,OBLIGACION!A:D,4,0),""))</f>
        <v/>
      </c>
      <c r="E106" t="str">
        <f>IF(C106="","",IFERROR(VLOOKUP(C106,OBLIGACION!A:E,5,0),""))</f>
        <v/>
      </c>
      <c r="F106" t="str">
        <f>IF(C106="","",IFERROR(VLOOKUP(C106,OBLIGACION!A:F,6,0),""))</f>
        <v/>
      </c>
      <c r="G106" t="str">
        <f>IF(C106="","",IFERROR(VLOOKUP(C106,OBLIGACION!A:G,7,0),""))</f>
        <v/>
      </c>
      <c r="H106" s="35"/>
    </row>
    <row r="107" spans="2:8" x14ac:dyDescent="0.3">
      <c r="B107" s="36"/>
      <c r="D107" t="str">
        <f>IF(C107="","",IFERROR(VLOOKUP(C107,OBLIGACION!A:D,4,0),""))</f>
        <v/>
      </c>
      <c r="E107" t="str">
        <f>IF(C107="","",IFERROR(VLOOKUP(C107,OBLIGACION!A:E,5,0),""))</f>
        <v/>
      </c>
      <c r="F107" t="str">
        <f>IF(C107="","",IFERROR(VLOOKUP(C107,OBLIGACION!A:F,6,0),""))</f>
        <v/>
      </c>
      <c r="G107" t="str">
        <f>IF(C107="","",IFERROR(VLOOKUP(C107,OBLIGACION!A:G,7,0),""))</f>
        <v/>
      </c>
      <c r="H107" s="35"/>
    </row>
    <row r="108" spans="2:8" x14ac:dyDescent="0.3">
      <c r="B108" s="36"/>
      <c r="D108" t="str">
        <f>IF(C108="","",IFERROR(VLOOKUP(C108,OBLIGACION!A:D,4,0),""))</f>
        <v/>
      </c>
      <c r="E108" t="str">
        <f>IF(C108="","",IFERROR(VLOOKUP(C108,OBLIGACION!A:E,5,0),""))</f>
        <v/>
      </c>
      <c r="F108" t="str">
        <f>IF(C108="","",IFERROR(VLOOKUP(C108,OBLIGACION!A:F,6,0),""))</f>
        <v/>
      </c>
      <c r="G108" t="str">
        <f>IF(C108="","",IFERROR(VLOOKUP(C108,OBLIGACION!A:G,7,0),""))</f>
        <v/>
      </c>
      <c r="H108" s="35"/>
    </row>
    <row r="109" spans="2:8" x14ac:dyDescent="0.3">
      <c r="B109" s="36"/>
      <c r="D109" t="str">
        <f>IF(C109="","",IFERROR(VLOOKUP(C109,OBLIGACION!A:D,4,0),""))</f>
        <v/>
      </c>
      <c r="E109" t="str">
        <f>IF(C109="","",IFERROR(VLOOKUP(C109,OBLIGACION!A:E,5,0),""))</f>
        <v/>
      </c>
      <c r="F109" t="str">
        <f>IF(C109="","",IFERROR(VLOOKUP(C109,OBLIGACION!A:F,6,0),""))</f>
        <v/>
      </c>
      <c r="G109" t="str">
        <f>IF(C109="","",IFERROR(VLOOKUP(C109,OBLIGACION!A:G,7,0),""))</f>
        <v/>
      </c>
      <c r="H109" s="35"/>
    </row>
    <row r="110" spans="2:8" x14ac:dyDescent="0.3">
      <c r="B110" s="36"/>
      <c r="D110" t="str">
        <f>IF(C110="","",IFERROR(VLOOKUP(C110,OBLIGACION!A:D,4,0),""))</f>
        <v/>
      </c>
      <c r="E110" t="str">
        <f>IF(C110="","",IFERROR(VLOOKUP(C110,OBLIGACION!A:E,5,0),""))</f>
        <v/>
      </c>
      <c r="F110" t="str">
        <f>IF(C110="","",IFERROR(VLOOKUP(C110,OBLIGACION!A:F,6,0),""))</f>
        <v/>
      </c>
      <c r="G110" t="str">
        <f>IF(C110="","",IFERROR(VLOOKUP(C110,OBLIGACION!A:G,7,0),""))</f>
        <v/>
      </c>
      <c r="H110" s="35"/>
    </row>
    <row r="111" spans="2:8" x14ac:dyDescent="0.3">
      <c r="B111" s="36"/>
      <c r="D111" t="str">
        <f>IF(C111="","",IFERROR(VLOOKUP(C111,OBLIGACION!A:D,4,0),""))</f>
        <v/>
      </c>
      <c r="E111" t="str">
        <f>IF(C111="","",IFERROR(VLOOKUP(C111,OBLIGACION!A:E,5,0),""))</f>
        <v/>
      </c>
      <c r="F111" t="str">
        <f>IF(C111="","",IFERROR(VLOOKUP(C111,OBLIGACION!A:F,6,0),""))</f>
        <v/>
      </c>
      <c r="G111" t="str">
        <f>IF(C111="","",IFERROR(VLOOKUP(C111,OBLIGACION!A:G,7,0),""))</f>
        <v/>
      </c>
      <c r="H111" s="35"/>
    </row>
    <row r="112" spans="2:8" x14ac:dyDescent="0.3">
      <c r="B112" s="36"/>
      <c r="D112" t="str">
        <f>IF(C112="","",IFERROR(VLOOKUP(C112,OBLIGACION!A:D,4,0),""))</f>
        <v/>
      </c>
      <c r="E112" t="str">
        <f>IF(C112="","",IFERROR(VLOOKUP(C112,OBLIGACION!A:E,5,0),""))</f>
        <v/>
      </c>
      <c r="F112" t="str">
        <f>IF(C112="","",IFERROR(VLOOKUP(C112,OBLIGACION!A:F,6,0),""))</f>
        <v/>
      </c>
      <c r="G112" t="str">
        <f>IF(C112="","",IFERROR(VLOOKUP(C112,OBLIGACION!A:G,7,0),""))</f>
        <v/>
      </c>
      <c r="H112" s="35"/>
    </row>
    <row r="113" spans="2:8" x14ac:dyDescent="0.3">
      <c r="B113" s="36"/>
      <c r="D113" t="str">
        <f>IF(C113="","",IFERROR(VLOOKUP(C113,OBLIGACION!A:D,4,0),""))</f>
        <v/>
      </c>
      <c r="E113" t="str">
        <f>IF(C113="","",IFERROR(VLOOKUP(C113,OBLIGACION!A:E,5,0),""))</f>
        <v/>
      </c>
      <c r="F113" t="str">
        <f>IF(C113="","",IFERROR(VLOOKUP(C113,OBLIGACION!A:F,6,0),""))</f>
        <v/>
      </c>
      <c r="G113" t="str">
        <f>IF(C113="","",IFERROR(VLOOKUP(C113,OBLIGACION!A:G,7,0),""))</f>
        <v/>
      </c>
      <c r="H113" s="35"/>
    </row>
    <row r="114" spans="2:8" x14ac:dyDescent="0.3">
      <c r="B114" s="36"/>
      <c r="D114" t="str">
        <f>IF(C114="","",IFERROR(VLOOKUP(C114,OBLIGACION!A:D,4,0),""))</f>
        <v/>
      </c>
      <c r="E114" t="str">
        <f>IF(C114="","",IFERROR(VLOOKUP(C114,OBLIGACION!A:E,5,0),""))</f>
        <v/>
      </c>
      <c r="F114" t="str">
        <f>IF(C114="","",IFERROR(VLOOKUP(C114,OBLIGACION!A:F,6,0),""))</f>
        <v/>
      </c>
      <c r="G114" t="str">
        <f>IF(C114="","",IFERROR(VLOOKUP(C114,OBLIGACION!A:G,7,0),""))</f>
        <v/>
      </c>
      <c r="H114" s="35"/>
    </row>
    <row r="115" spans="2:8" x14ac:dyDescent="0.3">
      <c r="B115" s="36"/>
      <c r="D115" t="str">
        <f>IF(C115="","",IFERROR(VLOOKUP(C115,OBLIGACION!A:D,4,0),""))</f>
        <v/>
      </c>
      <c r="E115" t="str">
        <f>IF(C115="","",IFERROR(VLOOKUP(C115,OBLIGACION!A:E,5,0),""))</f>
        <v/>
      </c>
      <c r="F115" t="str">
        <f>IF(C115="","",IFERROR(VLOOKUP(C115,OBLIGACION!A:F,6,0),""))</f>
        <v/>
      </c>
      <c r="G115" t="str">
        <f>IF(C115="","",IFERROR(VLOOKUP(C115,OBLIGACION!A:G,7,0),""))</f>
        <v/>
      </c>
      <c r="H115" s="35"/>
    </row>
    <row r="116" spans="2:8" x14ac:dyDescent="0.3">
      <c r="B116" s="36"/>
      <c r="D116" t="str">
        <f>IF(C116="","",IFERROR(VLOOKUP(C116,OBLIGACION!A:D,4,0),""))</f>
        <v/>
      </c>
      <c r="E116" t="str">
        <f>IF(C116="","",IFERROR(VLOOKUP(C116,OBLIGACION!A:E,5,0),""))</f>
        <v/>
      </c>
      <c r="F116" t="str">
        <f>IF(C116="","",IFERROR(VLOOKUP(C116,OBLIGACION!A:F,6,0),""))</f>
        <v/>
      </c>
      <c r="G116" t="str">
        <f>IF(C116="","",IFERROR(VLOOKUP(C116,OBLIGACION!A:G,7,0),""))</f>
        <v/>
      </c>
      <c r="H116" s="35"/>
    </row>
    <row r="117" spans="2:8" x14ac:dyDescent="0.3">
      <c r="B117" s="36"/>
      <c r="D117" t="str">
        <f>IF(C117="","",IFERROR(VLOOKUP(C117,OBLIGACION!A:D,4,0),""))</f>
        <v/>
      </c>
      <c r="E117" t="str">
        <f>IF(C117="","",IFERROR(VLOOKUP(C117,OBLIGACION!A:E,5,0),""))</f>
        <v/>
      </c>
      <c r="F117" t="str">
        <f>IF(C117="","",IFERROR(VLOOKUP(C117,OBLIGACION!A:F,6,0),""))</f>
        <v/>
      </c>
      <c r="G117" t="str">
        <f>IF(C117="","",IFERROR(VLOOKUP(C117,OBLIGACION!A:G,7,0),""))</f>
        <v/>
      </c>
      <c r="H117" s="35"/>
    </row>
    <row r="118" spans="2:8" x14ac:dyDescent="0.3">
      <c r="B118" s="36"/>
      <c r="D118" t="str">
        <f>IF(C118="","",IFERROR(VLOOKUP(C118,OBLIGACION!A:D,4,0),""))</f>
        <v/>
      </c>
      <c r="E118" t="str">
        <f>IF(C118="","",IFERROR(VLOOKUP(C118,OBLIGACION!A:E,5,0),""))</f>
        <v/>
      </c>
      <c r="F118" t="str">
        <f>IF(C118="","",IFERROR(VLOOKUP(C118,OBLIGACION!A:F,6,0),""))</f>
        <v/>
      </c>
      <c r="G118" t="str">
        <f>IF(C118="","",IFERROR(VLOOKUP(C118,OBLIGACION!A:G,7,0),""))</f>
        <v/>
      </c>
      <c r="H118" s="35"/>
    </row>
    <row r="119" spans="2:8" x14ac:dyDescent="0.3">
      <c r="B119" s="36"/>
      <c r="D119" t="str">
        <f>IF(C119="","",IFERROR(VLOOKUP(C119,OBLIGACION!A:D,4,0),""))</f>
        <v/>
      </c>
      <c r="E119" t="str">
        <f>IF(C119="","",IFERROR(VLOOKUP(C119,OBLIGACION!A:E,5,0),""))</f>
        <v/>
      </c>
      <c r="F119" t="str">
        <f>IF(C119="","",IFERROR(VLOOKUP(C119,OBLIGACION!A:F,6,0),""))</f>
        <v/>
      </c>
      <c r="G119" t="str">
        <f>IF(C119="","",IFERROR(VLOOKUP(C119,OBLIGACION!A:G,7,0),""))</f>
        <v/>
      </c>
      <c r="H119" s="35"/>
    </row>
    <row r="120" spans="2:8" x14ac:dyDescent="0.3">
      <c r="B120" s="36"/>
      <c r="D120" t="str">
        <f>IF(C120="","",IFERROR(VLOOKUP(C120,OBLIGACION!A:D,4,0),""))</f>
        <v/>
      </c>
      <c r="E120" t="str">
        <f>IF(C120="","",IFERROR(VLOOKUP(C120,OBLIGACION!A:E,5,0),""))</f>
        <v/>
      </c>
      <c r="F120" t="str">
        <f>IF(C120="","",IFERROR(VLOOKUP(C120,OBLIGACION!A:F,6,0),""))</f>
        <v/>
      </c>
      <c r="G120" t="str">
        <f>IF(C120="","",IFERROR(VLOOKUP(C120,OBLIGACION!A:G,7,0),""))</f>
        <v/>
      </c>
      <c r="H120" s="35"/>
    </row>
    <row r="121" spans="2:8" x14ac:dyDescent="0.3">
      <c r="B121" s="36"/>
      <c r="D121" t="str">
        <f>IF(C121="","",IFERROR(VLOOKUP(C121,OBLIGACION!A:D,4,0),""))</f>
        <v/>
      </c>
      <c r="E121" t="str">
        <f>IF(C121="","",IFERROR(VLOOKUP(C121,OBLIGACION!A:E,5,0),""))</f>
        <v/>
      </c>
      <c r="F121" t="str">
        <f>IF(C121="","",IFERROR(VLOOKUP(C121,OBLIGACION!A:F,6,0),""))</f>
        <v/>
      </c>
      <c r="G121" t="str">
        <f>IF(C121="","",IFERROR(VLOOKUP(C121,OBLIGACION!A:G,7,0),""))</f>
        <v/>
      </c>
      <c r="H121" s="35"/>
    </row>
    <row r="122" spans="2:8" x14ac:dyDescent="0.3">
      <c r="B122" s="36"/>
      <c r="D122" t="str">
        <f>IF(C122="","",IFERROR(VLOOKUP(C122,OBLIGACION!A:D,4,0),""))</f>
        <v/>
      </c>
      <c r="E122" t="str">
        <f>IF(C122="","",IFERROR(VLOOKUP(C122,OBLIGACION!A:E,5,0),""))</f>
        <v/>
      </c>
      <c r="F122" t="str">
        <f>IF(C122="","",IFERROR(VLOOKUP(C122,OBLIGACION!A:F,6,0),""))</f>
        <v/>
      </c>
      <c r="G122" t="str">
        <f>IF(C122="","",IFERROR(VLOOKUP(C122,OBLIGACION!A:G,7,0),""))</f>
        <v/>
      </c>
      <c r="H122" s="35"/>
    </row>
    <row r="123" spans="2:8" x14ac:dyDescent="0.3">
      <c r="B123" s="36"/>
      <c r="D123" t="str">
        <f>IF(C123="","",IFERROR(VLOOKUP(C123,OBLIGACION!A:D,4,0),""))</f>
        <v/>
      </c>
      <c r="E123" t="str">
        <f>IF(C123="","",IFERROR(VLOOKUP(C123,OBLIGACION!A:E,5,0),""))</f>
        <v/>
      </c>
      <c r="F123" t="str">
        <f>IF(C123="","",IFERROR(VLOOKUP(C123,OBLIGACION!A:F,6,0),""))</f>
        <v/>
      </c>
      <c r="G123" t="str">
        <f>IF(C123="","",IFERROR(VLOOKUP(C123,OBLIGACION!A:G,7,0),""))</f>
        <v/>
      </c>
      <c r="H123" s="35"/>
    </row>
    <row r="124" spans="2:8" x14ac:dyDescent="0.3">
      <c r="B124" s="36"/>
      <c r="D124" t="str">
        <f>IF(C124="","",IFERROR(VLOOKUP(C124,OBLIGACION!A:D,4,0),""))</f>
        <v/>
      </c>
      <c r="E124" t="str">
        <f>IF(C124="","",IFERROR(VLOOKUP(C124,OBLIGACION!A:E,5,0),""))</f>
        <v/>
      </c>
      <c r="F124" t="str">
        <f>IF(C124="","",IFERROR(VLOOKUP(C124,OBLIGACION!A:F,6,0),""))</f>
        <v/>
      </c>
      <c r="G124" t="str">
        <f>IF(C124="","",IFERROR(VLOOKUP(C124,OBLIGACION!A:G,7,0),""))</f>
        <v/>
      </c>
      <c r="H124" s="35"/>
    </row>
    <row r="125" spans="2:8" x14ac:dyDescent="0.3">
      <c r="B125" s="36"/>
      <c r="D125" t="str">
        <f>IF(C125="","",IFERROR(VLOOKUP(C125,OBLIGACION!A:D,4,0),""))</f>
        <v/>
      </c>
      <c r="E125" t="str">
        <f>IF(C125="","",IFERROR(VLOOKUP(C125,OBLIGACION!A:E,5,0),""))</f>
        <v/>
      </c>
      <c r="F125" t="str">
        <f>IF(C125="","",IFERROR(VLOOKUP(C125,OBLIGACION!A:F,6,0),""))</f>
        <v/>
      </c>
      <c r="G125" t="str">
        <f>IF(C125="","",IFERROR(VLOOKUP(C125,OBLIGACION!A:G,7,0),""))</f>
        <v/>
      </c>
      <c r="H125" s="35"/>
    </row>
    <row r="126" spans="2:8" x14ac:dyDescent="0.3">
      <c r="B126" s="36"/>
      <c r="D126" t="str">
        <f>IF(C126="","",IFERROR(VLOOKUP(C126,OBLIGACION!A:D,4,0),""))</f>
        <v/>
      </c>
      <c r="E126" t="str">
        <f>IF(C126="","",IFERROR(VLOOKUP(C126,OBLIGACION!A:E,5,0),""))</f>
        <v/>
      </c>
      <c r="F126" t="str">
        <f>IF(C126="","",IFERROR(VLOOKUP(C126,OBLIGACION!A:F,6,0),""))</f>
        <v/>
      </c>
      <c r="G126" t="str">
        <f>IF(C126="","",IFERROR(VLOOKUP(C126,OBLIGACION!A:G,7,0),""))</f>
        <v/>
      </c>
      <c r="H126" s="35"/>
    </row>
    <row r="127" spans="2:8" x14ac:dyDescent="0.3">
      <c r="B127" s="36"/>
      <c r="D127" t="str">
        <f>IF(C127="","",IFERROR(VLOOKUP(C127,OBLIGACION!A:D,4,0),""))</f>
        <v/>
      </c>
      <c r="E127" t="str">
        <f>IF(C127="","",IFERROR(VLOOKUP(C127,OBLIGACION!A:E,5,0),""))</f>
        <v/>
      </c>
      <c r="F127" t="str">
        <f>IF(C127="","",IFERROR(VLOOKUP(C127,OBLIGACION!A:F,6,0),""))</f>
        <v/>
      </c>
      <c r="G127" t="str">
        <f>IF(C127="","",IFERROR(VLOOKUP(C127,OBLIGACION!A:G,7,0),""))</f>
        <v/>
      </c>
      <c r="H127" s="35"/>
    </row>
    <row r="128" spans="2:8" x14ac:dyDescent="0.3">
      <c r="B128" s="36"/>
      <c r="D128" t="str">
        <f>IF(C128="","",IFERROR(VLOOKUP(C128,OBLIGACION!A:D,4,0),""))</f>
        <v/>
      </c>
      <c r="E128" t="str">
        <f>IF(C128="","",IFERROR(VLOOKUP(C128,OBLIGACION!A:E,5,0),""))</f>
        <v/>
      </c>
      <c r="F128" t="str">
        <f>IF(C128="","",IFERROR(VLOOKUP(C128,OBLIGACION!A:F,6,0),""))</f>
        <v/>
      </c>
      <c r="G128" t="str">
        <f>IF(C128="","",IFERROR(VLOOKUP(C128,OBLIGACION!A:G,7,0),""))</f>
        <v/>
      </c>
      <c r="H128" s="35"/>
    </row>
    <row r="129" spans="2:8" x14ac:dyDescent="0.3">
      <c r="B129" s="36"/>
      <c r="D129" t="str">
        <f>IF(C129="","",IFERROR(VLOOKUP(C129,OBLIGACION!A:D,4,0),""))</f>
        <v/>
      </c>
      <c r="E129" t="str">
        <f>IF(C129="","",IFERROR(VLOOKUP(C129,OBLIGACION!A:E,5,0),""))</f>
        <v/>
      </c>
      <c r="F129" t="str">
        <f>IF(C129="","",IFERROR(VLOOKUP(C129,OBLIGACION!A:F,6,0),""))</f>
        <v/>
      </c>
      <c r="G129" t="str">
        <f>IF(C129="","",IFERROR(VLOOKUP(C129,OBLIGACION!A:G,7,0),""))</f>
        <v/>
      </c>
      <c r="H129" s="35"/>
    </row>
    <row r="130" spans="2:8" x14ac:dyDescent="0.3">
      <c r="B130" s="36"/>
      <c r="D130" t="str">
        <f>IF(C130="","",IFERROR(VLOOKUP(C130,OBLIGACION!A:D,4,0),""))</f>
        <v/>
      </c>
      <c r="E130" t="str">
        <f>IF(C130="","",IFERROR(VLOOKUP(C130,OBLIGACION!A:E,5,0),""))</f>
        <v/>
      </c>
      <c r="F130" t="str">
        <f>IF(C130="","",IFERROR(VLOOKUP(C130,OBLIGACION!A:F,6,0),""))</f>
        <v/>
      </c>
      <c r="G130" t="str">
        <f>IF(C130="","",IFERROR(VLOOKUP(C130,OBLIGACION!A:G,7,0),""))</f>
        <v/>
      </c>
      <c r="H130" s="35"/>
    </row>
    <row r="131" spans="2:8" x14ac:dyDescent="0.3">
      <c r="B131" s="36"/>
      <c r="D131" t="str">
        <f>IF(C131="","",IFERROR(VLOOKUP(C131,OBLIGACION!A:D,4,0),""))</f>
        <v/>
      </c>
      <c r="E131" t="str">
        <f>IF(C131="","",IFERROR(VLOOKUP(C131,OBLIGACION!A:E,5,0),""))</f>
        <v/>
      </c>
      <c r="F131" t="str">
        <f>IF(C131="","",IFERROR(VLOOKUP(C131,OBLIGACION!A:F,6,0),""))</f>
        <v/>
      </c>
      <c r="G131" t="str">
        <f>IF(C131="","",IFERROR(VLOOKUP(C131,OBLIGACION!A:G,7,0),""))</f>
        <v/>
      </c>
      <c r="H131" s="35"/>
    </row>
    <row r="132" spans="2:8" x14ac:dyDescent="0.3">
      <c r="B132" s="36"/>
      <c r="D132" t="str">
        <f>IF(C132="","",IFERROR(VLOOKUP(C132,OBLIGACION!A:D,4,0),""))</f>
        <v/>
      </c>
      <c r="E132" t="str">
        <f>IF(C132="","",IFERROR(VLOOKUP(C132,OBLIGACION!A:E,5,0),""))</f>
        <v/>
      </c>
      <c r="F132" t="str">
        <f>IF(C132="","",IFERROR(VLOOKUP(C132,OBLIGACION!A:F,6,0),""))</f>
        <v/>
      </c>
      <c r="G132" t="str">
        <f>IF(C132="","",IFERROR(VLOOKUP(C132,OBLIGACION!A:G,7,0),""))</f>
        <v/>
      </c>
      <c r="H132" s="35"/>
    </row>
    <row r="133" spans="2:8" x14ac:dyDescent="0.3">
      <c r="B133" s="36"/>
      <c r="D133" t="str">
        <f>IF(C133="","",IFERROR(VLOOKUP(C133,OBLIGACION!A:D,4,0),""))</f>
        <v/>
      </c>
      <c r="E133" t="str">
        <f>IF(C133="","",IFERROR(VLOOKUP(C133,OBLIGACION!A:E,5,0),""))</f>
        <v/>
      </c>
      <c r="F133" t="str">
        <f>IF(C133="","",IFERROR(VLOOKUP(C133,OBLIGACION!A:F,6,0),""))</f>
        <v/>
      </c>
      <c r="G133" t="str">
        <f>IF(C133="","",IFERROR(VLOOKUP(C133,OBLIGACION!A:G,7,0),""))</f>
        <v/>
      </c>
      <c r="H133" s="35"/>
    </row>
    <row r="134" spans="2:8" x14ac:dyDescent="0.3">
      <c r="B134" s="36"/>
      <c r="D134" t="str">
        <f>IF(C134="","",IFERROR(VLOOKUP(C134,OBLIGACION!A:D,4,0),""))</f>
        <v/>
      </c>
      <c r="E134" t="str">
        <f>IF(C134="","",IFERROR(VLOOKUP(C134,OBLIGACION!A:E,5,0),""))</f>
        <v/>
      </c>
      <c r="F134" t="str">
        <f>IF(C134="","",IFERROR(VLOOKUP(C134,OBLIGACION!A:F,6,0),""))</f>
        <v/>
      </c>
      <c r="G134" t="str">
        <f>IF(C134="","",IFERROR(VLOOKUP(C134,OBLIGACION!A:G,7,0),""))</f>
        <v/>
      </c>
      <c r="H134" s="35"/>
    </row>
    <row r="135" spans="2:8" x14ac:dyDescent="0.3">
      <c r="B135" s="36"/>
      <c r="D135" t="str">
        <f>IF(C135="","",IFERROR(VLOOKUP(C135,OBLIGACION!A:D,4,0),""))</f>
        <v/>
      </c>
      <c r="E135" t="str">
        <f>IF(C135="","",IFERROR(VLOOKUP(C135,OBLIGACION!A:E,5,0),""))</f>
        <v/>
      </c>
      <c r="F135" t="str">
        <f>IF(C135="","",IFERROR(VLOOKUP(C135,OBLIGACION!A:F,6,0),""))</f>
        <v/>
      </c>
      <c r="G135" t="str">
        <f>IF(C135="","",IFERROR(VLOOKUP(C135,OBLIGACION!A:G,7,0),""))</f>
        <v/>
      </c>
      <c r="H135" s="35"/>
    </row>
    <row r="136" spans="2:8" x14ac:dyDescent="0.3">
      <c r="B136" s="36"/>
      <c r="D136" t="str">
        <f>IF(C136="","",IFERROR(VLOOKUP(C136,OBLIGACION!A:D,4,0),""))</f>
        <v/>
      </c>
      <c r="E136" t="str">
        <f>IF(C136="","",IFERROR(VLOOKUP(C136,OBLIGACION!A:E,5,0),""))</f>
        <v/>
      </c>
      <c r="F136" t="str">
        <f>IF(C136="","",IFERROR(VLOOKUP(C136,OBLIGACION!A:F,6,0),""))</f>
        <v/>
      </c>
      <c r="G136" t="str">
        <f>IF(C136="","",IFERROR(VLOOKUP(C136,OBLIGACION!A:G,7,0),""))</f>
        <v/>
      </c>
      <c r="H136" s="35"/>
    </row>
    <row r="137" spans="2:8" x14ac:dyDescent="0.3">
      <c r="B137" s="36"/>
      <c r="D137" t="str">
        <f>IF(C137="","",IFERROR(VLOOKUP(C137,OBLIGACION!A:D,4,0),""))</f>
        <v/>
      </c>
      <c r="E137" t="str">
        <f>IF(C137="","",IFERROR(VLOOKUP(C137,OBLIGACION!A:E,5,0),""))</f>
        <v/>
      </c>
      <c r="F137" t="str">
        <f>IF(C137="","",IFERROR(VLOOKUP(C137,OBLIGACION!A:F,6,0),""))</f>
        <v/>
      </c>
      <c r="G137" t="str">
        <f>IF(C137="","",IFERROR(VLOOKUP(C137,OBLIGACION!A:G,7,0),""))</f>
        <v/>
      </c>
      <c r="H137" s="35"/>
    </row>
    <row r="138" spans="2:8" x14ac:dyDescent="0.3">
      <c r="B138" s="36"/>
      <c r="D138" t="str">
        <f>IF(C138="","",IFERROR(VLOOKUP(C138,OBLIGACION!A:D,4,0),""))</f>
        <v/>
      </c>
      <c r="E138" t="str">
        <f>IF(C138="","",IFERROR(VLOOKUP(C138,OBLIGACION!A:E,5,0),""))</f>
        <v/>
      </c>
      <c r="F138" t="str">
        <f>IF(C138="","",IFERROR(VLOOKUP(C138,OBLIGACION!A:F,6,0),""))</f>
        <v/>
      </c>
      <c r="G138" t="str">
        <f>IF(C138="","",IFERROR(VLOOKUP(C138,OBLIGACION!A:G,7,0),""))</f>
        <v/>
      </c>
      <c r="H138" s="35"/>
    </row>
    <row r="139" spans="2:8" x14ac:dyDescent="0.3">
      <c r="B139" s="36"/>
      <c r="D139" t="str">
        <f>IF(C139="","",IFERROR(VLOOKUP(C139,OBLIGACION!A:D,4,0),""))</f>
        <v/>
      </c>
      <c r="E139" t="str">
        <f>IF(C139="","",IFERROR(VLOOKUP(C139,OBLIGACION!A:E,5,0),""))</f>
        <v/>
      </c>
      <c r="F139" t="str">
        <f>IF(C139="","",IFERROR(VLOOKUP(C139,OBLIGACION!A:F,6,0),""))</f>
        <v/>
      </c>
      <c r="G139" t="str">
        <f>IF(C139="","",IFERROR(VLOOKUP(C139,OBLIGACION!A:G,7,0),""))</f>
        <v/>
      </c>
      <c r="H139" s="35"/>
    </row>
    <row r="140" spans="2:8" x14ac:dyDescent="0.3">
      <c r="B140" s="36"/>
      <c r="D140" t="str">
        <f>IF(C140="","",IFERROR(VLOOKUP(C140,OBLIGACION!A:D,4,0),""))</f>
        <v/>
      </c>
      <c r="E140" t="str">
        <f>IF(C140="","",IFERROR(VLOOKUP(C140,OBLIGACION!A:E,5,0),""))</f>
        <v/>
      </c>
      <c r="F140" t="str">
        <f>IF(C140="","",IFERROR(VLOOKUP(C140,OBLIGACION!A:F,6,0),""))</f>
        <v/>
      </c>
      <c r="G140" t="str">
        <f>IF(C140="","",IFERROR(VLOOKUP(C140,OBLIGACION!A:G,7,0),""))</f>
        <v/>
      </c>
      <c r="H140" s="35"/>
    </row>
    <row r="141" spans="2:8" x14ac:dyDescent="0.3">
      <c r="B141" s="36"/>
      <c r="D141" t="str">
        <f>IF(C141="","",IFERROR(VLOOKUP(C141,OBLIGACION!A:D,4,0),""))</f>
        <v/>
      </c>
      <c r="E141" t="str">
        <f>IF(C141="","",IFERROR(VLOOKUP(C141,OBLIGACION!A:E,5,0),""))</f>
        <v/>
      </c>
      <c r="F141" t="str">
        <f>IF(C141="","",IFERROR(VLOOKUP(C141,OBLIGACION!A:F,6,0),""))</f>
        <v/>
      </c>
      <c r="G141" t="str">
        <f>IF(C141="","",IFERROR(VLOOKUP(C141,OBLIGACION!A:G,7,0),""))</f>
        <v/>
      </c>
      <c r="H141" s="35"/>
    </row>
    <row r="142" spans="2:8" x14ac:dyDescent="0.3">
      <c r="B142" s="36"/>
      <c r="D142" t="str">
        <f>IF(C142="","",IFERROR(VLOOKUP(C142,OBLIGACION!A:D,4,0),""))</f>
        <v/>
      </c>
      <c r="E142" t="str">
        <f>IF(C142="","",IFERROR(VLOOKUP(C142,OBLIGACION!A:E,5,0),""))</f>
        <v/>
      </c>
      <c r="F142" t="str">
        <f>IF(C142="","",IFERROR(VLOOKUP(C142,OBLIGACION!A:F,6,0),""))</f>
        <v/>
      </c>
      <c r="G142" t="str">
        <f>IF(C142="","",IFERROR(VLOOKUP(C142,OBLIGACION!A:G,7,0),""))</f>
        <v/>
      </c>
      <c r="H142" s="35"/>
    </row>
    <row r="143" spans="2:8" x14ac:dyDescent="0.3">
      <c r="B143" s="36"/>
      <c r="D143" t="str">
        <f>IF(C143="","",IFERROR(VLOOKUP(C143,OBLIGACION!A:D,4,0),""))</f>
        <v/>
      </c>
      <c r="E143" t="str">
        <f>IF(C143="","",IFERROR(VLOOKUP(C143,OBLIGACION!A:E,5,0),""))</f>
        <v/>
      </c>
      <c r="F143" t="str">
        <f>IF(C143="","",IFERROR(VLOOKUP(C143,OBLIGACION!A:F,6,0),""))</f>
        <v/>
      </c>
      <c r="G143" t="str">
        <f>IF(C143="","",IFERROR(VLOOKUP(C143,OBLIGACION!A:G,7,0),""))</f>
        <v/>
      </c>
      <c r="H143" s="35"/>
    </row>
    <row r="144" spans="2:8" x14ac:dyDescent="0.3">
      <c r="B144" s="36"/>
      <c r="D144" t="str">
        <f>IF(C144="","",IFERROR(VLOOKUP(C144,OBLIGACION!A:D,4,0),""))</f>
        <v/>
      </c>
      <c r="E144" t="str">
        <f>IF(C144="","",IFERROR(VLOOKUP(C144,OBLIGACION!A:E,5,0),""))</f>
        <v/>
      </c>
      <c r="F144" t="str">
        <f>IF(C144="","",IFERROR(VLOOKUP(C144,OBLIGACION!A:F,6,0),""))</f>
        <v/>
      </c>
      <c r="G144" t="str">
        <f>IF(C144="","",IFERROR(VLOOKUP(C144,OBLIGACION!A:G,7,0),""))</f>
        <v/>
      </c>
      <c r="H144" s="35"/>
    </row>
    <row r="145" spans="2:8" x14ac:dyDescent="0.3">
      <c r="B145" s="36"/>
      <c r="D145" t="str">
        <f>IF(C145="","",IFERROR(VLOOKUP(C145,OBLIGACION!A:D,4,0),""))</f>
        <v/>
      </c>
      <c r="E145" t="str">
        <f>IF(C145="","",IFERROR(VLOOKUP(C145,OBLIGACION!A:E,5,0),""))</f>
        <v/>
      </c>
      <c r="F145" t="str">
        <f>IF(C145="","",IFERROR(VLOOKUP(C145,OBLIGACION!A:F,6,0),""))</f>
        <v/>
      </c>
      <c r="G145" t="str">
        <f>IF(C145="","",IFERROR(VLOOKUP(C145,OBLIGACION!A:G,7,0),""))</f>
        <v/>
      </c>
      <c r="H145" s="35"/>
    </row>
    <row r="146" spans="2:8" x14ac:dyDescent="0.3">
      <c r="B146" s="36"/>
      <c r="D146" t="str">
        <f>IF(C146="","",IFERROR(VLOOKUP(C146,OBLIGACION!A:D,4,0),""))</f>
        <v/>
      </c>
      <c r="E146" t="str">
        <f>IF(C146="","",IFERROR(VLOOKUP(C146,OBLIGACION!A:E,5,0),""))</f>
        <v/>
      </c>
      <c r="F146" t="str">
        <f>IF(C146="","",IFERROR(VLOOKUP(C146,OBLIGACION!A:F,6,0),""))</f>
        <v/>
      </c>
      <c r="G146" t="str">
        <f>IF(C146="","",IFERROR(VLOOKUP(C146,OBLIGACION!A:G,7,0),""))</f>
        <v/>
      </c>
      <c r="H146" s="35"/>
    </row>
    <row r="147" spans="2:8" x14ac:dyDescent="0.3">
      <c r="B147" s="36"/>
      <c r="D147" t="str">
        <f>IF(C147="","",IFERROR(VLOOKUP(C147,OBLIGACION!A:D,4,0),""))</f>
        <v/>
      </c>
      <c r="E147" t="str">
        <f>IF(C147="","",IFERROR(VLOOKUP(C147,OBLIGACION!A:E,5,0),""))</f>
        <v/>
      </c>
      <c r="F147" t="str">
        <f>IF(C147="","",IFERROR(VLOOKUP(C147,OBLIGACION!A:F,6,0),""))</f>
        <v/>
      </c>
      <c r="G147" t="str">
        <f>IF(C147="","",IFERROR(VLOOKUP(C147,OBLIGACION!A:G,7,0),""))</f>
        <v/>
      </c>
      <c r="H147" s="35"/>
    </row>
    <row r="148" spans="2:8" x14ac:dyDescent="0.3">
      <c r="B148" s="36"/>
      <c r="D148" t="str">
        <f>IF(C148="","",IFERROR(VLOOKUP(C148,OBLIGACION!A:D,4,0),""))</f>
        <v/>
      </c>
      <c r="E148" t="str">
        <f>IF(C148="","",IFERROR(VLOOKUP(C148,OBLIGACION!A:E,5,0),""))</f>
        <v/>
      </c>
      <c r="F148" t="str">
        <f>IF(C148="","",IFERROR(VLOOKUP(C148,OBLIGACION!A:F,6,0),""))</f>
        <v/>
      </c>
      <c r="G148" t="str">
        <f>IF(C148="","",IFERROR(VLOOKUP(C148,OBLIGACION!A:G,7,0),""))</f>
        <v/>
      </c>
      <c r="H148" s="35"/>
    </row>
    <row r="149" spans="2:8" x14ac:dyDescent="0.3">
      <c r="B149" s="36"/>
      <c r="D149" t="str">
        <f>IF(C149="","",IFERROR(VLOOKUP(C149,OBLIGACION!A:D,4,0),""))</f>
        <v/>
      </c>
      <c r="E149" t="str">
        <f>IF(C149="","",IFERROR(VLOOKUP(C149,OBLIGACION!A:E,5,0),""))</f>
        <v/>
      </c>
      <c r="F149" t="str">
        <f>IF(C149="","",IFERROR(VLOOKUP(C149,OBLIGACION!A:F,6,0),""))</f>
        <v/>
      </c>
      <c r="G149" t="str">
        <f>IF(C149="","",IFERROR(VLOOKUP(C149,OBLIGACION!A:G,7,0),""))</f>
        <v/>
      </c>
      <c r="H149" s="35"/>
    </row>
    <row r="150" spans="2:8" x14ac:dyDescent="0.3">
      <c r="B150" s="36"/>
      <c r="D150" t="str">
        <f>IF(C150="","",IFERROR(VLOOKUP(C150,OBLIGACION!A:D,4,0),""))</f>
        <v/>
      </c>
      <c r="E150" t="str">
        <f>IF(C150="","",IFERROR(VLOOKUP(C150,OBLIGACION!A:E,5,0),""))</f>
        <v/>
      </c>
      <c r="F150" t="str">
        <f>IF(C150="","",IFERROR(VLOOKUP(C150,OBLIGACION!A:F,6,0),""))</f>
        <v/>
      </c>
      <c r="G150" t="str">
        <f>IF(C150="","",IFERROR(VLOOKUP(C150,OBLIGACION!A:G,7,0),""))</f>
        <v/>
      </c>
      <c r="H150" s="35"/>
    </row>
    <row r="151" spans="2:8" x14ac:dyDescent="0.3">
      <c r="B151" s="36"/>
      <c r="D151" t="str">
        <f>IF(C151="","",IFERROR(VLOOKUP(C151,OBLIGACION!A:D,4,0),""))</f>
        <v/>
      </c>
      <c r="E151" t="str">
        <f>IF(C151="","",IFERROR(VLOOKUP(C151,OBLIGACION!A:E,5,0),""))</f>
        <v/>
      </c>
      <c r="F151" t="str">
        <f>IF(C151="","",IFERROR(VLOOKUP(C151,OBLIGACION!A:F,6,0),""))</f>
        <v/>
      </c>
      <c r="G151" t="str">
        <f>IF(C151="","",IFERROR(VLOOKUP(C151,OBLIGACION!A:G,7,0),""))</f>
        <v/>
      </c>
      <c r="H151" s="35"/>
    </row>
    <row r="152" spans="2:8" x14ac:dyDescent="0.3">
      <c r="B152" s="36"/>
      <c r="D152" t="str">
        <f>IF(C152="","",IFERROR(VLOOKUP(C152,OBLIGACION!A:D,4,0),""))</f>
        <v/>
      </c>
      <c r="E152" t="str">
        <f>IF(C152="","",IFERROR(VLOOKUP(C152,OBLIGACION!A:E,5,0),""))</f>
        <v/>
      </c>
      <c r="F152" t="str">
        <f>IF(C152="","",IFERROR(VLOOKUP(C152,OBLIGACION!A:F,6,0),""))</f>
        <v/>
      </c>
      <c r="G152" t="str">
        <f>IF(C152="","",IFERROR(VLOOKUP(C152,OBLIGACION!A:G,7,0),""))</f>
        <v/>
      </c>
      <c r="H152" s="35"/>
    </row>
    <row r="153" spans="2:8" x14ac:dyDescent="0.3">
      <c r="B153" s="36"/>
      <c r="D153" t="str">
        <f>IF(C153="","",IFERROR(VLOOKUP(C153,OBLIGACION!A:D,4,0),""))</f>
        <v/>
      </c>
      <c r="E153" t="str">
        <f>IF(C153="","",IFERROR(VLOOKUP(C153,OBLIGACION!A:E,5,0),""))</f>
        <v/>
      </c>
      <c r="F153" t="str">
        <f>IF(C153="","",IFERROR(VLOOKUP(C153,OBLIGACION!A:F,6,0),""))</f>
        <v/>
      </c>
      <c r="G153" t="str">
        <f>IF(C153="","",IFERROR(VLOOKUP(C153,OBLIGACION!A:G,7,0),""))</f>
        <v/>
      </c>
      <c r="H153" s="35"/>
    </row>
    <row r="154" spans="2:8" x14ac:dyDescent="0.3">
      <c r="B154" s="36"/>
      <c r="D154" t="str">
        <f>IF(C154="","",IFERROR(VLOOKUP(C154,OBLIGACION!A:D,4,0),""))</f>
        <v/>
      </c>
      <c r="E154" t="str">
        <f>IF(C154="","",IFERROR(VLOOKUP(C154,OBLIGACION!A:E,5,0),""))</f>
        <v/>
      </c>
      <c r="F154" t="str">
        <f>IF(C154="","",IFERROR(VLOOKUP(C154,OBLIGACION!A:F,6,0),""))</f>
        <v/>
      </c>
      <c r="G154" t="str">
        <f>IF(C154="","",IFERROR(VLOOKUP(C154,OBLIGACION!A:G,7,0),""))</f>
        <v/>
      </c>
      <c r="H154" s="35"/>
    </row>
    <row r="155" spans="2:8" x14ac:dyDescent="0.3">
      <c r="B155" s="36"/>
      <c r="D155" t="str">
        <f>IF(C155="","",IFERROR(VLOOKUP(C155,OBLIGACION!A:D,4,0),""))</f>
        <v/>
      </c>
      <c r="E155" t="str">
        <f>IF(C155="","",IFERROR(VLOOKUP(C155,OBLIGACION!A:E,5,0),""))</f>
        <v/>
      </c>
      <c r="F155" t="str">
        <f>IF(C155="","",IFERROR(VLOOKUP(C155,OBLIGACION!A:F,6,0),""))</f>
        <v/>
      </c>
      <c r="G155" t="str">
        <f>IF(C155="","",IFERROR(VLOOKUP(C155,OBLIGACION!A:G,7,0),""))</f>
        <v/>
      </c>
      <c r="H155" s="35"/>
    </row>
    <row r="156" spans="2:8" x14ac:dyDescent="0.3">
      <c r="B156" s="36"/>
      <c r="D156" t="str">
        <f>IF(C156="","",IFERROR(VLOOKUP(C156,OBLIGACION!A:D,4,0),""))</f>
        <v/>
      </c>
      <c r="E156" t="str">
        <f>IF(C156="","",IFERROR(VLOOKUP(C156,OBLIGACION!A:E,5,0),""))</f>
        <v/>
      </c>
      <c r="F156" t="str">
        <f>IF(C156="","",IFERROR(VLOOKUP(C156,OBLIGACION!A:F,6,0),""))</f>
        <v/>
      </c>
      <c r="G156" t="str">
        <f>IF(C156="","",IFERROR(VLOOKUP(C156,OBLIGACION!A:G,7,0),""))</f>
        <v/>
      </c>
      <c r="H156" s="35"/>
    </row>
    <row r="157" spans="2:8" x14ac:dyDescent="0.3">
      <c r="B157" s="36"/>
      <c r="D157" t="str">
        <f>IF(C157="","",IFERROR(VLOOKUP(C157,OBLIGACION!A:D,4,0),""))</f>
        <v/>
      </c>
      <c r="E157" t="str">
        <f>IF(C157="","",IFERROR(VLOOKUP(C157,OBLIGACION!A:E,5,0),""))</f>
        <v/>
      </c>
      <c r="F157" t="str">
        <f>IF(C157="","",IFERROR(VLOOKUP(C157,OBLIGACION!A:F,6,0),""))</f>
        <v/>
      </c>
      <c r="G157" t="str">
        <f>IF(C157="","",IFERROR(VLOOKUP(C157,OBLIGACION!A:G,7,0),""))</f>
        <v/>
      </c>
      <c r="H157" s="35"/>
    </row>
    <row r="158" spans="2:8" x14ac:dyDescent="0.3">
      <c r="B158" s="36"/>
      <c r="D158" t="str">
        <f>IF(C158="","",IFERROR(VLOOKUP(C158,OBLIGACION!A:D,4,0),""))</f>
        <v/>
      </c>
      <c r="E158" t="str">
        <f>IF(C158="","",IFERROR(VLOOKUP(C158,OBLIGACION!A:E,5,0),""))</f>
        <v/>
      </c>
      <c r="F158" t="str">
        <f>IF(C158="","",IFERROR(VLOOKUP(C158,OBLIGACION!A:F,6,0),""))</f>
        <v/>
      </c>
      <c r="G158" t="str">
        <f>IF(C158="","",IFERROR(VLOOKUP(C158,OBLIGACION!A:G,7,0),""))</f>
        <v/>
      </c>
      <c r="H158" s="35"/>
    </row>
    <row r="159" spans="2:8" x14ac:dyDescent="0.3">
      <c r="B159" s="36"/>
      <c r="D159" t="str">
        <f>IF(C159="","",IFERROR(VLOOKUP(C159,OBLIGACION!A:D,4,0),""))</f>
        <v/>
      </c>
      <c r="E159" t="str">
        <f>IF(C159="","",IFERROR(VLOOKUP(C159,OBLIGACION!A:E,5,0),""))</f>
        <v/>
      </c>
      <c r="F159" t="str">
        <f>IF(C159="","",IFERROR(VLOOKUP(C159,OBLIGACION!A:F,6,0),""))</f>
        <v/>
      </c>
      <c r="G159" t="str">
        <f>IF(C159="","",IFERROR(VLOOKUP(C159,OBLIGACION!A:G,7,0),""))</f>
        <v/>
      </c>
      <c r="H159" s="35"/>
    </row>
    <row r="160" spans="2:8" x14ac:dyDescent="0.3">
      <c r="B160" s="36"/>
      <c r="D160" t="str">
        <f>IF(C160="","",IFERROR(VLOOKUP(C160,OBLIGACION!A:D,4,0),""))</f>
        <v/>
      </c>
      <c r="E160" t="str">
        <f>IF(C160="","",IFERROR(VLOOKUP(C160,OBLIGACION!A:E,5,0),""))</f>
        <v/>
      </c>
      <c r="F160" t="str">
        <f>IF(C160="","",IFERROR(VLOOKUP(C160,OBLIGACION!A:F,6,0),""))</f>
        <v/>
      </c>
      <c r="G160" t="str">
        <f>IF(C160="","",IFERROR(VLOOKUP(C160,OBLIGACION!A:G,7,0),""))</f>
        <v/>
      </c>
      <c r="H160" s="35"/>
    </row>
    <row r="161" spans="2:8" x14ac:dyDescent="0.3">
      <c r="B161" s="36"/>
      <c r="D161" t="str">
        <f>IF(C161="","",IFERROR(VLOOKUP(C161,OBLIGACION!A:D,4,0),""))</f>
        <v/>
      </c>
      <c r="E161" t="str">
        <f>IF(C161="","",IFERROR(VLOOKUP(C161,OBLIGACION!A:E,5,0),""))</f>
        <v/>
      </c>
      <c r="F161" t="str">
        <f>IF(C161="","",IFERROR(VLOOKUP(C161,OBLIGACION!A:F,6,0),""))</f>
        <v/>
      </c>
      <c r="G161" t="str">
        <f>IF(C161="","",IFERROR(VLOOKUP(C161,OBLIGACION!A:G,7,0),""))</f>
        <v/>
      </c>
      <c r="H161" s="35"/>
    </row>
    <row r="162" spans="2:8" x14ac:dyDescent="0.3">
      <c r="B162" s="36"/>
      <c r="D162" t="str">
        <f>IF(C162="","",IFERROR(VLOOKUP(C162,OBLIGACION!A:D,4,0),""))</f>
        <v/>
      </c>
      <c r="E162" t="str">
        <f>IF(C162="","",IFERROR(VLOOKUP(C162,OBLIGACION!A:E,5,0),""))</f>
        <v/>
      </c>
      <c r="F162" t="str">
        <f>IF(C162="","",IFERROR(VLOOKUP(C162,OBLIGACION!A:F,6,0),""))</f>
        <v/>
      </c>
      <c r="G162" t="str">
        <f>IF(C162="","",IFERROR(VLOOKUP(C162,OBLIGACION!A:G,7,0),""))</f>
        <v/>
      </c>
      <c r="H162" s="35"/>
    </row>
    <row r="163" spans="2:8" x14ac:dyDescent="0.3">
      <c r="B163" s="36"/>
      <c r="D163" t="str">
        <f>IF(C163="","",IFERROR(VLOOKUP(C163,OBLIGACION!A:D,4,0),""))</f>
        <v/>
      </c>
      <c r="E163" t="str">
        <f>IF(C163="","",IFERROR(VLOOKUP(C163,OBLIGACION!A:E,5,0),""))</f>
        <v/>
      </c>
      <c r="F163" t="str">
        <f>IF(C163="","",IFERROR(VLOOKUP(C163,OBLIGACION!A:F,6,0),""))</f>
        <v/>
      </c>
      <c r="G163" t="str">
        <f>IF(C163="","",IFERROR(VLOOKUP(C163,OBLIGACION!A:G,7,0),""))</f>
        <v/>
      </c>
      <c r="H163" s="35"/>
    </row>
    <row r="164" spans="2:8" x14ac:dyDescent="0.3">
      <c r="B164" s="36"/>
      <c r="D164" t="str">
        <f>IF(C164="","",IFERROR(VLOOKUP(C164,OBLIGACION!A:D,4,0),""))</f>
        <v/>
      </c>
      <c r="E164" t="str">
        <f>IF(C164="","",IFERROR(VLOOKUP(C164,OBLIGACION!A:E,5,0),""))</f>
        <v/>
      </c>
      <c r="F164" t="str">
        <f>IF(C164="","",IFERROR(VLOOKUP(C164,OBLIGACION!A:F,6,0),""))</f>
        <v/>
      </c>
      <c r="G164" t="str">
        <f>IF(C164="","",IFERROR(VLOOKUP(C164,OBLIGACION!A:G,7,0),""))</f>
        <v/>
      </c>
      <c r="H164" s="35"/>
    </row>
    <row r="165" spans="2:8" x14ac:dyDescent="0.3">
      <c r="B165" s="36"/>
      <c r="D165" t="str">
        <f>IF(C165="","",IFERROR(VLOOKUP(C165,OBLIGACION!A:D,4,0),""))</f>
        <v/>
      </c>
      <c r="E165" t="str">
        <f>IF(C165="","",IFERROR(VLOOKUP(C165,OBLIGACION!A:E,5,0),""))</f>
        <v/>
      </c>
      <c r="F165" t="str">
        <f>IF(C165="","",IFERROR(VLOOKUP(C165,OBLIGACION!A:F,6,0),""))</f>
        <v/>
      </c>
      <c r="G165" t="str">
        <f>IF(C165="","",IFERROR(VLOOKUP(C165,OBLIGACION!A:G,7,0),""))</f>
        <v/>
      </c>
      <c r="H165" s="35"/>
    </row>
    <row r="166" spans="2:8" x14ac:dyDescent="0.3">
      <c r="B166" s="36"/>
      <c r="D166" t="str">
        <f>IF(C166="","",IFERROR(VLOOKUP(C166,OBLIGACION!A:D,4,0),""))</f>
        <v/>
      </c>
      <c r="E166" t="str">
        <f>IF(C166="","",IFERROR(VLOOKUP(C166,OBLIGACION!A:E,5,0),""))</f>
        <v/>
      </c>
      <c r="F166" t="str">
        <f>IF(C166="","",IFERROR(VLOOKUP(C166,OBLIGACION!A:F,6,0),""))</f>
        <v/>
      </c>
      <c r="G166" t="str">
        <f>IF(C166="","",IFERROR(VLOOKUP(C166,OBLIGACION!A:G,7,0),""))</f>
        <v/>
      </c>
      <c r="H166" s="35"/>
    </row>
    <row r="167" spans="2:8" x14ac:dyDescent="0.3">
      <c r="B167" s="36"/>
      <c r="D167" t="str">
        <f>IF(C167="","",IFERROR(VLOOKUP(C167,OBLIGACION!A:D,4,0),""))</f>
        <v/>
      </c>
      <c r="E167" t="str">
        <f>IF(C167="","",IFERROR(VLOOKUP(C167,OBLIGACION!A:E,5,0),""))</f>
        <v/>
      </c>
      <c r="F167" t="str">
        <f>IF(C167="","",IFERROR(VLOOKUP(C167,OBLIGACION!A:F,6,0),""))</f>
        <v/>
      </c>
      <c r="G167" t="str">
        <f>IF(C167="","",IFERROR(VLOOKUP(C167,OBLIGACION!A:G,7,0),""))</f>
        <v/>
      </c>
      <c r="H167" s="35"/>
    </row>
    <row r="168" spans="2:8" x14ac:dyDescent="0.3">
      <c r="B168" s="36"/>
      <c r="D168" t="str">
        <f>IF(C168="","",IFERROR(VLOOKUP(C168,OBLIGACION!A:D,4,0),""))</f>
        <v/>
      </c>
      <c r="E168" t="str">
        <f>IF(C168="","",IFERROR(VLOOKUP(C168,OBLIGACION!A:E,5,0),""))</f>
        <v/>
      </c>
      <c r="F168" t="str">
        <f>IF(C168="","",IFERROR(VLOOKUP(C168,OBLIGACION!A:F,6,0),""))</f>
        <v/>
      </c>
      <c r="G168" t="str">
        <f>IF(C168="","",IFERROR(VLOOKUP(C168,OBLIGACION!A:G,7,0),""))</f>
        <v/>
      </c>
      <c r="H168" s="35"/>
    </row>
    <row r="169" spans="2:8" x14ac:dyDescent="0.3">
      <c r="B169" s="36"/>
      <c r="D169" t="str">
        <f>IF(C169="","",IFERROR(VLOOKUP(C169,OBLIGACION!A:D,4,0),""))</f>
        <v/>
      </c>
      <c r="E169" t="str">
        <f>IF(C169="","",IFERROR(VLOOKUP(C169,OBLIGACION!A:E,5,0),""))</f>
        <v/>
      </c>
      <c r="F169" t="str">
        <f>IF(C169="","",IFERROR(VLOOKUP(C169,OBLIGACION!A:F,6,0),""))</f>
        <v/>
      </c>
      <c r="G169" t="str">
        <f>IF(C169="","",IFERROR(VLOOKUP(C169,OBLIGACION!A:G,7,0),""))</f>
        <v/>
      </c>
      <c r="H169" s="35"/>
    </row>
    <row r="170" spans="2:8" x14ac:dyDescent="0.3">
      <c r="B170" s="36"/>
      <c r="D170" t="str">
        <f>IF(C170="","",IFERROR(VLOOKUP(C170,OBLIGACION!A:D,4,0),""))</f>
        <v/>
      </c>
      <c r="E170" t="str">
        <f>IF(C170="","",IFERROR(VLOOKUP(C170,OBLIGACION!A:E,5,0),""))</f>
        <v/>
      </c>
      <c r="F170" t="str">
        <f>IF(C170="","",IFERROR(VLOOKUP(C170,OBLIGACION!A:F,6,0),""))</f>
        <v/>
      </c>
      <c r="G170" t="str">
        <f>IF(C170="","",IFERROR(VLOOKUP(C170,OBLIGACION!A:G,7,0),""))</f>
        <v/>
      </c>
      <c r="H170" s="35"/>
    </row>
    <row r="171" spans="2:8" x14ac:dyDescent="0.3">
      <c r="B171" s="36"/>
      <c r="D171" t="str">
        <f>IF(C171="","",IFERROR(VLOOKUP(C171,OBLIGACION!A:D,4,0),""))</f>
        <v/>
      </c>
      <c r="E171" t="str">
        <f>IF(C171="","",IFERROR(VLOOKUP(C171,OBLIGACION!A:E,5,0),""))</f>
        <v/>
      </c>
      <c r="F171" t="str">
        <f>IF(C171="","",IFERROR(VLOOKUP(C171,OBLIGACION!A:F,6,0),""))</f>
        <v/>
      </c>
      <c r="G171" t="str">
        <f>IF(C171="","",IFERROR(VLOOKUP(C171,OBLIGACION!A:G,7,0),""))</f>
        <v/>
      </c>
      <c r="H171" s="35"/>
    </row>
    <row r="172" spans="2:8" x14ac:dyDescent="0.3">
      <c r="B172" s="36"/>
      <c r="D172" t="str">
        <f>IF(C172="","",IFERROR(VLOOKUP(C172,OBLIGACION!A:D,4,0),""))</f>
        <v/>
      </c>
      <c r="E172" t="str">
        <f>IF(C172="","",IFERROR(VLOOKUP(C172,OBLIGACION!A:E,5,0),""))</f>
        <v/>
      </c>
      <c r="F172" t="str">
        <f>IF(C172="","",IFERROR(VLOOKUP(C172,OBLIGACION!A:F,6,0),""))</f>
        <v/>
      </c>
      <c r="G172" t="str">
        <f>IF(C172="","",IFERROR(VLOOKUP(C172,OBLIGACION!A:G,7,0),""))</f>
        <v/>
      </c>
      <c r="H172" s="35"/>
    </row>
    <row r="173" spans="2:8" x14ac:dyDescent="0.3">
      <c r="B173" s="36"/>
      <c r="D173" t="str">
        <f>IF(C173="","",IFERROR(VLOOKUP(C173,OBLIGACION!A:D,4,0),""))</f>
        <v/>
      </c>
      <c r="E173" t="str">
        <f>IF(C173="","",IFERROR(VLOOKUP(C173,OBLIGACION!A:E,5,0),""))</f>
        <v/>
      </c>
      <c r="F173" t="str">
        <f>IF(C173="","",IFERROR(VLOOKUP(C173,OBLIGACION!A:F,6,0),""))</f>
        <v/>
      </c>
      <c r="G173" t="str">
        <f>IF(C173="","",IFERROR(VLOOKUP(C173,OBLIGACION!A:G,7,0),""))</f>
        <v/>
      </c>
      <c r="H173" s="35"/>
    </row>
    <row r="174" spans="2:8" x14ac:dyDescent="0.3">
      <c r="B174" s="36"/>
      <c r="D174" t="str">
        <f>IF(C174="","",IFERROR(VLOOKUP(C174,OBLIGACION!A:D,4,0),""))</f>
        <v/>
      </c>
      <c r="E174" t="str">
        <f>IF(C174="","",IFERROR(VLOOKUP(C174,OBLIGACION!A:E,5,0),""))</f>
        <v/>
      </c>
      <c r="F174" t="str">
        <f>IF(C174="","",IFERROR(VLOOKUP(C174,OBLIGACION!A:F,6,0),""))</f>
        <v/>
      </c>
      <c r="G174" t="str">
        <f>IF(C174="","",IFERROR(VLOOKUP(C174,OBLIGACION!A:G,7,0),""))</f>
        <v/>
      </c>
      <c r="H174" s="35"/>
    </row>
    <row r="175" spans="2:8" x14ac:dyDescent="0.3">
      <c r="B175" s="36"/>
      <c r="D175" t="str">
        <f>IF(C175="","",IFERROR(VLOOKUP(C175,OBLIGACION!A:D,4,0),""))</f>
        <v/>
      </c>
      <c r="E175" t="str">
        <f>IF(C175="","",IFERROR(VLOOKUP(C175,OBLIGACION!A:E,5,0),""))</f>
        <v/>
      </c>
      <c r="F175" t="str">
        <f>IF(C175="","",IFERROR(VLOOKUP(C175,OBLIGACION!A:F,6,0),""))</f>
        <v/>
      </c>
      <c r="G175" t="str">
        <f>IF(C175="","",IFERROR(VLOOKUP(C175,OBLIGACION!A:G,7,0),""))</f>
        <v/>
      </c>
      <c r="H175" s="35"/>
    </row>
    <row r="176" spans="2:8" x14ac:dyDescent="0.3">
      <c r="B176" s="36"/>
      <c r="D176" t="str">
        <f>IF(C176="","",IFERROR(VLOOKUP(C176,OBLIGACION!A:D,4,0),""))</f>
        <v/>
      </c>
      <c r="E176" t="str">
        <f>IF(C176="","",IFERROR(VLOOKUP(C176,OBLIGACION!A:E,5,0),""))</f>
        <v/>
      </c>
      <c r="F176" t="str">
        <f>IF(C176="","",IFERROR(VLOOKUP(C176,OBLIGACION!A:F,6,0),""))</f>
        <v/>
      </c>
      <c r="G176" t="str">
        <f>IF(C176="","",IFERROR(VLOOKUP(C176,OBLIGACION!A:G,7,0),""))</f>
        <v/>
      </c>
      <c r="H176" s="35"/>
    </row>
    <row r="177" spans="2:8" x14ac:dyDescent="0.3">
      <c r="B177" s="36"/>
      <c r="D177" t="str">
        <f>IF(C177="","",IFERROR(VLOOKUP(C177,OBLIGACION!A:D,4,0),""))</f>
        <v/>
      </c>
      <c r="E177" t="str">
        <f>IF(C177="","",IFERROR(VLOOKUP(C177,OBLIGACION!A:E,5,0),""))</f>
        <v/>
      </c>
      <c r="F177" t="str">
        <f>IF(C177="","",IFERROR(VLOOKUP(C177,OBLIGACION!A:F,6,0),""))</f>
        <v/>
      </c>
      <c r="G177" t="str">
        <f>IF(C177="","",IFERROR(VLOOKUP(C177,OBLIGACION!A:G,7,0),""))</f>
        <v/>
      </c>
      <c r="H177" s="35"/>
    </row>
    <row r="178" spans="2:8" x14ac:dyDescent="0.3">
      <c r="B178" s="36"/>
      <c r="D178" t="str">
        <f>IF(C178="","",IFERROR(VLOOKUP(C178,OBLIGACION!A:D,4,0),""))</f>
        <v/>
      </c>
      <c r="E178" t="str">
        <f>IF(C178="","",IFERROR(VLOOKUP(C178,OBLIGACION!A:E,5,0),""))</f>
        <v/>
      </c>
      <c r="F178" t="str">
        <f>IF(C178="","",IFERROR(VLOOKUP(C178,OBLIGACION!A:F,6,0),""))</f>
        <v/>
      </c>
      <c r="G178" t="str">
        <f>IF(C178="","",IFERROR(VLOOKUP(C178,OBLIGACION!A:G,7,0),""))</f>
        <v/>
      </c>
      <c r="H178" s="35"/>
    </row>
    <row r="179" spans="2:8" x14ac:dyDescent="0.3">
      <c r="B179" s="36"/>
      <c r="D179" t="str">
        <f>IF(C179="","",IFERROR(VLOOKUP(C179,OBLIGACION!A:D,4,0),""))</f>
        <v/>
      </c>
      <c r="E179" t="str">
        <f>IF(C179="","",IFERROR(VLOOKUP(C179,OBLIGACION!A:E,5,0),""))</f>
        <v/>
      </c>
      <c r="F179" t="str">
        <f>IF(C179="","",IFERROR(VLOOKUP(C179,OBLIGACION!A:F,6,0),""))</f>
        <v/>
      </c>
      <c r="G179" t="str">
        <f>IF(C179="","",IFERROR(VLOOKUP(C179,OBLIGACION!A:G,7,0),""))</f>
        <v/>
      </c>
      <c r="H179" s="35"/>
    </row>
    <row r="180" spans="2:8" x14ac:dyDescent="0.3">
      <c r="B180" s="36"/>
      <c r="D180" t="str">
        <f>IF(C180="","",IFERROR(VLOOKUP(C180,OBLIGACION!A:D,4,0),""))</f>
        <v/>
      </c>
      <c r="E180" t="str">
        <f>IF(C180="","",IFERROR(VLOOKUP(C180,OBLIGACION!A:E,5,0),""))</f>
        <v/>
      </c>
      <c r="F180" t="str">
        <f>IF(C180="","",IFERROR(VLOOKUP(C180,OBLIGACION!A:F,6,0),""))</f>
        <v/>
      </c>
      <c r="G180" t="str">
        <f>IF(C180="","",IFERROR(VLOOKUP(C180,OBLIGACION!A:G,7,0),""))</f>
        <v/>
      </c>
      <c r="H180" s="35"/>
    </row>
    <row r="181" spans="2:8" x14ac:dyDescent="0.3">
      <c r="B181" s="36"/>
      <c r="D181" t="str">
        <f>IF(C181="","",IFERROR(VLOOKUP(C181,OBLIGACION!A:D,4,0),""))</f>
        <v/>
      </c>
      <c r="E181" t="str">
        <f>IF(C181="","",IFERROR(VLOOKUP(C181,OBLIGACION!A:E,5,0),""))</f>
        <v/>
      </c>
      <c r="F181" t="str">
        <f>IF(C181="","",IFERROR(VLOOKUP(C181,OBLIGACION!A:F,6,0),""))</f>
        <v/>
      </c>
      <c r="G181" t="str">
        <f>IF(C181="","",IFERROR(VLOOKUP(C181,OBLIGACION!A:G,7,0),""))</f>
        <v/>
      </c>
      <c r="H181" s="35"/>
    </row>
    <row r="182" spans="2:8" x14ac:dyDescent="0.3">
      <c r="B182" s="36"/>
      <c r="D182" t="str">
        <f>IF(C182="","",IFERROR(VLOOKUP(C182,OBLIGACION!A:D,4,0),""))</f>
        <v/>
      </c>
      <c r="E182" t="str">
        <f>IF(C182="","",IFERROR(VLOOKUP(C182,OBLIGACION!A:E,5,0),""))</f>
        <v/>
      </c>
      <c r="F182" t="str">
        <f>IF(C182="","",IFERROR(VLOOKUP(C182,OBLIGACION!A:F,6,0),""))</f>
        <v/>
      </c>
      <c r="G182" t="str">
        <f>IF(C182="","",IFERROR(VLOOKUP(C182,OBLIGACION!A:G,7,0),""))</f>
        <v/>
      </c>
      <c r="H182" s="35"/>
    </row>
    <row r="183" spans="2:8" x14ac:dyDescent="0.3">
      <c r="B183" s="36"/>
      <c r="D183" t="str">
        <f>IF(C183="","",IFERROR(VLOOKUP(C183,OBLIGACION!A:D,4,0),""))</f>
        <v/>
      </c>
      <c r="E183" t="str">
        <f>IF(C183="","",IFERROR(VLOOKUP(C183,OBLIGACION!A:E,5,0),""))</f>
        <v/>
      </c>
      <c r="F183" t="str">
        <f>IF(C183="","",IFERROR(VLOOKUP(C183,OBLIGACION!A:F,6,0),""))</f>
        <v/>
      </c>
      <c r="G183" t="str">
        <f>IF(C183="","",IFERROR(VLOOKUP(C183,OBLIGACION!A:G,7,0),""))</f>
        <v/>
      </c>
      <c r="H183" s="35"/>
    </row>
    <row r="184" spans="2:8" x14ac:dyDescent="0.3">
      <c r="B184" s="36"/>
      <c r="D184" t="str">
        <f>IF(C184="","",IFERROR(VLOOKUP(C184,OBLIGACION!A:D,4,0),""))</f>
        <v/>
      </c>
      <c r="E184" t="str">
        <f>IF(C184="","",IFERROR(VLOOKUP(C184,OBLIGACION!A:E,5,0),""))</f>
        <v/>
      </c>
      <c r="F184" t="str">
        <f>IF(C184="","",IFERROR(VLOOKUP(C184,OBLIGACION!A:F,6,0),""))</f>
        <v/>
      </c>
      <c r="G184" t="str">
        <f>IF(C184="","",IFERROR(VLOOKUP(C184,OBLIGACION!A:G,7,0),""))</f>
        <v/>
      </c>
      <c r="H184" s="35"/>
    </row>
    <row r="185" spans="2:8" x14ac:dyDescent="0.3">
      <c r="B185" s="36"/>
      <c r="D185" t="str">
        <f>IF(C185="","",IFERROR(VLOOKUP(C185,OBLIGACION!A:D,4,0),""))</f>
        <v/>
      </c>
      <c r="E185" t="str">
        <f>IF(C185="","",IFERROR(VLOOKUP(C185,OBLIGACION!A:E,5,0),""))</f>
        <v/>
      </c>
      <c r="F185" t="str">
        <f>IF(C185="","",IFERROR(VLOOKUP(C185,OBLIGACION!A:F,6,0),""))</f>
        <v/>
      </c>
      <c r="G185" t="str">
        <f>IF(C185="","",IFERROR(VLOOKUP(C185,OBLIGACION!A:G,7,0),""))</f>
        <v/>
      </c>
      <c r="H185" s="35"/>
    </row>
    <row r="186" spans="2:8" x14ac:dyDescent="0.3">
      <c r="B186" s="36"/>
      <c r="D186" t="str">
        <f>IF(C186="","",IFERROR(VLOOKUP(C186,OBLIGACION!A:D,4,0),""))</f>
        <v/>
      </c>
      <c r="E186" t="str">
        <f>IF(C186="","",IFERROR(VLOOKUP(C186,OBLIGACION!A:E,5,0),""))</f>
        <v/>
      </c>
      <c r="F186" t="str">
        <f>IF(C186="","",IFERROR(VLOOKUP(C186,OBLIGACION!A:F,6,0),""))</f>
        <v/>
      </c>
      <c r="G186" t="str">
        <f>IF(C186="","",IFERROR(VLOOKUP(C186,OBLIGACION!A:G,7,0),""))</f>
        <v/>
      </c>
      <c r="H186" s="35"/>
    </row>
    <row r="187" spans="2:8" x14ac:dyDescent="0.3">
      <c r="B187" s="36"/>
      <c r="D187" t="str">
        <f>IF(C187="","",IFERROR(VLOOKUP(C187,OBLIGACION!A:D,4,0),""))</f>
        <v/>
      </c>
      <c r="E187" t="str">
        <f>IF(C187="","",IFERROR(VLOOKUP(C187,OBLIGACION!A:E,5,0),""))</f>
        <v/>
      </c>
      <c r="F187" t="str">
        <f>IF(C187="","",IFERROR(VLOOKUP(C187,OBLIGACION!A:F,6,0),""))</f>
        <v/>
      </c>
      <c r="G187" t="str">
        <f>IF(C187="","",IFERROR(VLOOKUP(C187,OBLIGACION!A:G,7,0),""))</f>
        <v/>
      </c>
      <c r="H187" s="35"/>
    </row>
    <row r="188" spans="2:8" x14ac:dyDescent="0.3">
      <c r="B188" s="36"/>
      <c r="D188" t="str">
        <f>IF(C188="","",IFERROR(VLOOKUP(C188,OBLIGACION!A:D,4,0),""))</f>
        <v/>
      </c>
      <c r="E188" t="str">
        <f>IF(C188="","",IFERROR(VLOOKUP(C188,OBLIGACION!A:E,5,0),""))</f>
        <v/>
      </c>
      <c r="F188" t="str">
        <f>IF(C188="","",IFERROR(VLOOKUP(C188,OBLIGACION!A:F,6,0),""))</f>
        <v/>
      </c>
      <c r="G188" t="str">
        <f>IF(C188="","",IFERROR(VLOOKUP(C188,OBLIGACION!A:G,7,0),""))</f>
        <v/>
      </c>
      <c r="H188" s="35"/>
    </row>
    <row r="189" spans="2:8" x14ac:dyDescent="0.3">
      <c r="B189" s="36"/>
      <c r="D189" t="str">
        <f>IF(C189="","",IFERROR(VLOOKUP(C189,OBLIGACION!A:D,4,0),""))</f>
        <v/>
      </c>
      <c r="E189" t="str">
        <f>IF(C189="","",IFERROR(VLOOKUP(C189,OBLIGACION!A:E,5,0),""))</f>
        <v/>
      </c>
      <c r="F189" t="str">
        <f>IF(C189="","",IFERROR(VLOOKUP(C189,OBLIGACION!A:F,6,0),""))</f>
        <v/>
      </c>
      <c r="G189" t="str">
        <f>IF(C189="","",IFERROR(VLOOKUP(C189,OBLIGACION!A:G,7,0),""))</f>
        <v/>
      </c>
      <c r="H189" s="35"/>
    </row>
    <row r="190" spans="2:8" x14ac:dyDescent="0.3">
      <c r="B190" s="36"/>
      <c r="D190" t="str">
        <f>IF(C190="","",IFERROR(VLOOKUP(C190,OBLIGACION!A:D,4,0),""))</f>
        <v/>
      </c>
      <c r="E190" t="str">
        <f>IF(C190="","",IFERROR(VLOOKUP(C190,OBLIGACION!A:E,5,0),""))</f>
        <v/>
      </c>
      <c r="F190" t="str">
        <f>IF(C190="","",IFERROR(VLOOKUP(C190,OBLIGACION!A:F,6,0),""))</f>
        <v/>
      </c>
      <c r="G190" t="str">
        <f>IF(C190="","",IFERROR(VLOOKUP(C190,OBLIGACION!A:G,7,0),""))</f>
        <v/>
      </c>
      <c r="H190" s="35"/>
    </row>
    <row r="191" spans="2:8" x14ac:dyDescent="0.3">
      <c r="B191" s="36"/>
      <c r="D191" t="str">
        <f>IF(C191="","",IFERROR(VLOOKUP(C191,OBLIGACION!A:D,4,0),""))</f>
        <v/>
      </c>
      <c r="E191" t="str">
        <f>IF(C191="","",IFERROR(VLOOKUP(C191,OBLIGACION!A:E,5,0),""))</f>
        <v/>
      </c>
      <c r="F191" t="str">
        <f>IF(C191="","",IFERROR(VLOOKUP(C191,OBLIGACION!A:F,6,0),""))</f>
        <v/>
      </c>
      <c r="G191" t="str">
        <f>IF(C191="","",IFERROR(VLOOKUP(C191,OBLIGACION!A:G,7,0),""))</f>
        <v/>
      </c>
      <c r="H191" s="35"/>
    </row>
    <row r="192" spans="2:8" x14ac:dyDescent="0.3">
      <c r="B192" s="36"/>
      <c r="D192" t="str">
        <f>IF(C192="","",IFERROR(VLOOKUP(C192,OBLIGACION!A:D,4,0),""))</f>
        <v/>
      </c>
      <c r="E192" t="str">
        <f>IF(C192="","",IFERROR(VLOOKUP(C192,OBLIGACION!A:E,5,0),""))</f>
        <v/>
      </c>
      <c r="F192" t="str">
        <f>IF(C192="","",IFERROR(VLOOKUP(C192,OBLIGACION!A:F,6,0),""))</f>
        <v/>
      </c>
      <c r="G192" t="str">
        <f>IF(C192="","",IFERROR(VLOOKUP(C192,OBLIGACION!A:G,7,0),""))</f>
        <v/>
      </c>
      <c r="H192" s="35"/>
    </row>
    <row r="193" spans="2:8" x14ac:dyDescent="0.3">
      <c r="B193" s="36"/>
      <c r="D193" t="str">
        <f>IF(C193="","",IFERROR(VLOOKUP(C193,OBLIGACION!A:D,4,0),""))</f>
        <v/>
      </c>
      <c r="E193" t="str">
        <f>IF(C193="","",IFERROR(VLOOKUP(C193,OBLIGACION!A:E,5,0),""))</f>
        <v/>
      </c>
      <c r="F193" t="str">
        <f>IF(C193="","",IFERROR(VLOOKUP(C193,OBLIGACION!A:F,6,0),""))</f>
        <v/>
      </c>
      <c r="G193" t="str">
        <f>IF(C193="","",IFERROR(VLOOKUP(C193,OBLIGACION!A:G,7,0),""))</f>
        <v/>
      </c>
      <c r="H193" s="35"/>
    </row>
    <row r="194" spans="2:8" x14ac:dyDescent="0.3">
      <c r="B194" s="36"/>
      <c r="D194" t="str">
        <f>IF(C194="","",IFERROR(VLOOKUP(C194,OBLIGACION!A:D,4,0),""))</f>
        <v/>
      </c>
      <c r="E194" t="str">
        <f>IF(C194="","",IFERROR(VLOOKUP(C194,OBLIGACION!A:E,5,0),""))</f>
        <v/>
      </c>
      <c r="F194" t="str">
        <f>IF(C194="","",IFERROR(VLOOKUP(C194,OBLIGACION!A:F,6,0),""))</f>
        <v/>
      </c>
      <c r="G194" t="str">
        <f>IF(C194="","",IFERROR(VLOOKUP(C194,OBLIGACION!A:G,7,0),""))</f>
        <v/>
      </c>
      <c r="H194" s="35"/>
    </row>
    <row r="195" spans="2:8" x14ac:dyDescent="0.3">
      <c r="B195" s="36"/>
      <c r="D195" t="str">
        <f>IF(C195="","",IFERROR(VLOOKUP(C195,OBLIGACION!A:D,4,0),""))</f>
        <v/>
      </c>
      <c r="E195" t="str">
        <f>IF(C195="","",IFERROR(VLOOKUP(C195,OBLIGACION!A:E,5,0),""))</f>
        <v/>
      </c>
      <c r="F195" t="str">
        <f>IF(C195="","",IFERROR(VLOOKUP(C195,OBLIGACION!A:F,6,0),""))</f>
        <v/>
      </c>
      <c r="G195" t="str">
        <f>IF(C195="","",IFERROR(VLOOKUP(C195,OBLIGACION!A:G,7,0),""))</f>
        <v/>
      </c>
      <c r="H195" s="35"/>
    </row>
    <row r="196" spans="2:8" x14ac:dyDescent="0.3">
      <c r="B196" s="36"/>
      <c r="D196" t="str">
        <f>IF(C196="","",IFERROR(VLOOKUP(C196,OBLIGACION!A:D,4,0),""))</f>
        <v/>
      </c>
      <c r="E196" t="str">
        <f>IF(C196="","",IFERROR(VLOOKUP(C196,OBLIGACION!A:E,5,0),""))</f>
        <v/>
      </c>
      <c r="F196" t="str">
        <f>IF(C196="","",IFERROR(VLOOKUP(C196,OBLIGACION!A:F,6,0),""))</f>
        <v/>
      </c>
      <c r="G196" t="str">
        <f>IF(C196="","",IFERROR(VLOOKUP(C196,OBLIGACION!A:G,7,0),""))</f>
        <v/>
      </c>
      <c r="H196" s="35"/>
    </row>
    <row r="197" spans="2:8" x14ac:dyDescent="0.3">
      <c r="B197" s="36"/>
      <c r="D197" t="str">
        <f>IF(C197="","",IFERROR(VLOOKUP(C197,OBLIGACION!A:D,4,0),""))</f>
        <v/>
      </c>
      <c r="E197" t="str">
        <f>IF(C197="","",IFERROR(VLOOKUP(C197,OBLIGACION!A:E,5,0),""))</f>
        <v/>
      </c>
      <c r="F197" t="str">
        <f>IF(C197="","",IFERROR(VLOOKUP(C197,OBLIGACION!A:F,6,0),""))</f>
        <v/>
      </c>
      <c r="G197" t="str">
        <f>IF(C197="","",IFERROR(VLOOKUP(C197,OBLIGACION!A:G,7,0),""))</f>
        <v/>
      </c>
      <c r="H197" s="35"/>
    </row>
    <row r="198" spans="2:8" x14ac:dyDescent="0.3">
      <c r="B198" s="36"/>
      <c r="D198" t="str">
        <f>IF(C198="","",IFERROR(VLOOKUP(C198,OBLIGACION!A:D,4,0),""))</f>
        <v/>
      </c>
      <c r="E198" t="str">
        <f>IF(C198="","",IFERROR(VLOOKUP(C198,OBLIGACION!A:E,5,0),""))</f>
        <v/>
      </c>
      <c r="F198" t="str">
        <f>IF(C198="","",IFERROR(VLOOKUP(C198,OBLIGACION!A:F,6,0),""))</f>
        <v/>
      </c>
      <c r="G198" t="str">
        <f>IF(C198="","",IFERROR(VLOOKUP(C198,OBLIGACION!A:G,7,0),""))</f>
        <v/>
      </c>
      <c r="H198" s="35"/>
    </row>
    <row r="199" spans="2:8" x14ac:dyDescent="0.3">
      <c r="B199" s="36"/>
      <c r="D199" t="str">
        <f>IF(C199="","",IFERROR(VLOOKUP(C199,OBLIGACION!A:D,4,0),""))</f>
        <v/>
      </c>
      <c r="E199" t="str">
        <f>IF(C199="","",IFERROR(VLOOKUP(C199,OBLIGACION!A:E,5,0),""))</f>
        <v/>
      </c>
      <c r="F199" t="str">
        <f>IF(C199="","",IFERROR(VLOOKUP(C199,OBLIGACION!A:F,6,0),""))</f>
        <v/>
      </c>
      <c r="G199" t="str">
        <f>IF(C199="","",IFERROR(VLOOKUP(C199,OBLIGACION!A:G,7,0),""))</f>
        <v/>
      </c>
      <c r="H199" s="35"/>
    </row>
    <row r="200" spans="2:8" x14ac:dyDescent="0.3">
      <c r="B200" s="36"/>
      <c r="D200" t="str">
        <f>IF(C200="","",IFERROR(VLOOKUP(C200,OBLIGACION!A:D,4,0),""))</f>
        <v/>
      </c>
      <c r="E200" t="str">
        <f>IF(C200="","",IFERROR(VLOOKUP(C200,OBLIGACION!A:E,5,0),""))</f>
        <v/>
      </c>
      <c r="F200" t="str">
        <f>IF(C200="","",IFERROR(VLOOKUP(C200,OBLIGACION!A:F,6,0),""))</f>
        <v/>
      </c>
      <c r="G200" t="str">
        <f>IF(C200="","",IFERROR(VLOOKUP(C200,OBLIGACION!A:G,7,0),""))</f>
        <v/>
      </c>
      <c r="H200" s="35"/>
    </row>
    <row r="201" spans="2:8" x14ac:dyDescent="0.3">
      <c r="B201" s="36"/>
      <c r="D201" t="str">
        <f>IF(C201="","",IFERROR(VLOOKUP(C201,OBLIGACION!A:D,4,0),""))</f>
        <v/>
      </c>
      <c r="E201" t="str">
        <f>IF(C201="","",IFERROR(VLOOKUP(C201,OBLIGACION!A:E,5,0),""))</f>
        <v/>
      </c>
      <c r="F201" t="str">
        <f>IF(C201="","",IFERROR(VLOOKUP(C201,OBLIGACION!A:F,6,0),""))</f>
        <v/>
      </c>
      <c r="G201" t="str">
        <f>IF(C201="","",IFERROR(VLOOKUP(C201,OBLIGACION!A:G,7,0),""))</f>
        <v/>
      </c>
      <c r="H201" s="35"/>
    </row>
    <row r="202" spans="2:8" x14ac:dyDescent="0.3">
      <c r="B202" s="36"/>
      <c r="D202" t="str">
        <f>IF(C202="","",IFERROR(VLOOKUP(C202,OBLIGACION!A:D,4,0),""))</f>
        <v/>
      </c>
      <c r="E202" t="str">
        <f>IF(C202="","",IFERROR(VLOOKUP(C202,OBLIGACION!A:E,5,0),""))</f>
        <v/>
      </c>
      <c r="F202" t="str">
        <f>IF(C202="","",IFERROR(VLOOKUP(C202,OBLIGACION!A:F,6,0),""))</f>
        <v/>
      </c>
      <c r="G202" t="str">
        <f>IF(C202="","",IFERROR(VLOOKUP(C202,OBLIGACION!A:G,7,0),""))</f>
        <v/>
      </c>
      <c r="H202" s="35"/>
    </row>
    <row r="203" spans="2:8" x14ac:dyDescent="0.3">
      <c r="B203" s="36"/>
      <c r="D203" t="str">
        <f>IF(C203="","",IFERROR(VLOOKUP(C203,OBLIGACION!A:D,4,0),""))</f>
        <v/>
      </c>
      <c r="E203" t="str">
        <f>IF(C203="","",IFERROR(VLOOKUP(C203,OBLIGACION!A:E,5,0),""))</f>
        <v/>
      </c>
      <c r="F203" t="str">
        <f>IF(C203="","",IFERROR(VLOOKUP(C203,OBLIGACION!A:F,6,0),""))</f>
        <v/>
      </c>
      <c r="G203" t="str">
        <f>IF(C203="","",IFERROR(VLOOKUP(C203,OBLIGACION!A:G,7,0),""))</f>
        <v/>
      </c>
      <c r="H203" s="35"/>
    </row>
    <row r="204" spans="2:8" x14ac:dyDescent="0.3">
      <c r="B204" s="36"/>
      <c r="D204" t="str">
        <f>IF(C204="","",IFERROR(VLOOKUP(C204,OBLIGACION!A:D,4,0),""))</f>
        <v/>
      </c>
      <c r="E204" t="str">
        <f>IF(C204="","",IFERROR(VLOOKUP(C204,OBLIGACION!A:E,5,0),""))</f>
        <v/>
      </c>
      <c r="F204" t="str">
        <f>IF(C204="","",IFERROR(VLOOKUP(C204,OBLIGACION!A:F,6,0),""))</f>
        <v/>
      </c>
      <c r="G204" t="str">
        <f>IF(C204="","",IFERROR(VLOOKUP(C204,OBLIGACION!A:G,7,0),""))</f>
        <v/>
      </c>
      <c r="H204" s="35"/>
    </row>
    <row r="205" spans="2:8" x14ac:dyDescent="0.3">
      <c r="B205" s="36"/>
      <c r="D205" t="str">
        <f>IF(C205="","",IFERROR(VLOOKUP(C205,OBLIGACION!A:D,4,0),""))</f>
        <v/>
      </c>
      <c r="E205" t="str">
        <f>IF(C205="","",IFERROR(VLOOKUP(C205,OBLIGACION!A:E,5,0),""))</f>
        <v/>
      </c>
      <c r="F205" t="str">
        <f>IF(C205="","",IFERROR(VLOOKUP(C205,OBLIGACION!A:F,6,0),""))</f>
        <v/>
      </c>
      <c r="G205" t="str">
        <f>IF(C205="","",IFERROR(VLOOKUP(C205,OBLIGACION!A:G,7,0),""))</f>
        <v/>
      </c>
      <c r="H205" s="35"/>
    </row>
    <row r="206" spans="2:8" x14ac:dyDescent="0.3">
      <c r="B206" s="36"/>
      <c r="D206" t="str">
        <f>IF(C206="","",IFERROR(VLOOKUP(C206,OBLIGACION!A:D,4,0),""))</f>
        <v/>
      </c>
      <c r="E206" t="str">
        <f>IF(C206="","",IFERROR(VLOOKUP(C206,OBLIGACION!A:E,5,0),""))</f>
        <v/>
      </c>
      <c r="F206" t="str">
        <f>IF(C206="","",IFERROR(VLOOKUP(C206,OBLIGACION!A:F,6,0),""))</f>
        <v/>
      </c>
      <c r="G206" t="str">
        <f>IF(C206="","",IFERROR(VLOOKUP(C206,OBLIGACION!A:G,7,0),""))</f>
        <v/>
      </c>
      <c r="H206" s="35"/>
    </row>
    <row r="207" spans="2:8" x14ac:dyDescent="0.3">
      <c r="B207" s="36"/>
      <c r="D207" t="str">
        <f>IF(C207="","",IFERROR(VLOOKUP(C207,OBLIGACION!A:D,4,0),""))</f>
        <v/>
      </c>
      <c r="E207" t="str">
        <f>IF(C207="","",IFERROR(VLOOKUP(C207,OBLIGACION!A:E,5,0),""))</f>
        <v/>
      </c>
      <c r="F207" t="str">
        <f>IF(C207="","",IFERROR(VLOOKUP(C207,OBLIGACION!A:F,6,0),""))</f>
        <v/>
      </c>
      <c r="G207" t="str">
        <f>IF(C207="","",IFERROR(VLOOKUP(C207,OBLIGACION!A:G,7,0),""))</f>
        <v/>
      </c>
      <c r="H207" s="35"/>
    </row>
    <row r="208" spans="2:8" x14ac:dyDescent="0.3">
      <c r="B208" s="36"/>
      <c r="D208" t="str">
        <f>IF(C208="","",IFERROR(VLOOKUP(C208,OBLIGACION!A:D,4,0),""))</f>
        <v/>
      </c>
      <c r="E208" t="str">
        <f>IF(C208="","",IFERROR(VLOOKUP(C208,OBLIGACION!A:E,5,0),""))</f>
        <v/>
      </c>
      <c r="F208" t="str">
        <f>IF(C208="","",IFERROR(VLOOKUP(C208,OBLIGACION!A:F,6,0),""))</f>
        <v/>
      </c>
      <c r="G208" t="str">
        <f>IF(C208="","",IFERROR(VLOOKUP(C208,OBLIGACION!A:G,7,0),""))</f>
        <v/>
      </c>
      <c r="H208" s="35"/>
    </row>
    <row r="209" spans="2:8" x14ac:dyDescent="0.3">
      <c r="B209" s="36"/>
      <c r="D209" t="str">
        <f>IF(C209="","",IFERROR(VLOOKUP(C209,OBLIGACION!A:D,4,0),""))</f>
        <v/>
      </c>
      <c r="E209" t="str">
        <f>IF(C209="","",IFERROR(VLOOKUP(C209,OBLIGACION!A:E,5,0),""))</f>
        <v/>
      </c>
      <c r="F209" t="str">
        <f>IF(C209="","",IFERROR(VLOOKUP(C209,OBLIGACION!A:F,6,0),""))</f>
        <v/>
      </c>
      <c r="G209" t="str">
        <f>IF(C209="","",IFERROR(VLOOKUP(C209,OBLIGACION!A:G,7,0),""))</f>
        <v/>
      </c>
      <c r="H209" s="35"/>
    </row>
    <row r="210" spans="2:8" x14ac:dyDescent="0.3">
      <c r="B210" s="36"/>
      <c r="D210" t="str">
        <f>IF(C210="","",IFERROR(VLOOKUP(C210,OBLIGACION!A:D,4,0),""))</f>
        <v/>
      </c>
      <c r="E210" t="str">
        <f>IF(C210="","",IFERROR(VLOOKUP(C210,OBLIGACION!A:E,5,0),""))</f>
        <v/>
      </c>
      <c r="F210" t="str">
        <f>IF(C210="","",IFERROR(VLOOKUP(C210,OBLIGACION!A:F,6,0),""))</f>
        <v/>
      </c>
      <c r="G210" t="str">
        <f>IF(C210="","",IFERROR(VLOOKUP(C210,OBLIGACION!A:G,7,0),""))</f>
        <v/>
      </c>
      <c r="H210" s="35"/>
    </row>
    <row r="211" spans="2:8" x14ac:dyDescent="0.3">
      <c r="B211" s="36"/>
      <c r="D211" t="str">
        <f>IF(C211="","",IFERROR(VLOOKUP(C211,OBLIGACION!A:D,4,0),""))</f>
        <v/>
      </c>
      <c r="E211" t="str">
        <f>IF(C211="","",IFERROR(VLOOKUP(C211,OBLIGACION!A:E,5,0),""))</f>
        <v/>
      </c>
      <c r="F211" t="str">
        <f>IF(C211="","",IFERROR(VLOOKUP(C211,OBLIGACION!A:F,6,0),""))</f>
        <v/>
      </c>
      <c r="G211" t="str">
        <f>IF(C211="","",IFERROR(VLOOKUP(C211,OBLIGACION!A:G,7,0),""))</f>
        <v/>
      </c>
      <c r="H211" s="35"/>
    </row>
    <row r="212" spans="2:8" x14ac:dyDescent="0.3">
      <c r="B212" s="36"/>
      <c r="D212" t="str">
        <f>IF(C212="","",IFERROR(VLOOKUP(C212,OBLIGACION!A:D,4,0),""))</f>
        <v/>
      </c>
      <c r="E212" t="str">
        <f>IF(C212="","",IFERROR(VLOOKUP(C212,OBLIGACION!A:E,5,0),""))</f>
        <v/>
      </c>
      <c r="F212" t="str">
        <f>IF(C212="","",IFERROR(VLOOKUP(C212,OBLIGACION!A:F,6,0),""))</f>
        <v/>
      </c>
      <c r="G212" t="str">
        <f>IF(C212="","",IFERROR(VLOOKUP(C212,OBLIGACION!A:G,7,0),""))</f>
        <v/>
      </c>
      <c r="H212" s="35"/>
    </row>
    <row r="213" spans="2:8" x14ac:dyDescent="0.3">
      <c r="B213" s="36"/>
      <c r="D213" t="str">
        <f>IF(C213="","",IFERROR(VLOOKUP(C213,OBLIGACION!A:D,4,0),""))</f>
        <v/>
      </c>
      <c r="E213" t="str">
        <f>IF(C213="","",IFERROR(VLOOKUP(C213,OBLIGACION!A:E,5,0),""))</f>
        <v/>
      </c>
      <c r="F213" t="str">
        <f>IF(C213="","",IFERROR(VLOOKUP(C213,OBLIGACION!A:F,6,0),""))</f>
        <v/>
      </c>
      <c r="G213" t="str">
        <f>IF(C213="","",IFERROR(VLOOKUP(C213,OBLIGACION!A:G,7,0),""))</f>
        <v/>
      </c>
      <c r="H213" s="35"/>
    </row>
    <row r="214" spans="2:8" x14ac:dyDescent="0.3">
      <c r="B214" s="36"/>
      <c r="D214" t="str">
        <f>IF(C214="","",IFERROR(VLOOKUP(C214,OBLIGACION!A:D,4,0),""))</f>
        <v/>
      </c>
      <c r="E214" t="str">
        <f>IF(C214="","",IFERROR(VLOOKUP(C214,OBLIGACION!A:E,5,0),""))</f>
        <v/>
      </c>
      <c r="F214" t="str">
        <f>IF(C214="","",IFERROR(VLOOKUP(C214,OBLIGACION!A:F,6,0),""))</f>
        <v/>
      </c>
      <c r="G214" t="str">
        <f>IF(C214="","",IFERROR(VLOOKUP(C214,OBLIGACION!A:G,7,0),""))</f>
        <v/>
      </c>
      <c r="H214" s="35"/>
    </row>
    <row r="215" spans="2:8" x14ac:dyDescent="0.3">
      <c r="B215" s="36"/>
      <c r="D215" t="str">
        <f>IF(C215="","",IFERROR(VLOOKUP(C215,OBLIGACION!A:D,4,0),""))</f>
        <v/>
      </c>
      <c r="E215" t="str">
        <f>IF(C215="","",IFERROR(VLOOKUP(C215,OBLIGACION!A:E,5,0),""))</f>
        <v/>
      </c>
      <c r="F215" t="str">
        <f>IF(C215="","",IFERROR(VLOOKUP(C215,OBLIGACION!A:F,6,0),""))</f>
        <v/>
      </c>
      <c r="G215" t="str">
        <f>IF(C215="","",IFERROR(VLOOKUP(C215,OBLIGACION!A:G,7,0),""))</f>
        <v/>
      </c>
      <c r="H215" s="35"/>
    </row>
    <row r="216" spans="2:8" x14ac:dyDescent="0.3">
      <c r="B216" s="36"/>
      <c r="D216" t="str">
        <f>IF(C216="","",IFERROR(VLOOKUP(C216,OBLIGACION!A:D,4,0),""))</f>
        <v/>
      </c>
      <c r="E216" t="str">
        <f>IF(C216="","",IFERROR(VLOOKUP(C216,OBLIGACION!A:E,5,0),""))</f>
        <v/>
      </c>
      <c r="F216" t="str">
        <f>IF(C216="","",IFERROR(VLOOKUP(C216,OBLIGACION!A:F,6,0),""))</f>
        <v/>
      </c>
      <c r="G216" t="str">
        <f>IF(C216="","",IFERROR(VLOOKUP(C216,OBLIGACION!A:G,7,0),""))</f>
        <v/>
      </c>
      <c r="H216" s="35"/>
    </row>
    <row r="217" spans="2:8" x14ac:dyDescent="0.3">
      <c r="B217" s="36"/>
      <c r="D217" t="str">
        <f>IF(C217="","",IFERROR(VLOOKUP(C217,OBLIGACION!A:D,4,0),""))</f>
        <v/>
      </c>
      <c r="E217" t="str">
        <f>IF(C217="","",IFERROR(VLOOKUP(C217,OBLIGACION!A:E,5,0),""))</f>
        <v/>
      </c>
      <c r="F217" t="str">
        <f>IF(C217="","",IFERROR(VLOOKUP(C217,OBLIGACION!A:F,6,0),""))</f>
        <v/>
      </c>
      <c r="G217" t="str">
        <f>IF(C217="","",IFERROR(VLOOKUP(C217,OBLIGACION!A:G,7,0),""))</f>
        <v/>
      </c>
      <c r="H217" s="35"/>
    </row>
    <row r="218" spans="2:8" x14ac:dyDescent="0.3">
      <c r="B218" s="36"/>
      <c r="D218" t="str">
        <f>IF(C218="","",IFERROR(VLOOKUP(C218,OBLIGACION!A:D,4,0),""))</f>
        <v/>
      </c>
      <c r="E218" t="str">
        <f>IF(C218="","",IFERROR(VLOOKUP(C218,OBLIGACION!A:E,5,0),""))</f>
        <v/>
      </c>
      <c r="F218" t="str">
        <f>IF(C218="","",IFERROR(VLOOKUP(C218,OBLIGACION!A:F,6,0),""))</f>
        <v/>
      </c>
      <c r="G218" t="str">
        <f>IF(C218="","",IFERROR(VLOOKUP(C218,OBLIGACION!A:G,7,0),""))</f>
        <v/>
      </c>
      <c r="H218" s="35"/>
    </row>
    <row r="219" spans="2:8" x14ac:dyDescent="0.3">
      <c r="B219" s="36"/>
      <c r="D219" t="str">
        <f>IF(C219="","",IFERROR(VLOOKUP(C219,OBLIGACION!A:D,4,0),""))</f>
        <v/>
      </c>
      <c r="E219" t="str">
        <f>IF(C219="","",IFERROR(VLOOKUP(C219,OBLIGACION!A:E,5,0),""))</f>
        <v/>
      </c>
      <c r="F219" t="str">
        <f>IF(C219="","",IFERROR(VLOOKUP(C219,OBLIGACION!A:F,6,0),""))</f>
        <v/>
      </c>
      <c r="G219" t="str">
        <f>IF(C219="","",IFERROR(VLOOKUP(C219,OBLIGACION!A:G,7,0),""))</f>
        <v/>
      </c>
      <c r="H219" s="35"/>
    </row>
    <row r="220" spans="2:8" x14ac:dyDescent="0.3">
      <c r="B220" s="36"/>
      <c r="D220" t="str">
        <f>IF(C220="","",IFERROR(VLOOKUP(C220,OBLIGACION!A:D,4,0),""))</f>
        <v/>
      </c>
      <c r="E220" t="str">
        <f>IF(C220="","",IFERROR(VLOOKUP(C220,OBLIGACION!A:E,5,0),""))</f>
        <v/>
      </c>
      <c r="F220" t="str">
        <f>IF(C220="","",IFERROR(VLOOKUP(C220,OBLIGACION!A:F,6,0),""))</f>
        <v/>
      </c>
      <c r="G220" t="str">
        <f>IF(C220="","",IFERROR(VLOOKUP(C220,OBLIGACION!A:G,7,0),""))</f>
        <v/>
      </c>
      <c r="H220" s="35"/>
    </row>
    <row r="221" spans="2:8" x14ac:dyDescent="0.3">
      <c r="B221" s="36"/>
      <c r="D221" t="str">
        <f>IF(C221="","",IFERROR(VLOOKUP(C221,OBLIGACION!A:D,4,0),""))</f>
        <v/>
      </c>
      <c r="E221" t="str">
        <f>IF(C221="","",IFERROR(VLOOKUP(C221,OBLIGACION!A:E,5,0),""))</f>
        <v/>
      </c>
      <c r="F221" t="str">
        <f>IF(C221="","",IFERROR(VLOOKUP(C221,OBLIGACION!A:F,6,0),""))</f>
        <v/>
      </c>
      <c r="G221" t="str">
        <f>IF(C221="","",IFERROR(VLOOKUP(C221,OBLIGACION!A:G,7,0),""))</f>
        <v/>
      </c>
      <c r="H221" s="35"/>
    </row>
    <row r="222" spans="2:8" x14ac:dyDescent="0.3">
      <c r="B222" s="36"/>
      <c r="D222" t="str">
        <f>IF(C222="","",IFERROR(VLOOKUP(C222,OBLIGACION!A:D,4,0),""))</f>
        <v/>
      </c>
      <c r="E222" t="str">
        <f>IF(C222="","",IFERROR(VLOOKUP(C222,OBLIGACION!A:E,5,0),""))</f>
        <v/>
      </c>
      <c r="F222" t="str">
        <f>IF(C222="","",IFERROR(VLOOKUP(C222,OBLIGACION!A:F,6,0),""))</f>
        <v/>
      </c>
      <c r="G222" t="str">
        <f>IF(C222="","",IFERROR(VLOOKUP(C222,OBLIGACION!A:G,7,0),""))</f>
        <v/>
      </c>
      <c r="H222" s="35"/>
    </row>
    <row r="223" spans="2:8" x14ac:dyDescent="0.3">
      <c r="B223" s="36"/>
      <c r="D223" t="str">
        <f>IF(C223="","",IFERROR(VLOOKUP(C223,OBLIGACION!A:D,4,0),""))</f>
        <v/>
      </c>
      <c r="E223" t="str">
        <f>IF(C223="","",IFERROR(VLOOKUP(C223,OBLIGACION!A:E,5,0),""))</f>
        <v/>
      </c>
      <c r="F223" t="str">
        <f>IF(C223="","",IFERROR(VLOOKUP(C223,OBLIGACION!A:F,6,0),""))</f>
        <v/>
      </c>
      <c r="G223" t="str">
        <f>IF(C223="","",IFERROR(VLOOKUP(C223,OBLIGACION!A:G,7,0),""))</f>
        <v/>
      </c>
      <c r="H223" s="35"/>
    </row>
    <row r="224" spans="2:8" x14ac:dyDescent="0.3">
      <c r="B224" s="36"/>
      <c r="D224" t="str">
        <f>IF(C224="","",IFERROR(VLOOKUP(C224,OBLIGACION!A:D,4,0),""))</f>
        <v/>
      </c>
      <c r="E224" t="str">
        <f>IF(C224="","",IFERROR(VLOOKUP(C224,OBLIGACION!A:E,5,0),""))</f>
        <v/>
      </c>
      <c r="F224" t="str">
        <f>IF(C224="","",IFERROR(VLOOKUP(C224,OBLIGACION!A:F,6,0),""))</f>
        <v/>
      </c>
      <c r="G224" t="str">
        <f>IF(C224="","",IFERROR(VLOOKUP(C224,OBLIGACION!A:G,7,0),""))</f>
        <v/>
      </c>
      <c r="H224" s="35"/>
    </row>
    <row r="225" spans="2:8" x14ac:dyDescent="0.3">
      <c r="B225" s="36"/>
      <c r="D225" t="str">
        <f>IF(C225="","",IFERROR(VLOOKUP(C225,OBLIGACION!A:D,4,0),""))</f>
        <v/>
      </c>
      <c r="E225" t="str">
        <f>IF(C225="","",IFERROR(VLOOKUP(C225,OBLIGACION!A:E,5,0),""))</f>
        <v/>
      </c>
      <c r="F225" t="str">
        <f>IF(C225="","",IFERROR(VLOOKUP(C225,OBLIGACION!A:F,6,0),""))</f>
        <v/>
      </c>
      <c r="G225" t="str">
        <f>IF(C225="","",IFERROR(VLOOKUP(C225,OBLIGACION!A:G,7,0),""))</f>
        <v/>
      </c>
      <c r="H225" s="35"/>
    </row>
    <row r="226" spans="2:8" x14ac:dyDescent="0.3">
      <c r="B226" s="36"/>
      <c r="D226" t="str">
        <f>IF(C226="","",IFERROR(VLOOKUP(C226,OBLIGACION!A:D,4,0),""))</f>
        <v/>
      </c>
      <c r="E226" t="str">
        <f>IF(C226="","",IFERROR(VLOOKUP(C226,OBLIGACION!A:E,5,0),""))</f>
        <v/>
      </c>
      <c r="F226" t="str">
        <f>IF(C226="","",IFERROR(VLOOKUP(C226,OBLIGACION!A:F,6,0),""))</f>
        <v/>
      </c>
      <c r="G226" t="str">
        <f>IF(C226="","",IFERROR(VLOOKUP(C226,OBLIGACION!A:G,7,0),""))</f>
        <v/>
      </c>
      <c r="H226" s="35"/>
    </row>
    <row r="227" spans="2:8" x14ac:dyDescent="0.3">
      <c r="B227" s="36"/>
      <c r="D227" t="str">
        <f>IF(C227="","",IFERROR(VLOOKUP(C227,OBLIGACION!A:D,4,0),""))</f>
        <v/>
      </c>
      <c r="E227" t="str">
        <f>IF(C227="","",IFERROR(VLOOKUP(C227,OBLIGACION!A:E,5,0),""))</f>
        <v/>
      </c>
      <c r="F227" t="str">
        <f>IF(C227="","",IFERROR(VLOOKUP(C227,OBLIGACION!A:F,6,0),""))</f>
        <v/>
      </c>
      <c r="G227" t="str">
        <f>IF(C227="","",IFERROR(VLOOKUP(C227,OBLIGACION!A:G,7,0),""))</f>
        <v/>
      </c>
      <c r="H227" s="35"/>
    </row>
    <row r="228" spans="2:8" x14ac:dyDescent="0.3">
      <c r="B228" s="36"/>
      <c r="D228" t="str">
        <f>IF(C228="","",IFERROR(VLOOKUP(C228,OBLIGACION!A:D,4,0),""))</f>
        <v/>
      </c>
      <c r="E228" t="str">
        <f>IF(C228="","",IFERROR(VLOOKUP(C228,OBLIGACION!A:E,5,0),""))</f>
        <v/>
      </c>
      <c r="F228" t="str">
        <f>IF(C228="","",IFERROR(VLOOKUP(C228,OBLIGACION!A:F,6,0),""))</f>
        <v/>
      </c>
      <c r="G228" t="str">
        <f>IF(C228="","",IFERROR(VLOOKUP(C228,OBLIGACION!A:G,7,0),""))</f>
        <v/>
      </c>
      <c r="H228" s="35"/>
    </row>
    <row r="229" spans="2:8" x14ac:dyDescent="0.3">
      <c r="B229" s="36"/>
      <c r="D229" t="str">
        <f>IF(C229="","",IFERROR(VLOOKUP(C229,OBLIGACION!A:D,4,0),""))</f>
        <v/>
      </c>
      <c r="E229" t="str">
        <f>IF(C229="","",IFERROR(VLOOKUP(C229,OBLIGACION!A:E,5,0),""))</f>
        <v/>
      </c>
      <c r="F229" t="str">
        <f>IF(C229="","",IFERROR(VLOOKUP(C229,OBLIGACION!A:F,6,0),""))</f>
        <v/>
      </c>
      <c r="G229" t="str">
        <f>IF(C229="","",IFERROR(VLOOKUP(C229,OBLIGACION!A:G,7,0),""))</f>
        <v/>
      </c>
      <c r="H229" s="35"/>
    </row>
    <row r="230" spans="2:8" x14ac:dyDescent="0.3">
      <c r="B230" s="36"/>
      <c r="D230" t="str">
        <f>IF(C230="","",IFERROR(VLOOKUP(C230,OBLIGACION!A:D,4,0),""))</f>
        <v/>
      </c>
      <c r="E230" t="str">
        <f>IF(C230="","",IFERROR(VLOOKUP(C230,OBLIGACION!A:E,5,0),""))</f>
        <v/>
      </c>
      <c r="F230" t="str">
        <f>IF(C230="","",IFERROR(VLOOKUP(C230,OBLIGACION!A:F,6,0),""))</f>
        <v/>
      </c>
      <c r="G230" t="str">
        <f>IF(C230="","",IFERROR(VLOOKUP(C230,OBLIGACION!A:G,7,0),""))</f>
        <v/>
      </c>
      <c r="H230" s="35"/>
    </row>
    <row r="231" spans="2:8" x14ac:dyDescent="0.3">
      <c r="B231" s="36"/>
      <c r="D231" t="str">
        <f>IF(C231="","",IFERROR(VLOOKUP(C231,OBLIGACION!A:D,4,0),""))</f>
        <v/>
      </c>
      <c r="E231" t="str">
        <f>IF(C231="","",IFERROR(VLOOKUP(C231,OBLIGACION!A:E,5,0),""))</f>
        <v/>
      </c>
      <c r="F231" t="str">
        <f>IF(C231="","",IFERROR(VLOOKUP(C231,OBLIGACION!A:F,6,0),""))</f>
        <v/>
      </c>
      <c r="G231" t="str">
        <f>IF(C231="","",IFERROR(VLOOKUP(C231,OBLIGACION!A:G,7,0),""))</f>
        <v/>
      </c>
      <c r="H231" s="35"/>
    </row>
    <row r="232" spans="2:8" x14ac:dyDescent="0.3">
      <c r="B232" s="36"/>
      <c r="D232" t="str">
        <f>IF(C232="","",IFERROR(VLOOKUP(C232,OBLIGACION!A:D,4,0),""))</f>
        <v/>
      </c>
      <c r="E232" t="str">
        <f>IF(C232="","",IFERROR(VLOOKUP(C232,OBLIGACION!A:E,5,0),""))</f>
        <v/>
      </c>
      <c r="F232" t="str">
        <f>IF(C232="","",IFERROR(VLOOKUP(C232,OBLIGACION!A:F,6,0),""))</f>
        <v/>
      </c>
      <c r="G232" t="str">
        <f>IF(C232="","",IFERROR(VLOOKUP(C232,OBLIGACION!A:G,7,0),""))</f>
        <v/>
      </c>
      <c r="H232" s="35"/>
    </row>
    <row r="233" spans="2:8" x14ac:dyDescent="0.3">
      <c r="B233" s="36"/>
      <c r="D233" t="str">
        <f>IF(C233="","",IFERROR(VLOOKUP(C233,OBLIGACION!A:D,4,0),""))</f>
        <v/>
      </c>
      <c r="E233" t="str">
        <f>IF(C233="","",IFERROR(VLOOKUP(C233,OBLIGACION!A:E,5,0),""))</f>
        <v/>
      </c>
      <c r="F233" t="str">
        <f>IF(C233="","",IFERROR(VLOOKUP(C233,OBLIGACION!A:F,6,0),""))</f>
        <v/>
      </c>
      <c r="G233" t="str">
        <f>IF(C233="","",IFERROR(VLOOKUP(C233,OBLIGACION!A:G,7,0),""))</f>
        <v/>
      </c>
      <c r="H233" s="35"/>
    </row>
    <row r="234" spans="2:8" x14ac:dyDescent="0.3">
      <c r="B234" s="36"/>
      <c r="D234" t="str">
        <f>IF(C234="","",IFERROR(VLOOKUP(C234,OBLIGACION!A:D,4,0),""))</f>
        <v/>
      </c>
      <c r="E234" t="str">
        <f>IF(C234="","",IFERROR(VLOOKUP(C234,OBLIGACION!A:E,5,0),""))</f>
        <v/>
      </c>
      <c r="F234" t="str">
        <f>IF(C234="","",IFERROR(VLOOKUP(C234,OBLIGACION!A:F,6,0),""))</f>
        <v/>
      </c>
      <c r="G234" t="str">
        <f>IF(C234="","",IFERROR(VLOOKUP(C234,OBLIGACION!A:G,7,0),""))</f>
        <v/>
      </c>
      <c r="H234" s="35"/>
    </row>
    <row r="235" spans="2:8" x14ac:dyDescent="0.3">
      <c r="B235" s="36"/>
      <c r="D235" t="str">
        <f>IF(C235="","",IFERROR(VLOOKUP(C235,OBLIGACION!A:D,4,0),""))</f>
        <v/>
      </c>
      <c r="E235" t="str">
        <f>IF(C235="","",IFERROR(VLOOKUP(C235,OBLIGACION!A:E,5,0),""))</f>
        <v/>
      </c>
      <c r="F235" t="str">
        <f>IF(C235="","",IFERROR(VLOOKUP(C235,OBLIGACION!A:F,6,0),""))</f>
        <v/>
      </c>
      <c r="G235" t="str">
        <f>IF(C235="","",IFERROR(VLOOKUP(C235,OBLIGACION!A:G,7,0),""))</f>
        <v/>
      </c>
      <c r="H235" s="35"/>
    </row>
    <row r="236" spans="2:8" x14ac:dyDescent="0.3">
      <c r="B236" s="36"/>
      <c r="D236" t="str">
        <f>IF(C236="","",IFERROR(VLOOKUP(C236,OBLIGACION!A:D,4,0),""))</f>
        <v/>
      </c>
      <c r="E236" t="str">
        <f>IF(C236="","",IFERROR(VLOOKUP(C236,OBLIGACION!A:E,5,0),""))</f>
        <v/>
      </c>
      <c r="F236" t="str">
        <f>IF(C236="","",IFERROR(VLOOKUP(C236,OBLIGACION!A:F,6,0),""))</f>
        <v/>
      </c>
      <c r="G236" t="str">
        <f>IF(C236="","",IFERROR(VLOOKUP(C236,OBLIGACION!A:G,7,0),""))</f>
        <v/>
      </c>
      <c r="H236" s="35"/>
    </row>
    <row r="237" spans="2:8" x14ac:dyDescent="0.3">
      <c r="B237" s="36"/>
      <c r="D237" t="str">
        <f>IF(C237="","",IFERROR(VLOOKUP(C237,OBLIGACION!A:D,4,0),""))</f>
        <v/>
      </c>
      <c r="E237" t="str">
        <f>IF(C237="","",IFERROR(VLOOKUP(C237,OBLIGACION!A:E,5,0),""))</f>
        <v/>
      </c>
      <c r="F237" t="str">
        <f>IF(C237="","",IFERROR(VLOOKUP(C237,OBLIGACION!A:F,6,0),""))</f>
        <v/>
      </c>
      <c r="G237" t="str">
        <f>IF(C237="","",IFERROR(VLOOKUP(C237,OBLIGACION!A:G,7,0),""))</f>
        <v/>
      </c>
      <c r="H237" s="35"/>
    </row>
    <row r="238" spans="2:8" x14ac:dyDescent="0.3">
      <c r="B238" s="36"/>
      <c r="D238" t="str">
        <f>IF(C238="","",IFERROR(VLOOKUP(C238,OBLIGACION!A:D,4,0),""))</f>
        <v/>
      </c>
      <c r="E238" t="str">
        <f>IF(C238="","",IFERROR(VLOOKUP(C238,OBLIGACION!A:E,5,0),""))</f>
        <v/>
      </c>
      <c r="F238" t="str">
        <f>IF(C238="","",IFERROR(VLOOKUP(C238,OBLIGACION!A:F,6,0),""))</f>
        <v/>
      </c>
      <c r="G238" t="str">
        <f>IF(C238="","",IFERROR(VLOOKUP(C238,OBLIGACION!A:G,7,0),""))</f>
        <v/>
      </c>
      <c r="H238" s="35"/>
    </row>
    <row r="239" spans="2:8" x14ac:dyDescent="0.3">
      <c r="B239" s="36"/>
      <c r="D239" t="str">
        <f>IF(C239="","",IFERROR(VLOOKUP(C239,OBLIGACION!A:D,4,0),""))</f>
        <v/>
      </c>
      <c r="E239" t="str">
        <f>IF(C239="","",IFERROR(VLOOKUP(C239,OBLIGACION!A:E,5,0),""))</f>
        <v/>
      </c>
      <c r="F239" t="str">
        <f>IF(C239="","",IFERROR(VLOOKUP(C239,OBLIGACION!A:F,6,0),""))</f>
        <v/>
      </c>
      <c r="G239" t="str">
        <f>IF(C239="","",IFERROR(VLOOKUP(C239,OBLIGACION!A:G,7,0),""))</f>
        <v/>
      </c>
      <c r="H239" s="35"/>
    </row>
    <row r="240" spans="2:8" x14ac:dyDescent="0.3">
      <c r="B240" s="36"/>
      <c r="D240" t="str">
        <f>IF(C240="","",IFERROR(VLOOKUP(C240,OBLIGACION!A:D,4,0),""))</f>
        <v/>
      </c>
      <c r="E240" t="str">
        <f>IF(C240="","",IFERROR(VLOOKUP(C240,OBLIGACION!A:E,5,0),""))</f>
        <v/>
      </c>
      <c r="F240" t="str">
        <f>IF(C240="","",IFERROR(VLOOKUP(C240,OBLIGACION!A:F,6,0),""))</f>
        <v/>
      </c>
      <c r="G240" t="str">
        <f>IF(C240="","",IFERROR(VLOOKUP(C240,OBLIGACION!A:G,7,0),""))</f>
        <v/>
      </c>
      <c r="H240" s="35"/>
    </row>
    <row r="241" spans="2:8" x14ac:dyDescent="0.3">
      <c r="B241" s="36"/>
      <c r="D241" t="str">
        <f>IF(C241="","",IFERROR(VLOOKUP(C241,OBLIGACION!A:D,4,0),""))</f>
        <v/>
      </c>
      <c r="E241" t="str">
        <f>IF(C241="","",IFERROR(VLOOKUP(C241,OBLIGACION!A:E,5,0),""))</f>
        <v/>
      </c>
      <c r="F241" t="str">
        <f>IF(C241="","",IFERROR(VLOOKUP(C241,OBLIGACION!A:F,6,0),""))</f>
        <v/>
      </c>
      <c r="G241" t="str">
        <f>IF(C241="","",IFERROR(VLOOKUP(C241,OBLIGACION!A:G,7,0),""))</f>
        <v/>
      </c>
      <c r="H241" s="35"/>
    </row>
    <row r="242" spans="2:8" x14ac:dyDescent="0.3">
      <c r="B242" s="36"/>
      <c r="D242" t="str">
        <f>IF(C242="","",IFERROR(VLOOKUP(C242,OBLIGACION!A:D,4,0),""))</f>
        <v/>
      </c>
      <c r="E242" t="str">
        <f>IF(C242="","",IFERROR(VLOOKUP(C242,OBLIGACION!A:E,5,0),""))</f>
        <v/>
      </c>
      <c r="F242" t="str">
        <f>IF(C242="","",IFERROR(VLOOKUP(C242,OBLIGACION!A:F,6,0),""))</f>
        <v/>
      </c>
      <c r="G242" t="str">
        <f>IF(C242="","",IFERROR(VLOOKUP(C242,OBLIGACION!A:G,7,0),""))</f>
        <v/>
      </c>
      <c r="H242" s="35"/>
    </row>
    <row r="243" spans="2:8" x14ac:dyDescent="0.3">
      <c r="B243" s="36"/>
      <c r="D243" t="str">
        <f>IF(C243="","",IFERROR(VLOOKUP(C243,OBLIGACION!A:D,4,0),""))</f>
        <v/>
      </c>
      <c r="E243" t="str">
        <f>IF(C243="","",IFERROR(VLOOKUP(C243,OBLIGACION!A:E,5,0),""))</f>
        <v/>
      </c>
      <c r="F243" t="str">
        <f>IF(C243="","",IFERROR(VLOOKUP(C243,OBLIGACION!A:F,6,0),""))</f>
        <v/>
      </c>
      <c r="G243" t="str">
        <f>IF(C243="","",IFERROR(VLOOKUP(C243,OBLIGACION!A:G,7,0),""))</f>
        <v/>
      </c>
      <c r="H243" s="35"/>
    </row>
    <row r="244" spans="2:8" x14ac:dyDescent="0.3">
      <c r="B244" s="36"/>
      <c r="D244" t="str">
        <f>IF(C244="","",IFERROR(VLOOKUP(C244,OBLIGACION!A:D,4,0),""))</f>
        <v/>
      </c>
      <c r="E244" t="str">
        <f>IF(C244="","",IFERROR(VLOOKUP(C244,OBLIGACION!A:E,5,0),""))</f>
        <v/>
      </c>
      <c r="F244" t="str">
        <f>IF(C244="","",IFERROR(VLOOKUP(C244,OBLIGACION!A:F,6,0),""))</f>
        <v/>
      </c>
      <c r="G244" t="str">
        <f>IF(C244="","",IFERROR(VLOOKUP(C244,OBLIGACION!A:G,7,0),""))</f>
        <v/>
      </c>
      <c r="H244" s="35"/>
    </row>
    <row r="245" spans="2:8" x14ac:dyDescent="0.3">
      <c r="B245" s="36"/>
      <c r="D245" t="str">
        <f>IF(C245="","",IFERROR(VLOOKUP(C245,OBLIGACION!A:D,4,0),""))</f>
        <v/>
      </c>
      <c r="E245" t="str">
        <f>IF(C245="","",IFERROR(VLOOKUP(C245,OBLIGACION!A:E,5,0),""))</f>
        <v/>
      </c>
      <c r="F245" t="str">
        <f>IF(C245="","",IFERROR(VLOOKUP(C245,OBLIGACION!A:F,6,0),""))</f>
        <v/>
      </c>
      <c r="G245" t="str">
        <f>IF(C245="","",IFERROR(VLOOKUP(C245,OBLIGACION!A:G,7,0),""))</f>
        <v/>
      </c>
      <c r="H245" s="35"/>
    </row>
    <row r="246" spans="2:8" x14ac:dyDescent="0.3">
      <c r="B246" s="36"/>
      <c r="D246" t="str">
        <f>IF(C246="","",IFERROR(VLOOKUP(C246,OBLIGACION!A:D,4,0),""))</f>
        <v/>
      </c>
      <c r="E246" t="str">
        <f>IF(C246="","",IFERROR(VLOOKUP(C246,OBLIGACION!A:E,5,0),""))</f>
        <v/>
      </c>
      <c r="F246" t="str">
        <f>IF(C246="","",IFERROR(VLOOKUP(C246,OBLIGACION!A:F,6,0),""))</f>
        <v/>
      </c>
      <c r="G246" t="str">
        <f>IF(C246="","",IFERROR(VLOOKUP(C246,OBLIGACION!A:G,7,0),""))</f>
        <v/>
      </c>
      <c r="H246" s="35"/>
    </row>
    <row r="247" spans="2:8" x14ac:dyDescent="0.3">
      <c r="B247" s="36"/>
      <c r="D247" t="str">
        <f>IF(C247="","",IFERROR(VLOOKUP(C247,OBLIGACION!A:D,4,0),""))</f>
        <v/>
      </c>
      <c r="E247" t="str">
        <f>IF(C247="","",IFERROR(VLOOKUP(C247,OBLIGACION!A:E,5,0),""))</f>
        <v/>
      </c>
      <c r="F247" t="str">
        <f>IF(C247="","",IFERROR(VLOOKUP(C247,OBLIGACION!A:F,6,0),""))</f>
        <v/>
      </c>
      <c r="G247" t="str">
        <f>IF(C247="","",IFERROR(VLOOKUP(C247,OBLIGACION!A:G,7,0),""))</f>
        <v/>
      </c>
      <c r="H247" s="35"/>
    </row>
    <row r="248" spans="2:8" x14ac:dyDescent="0.3">
      <c r="B248" s="36"/>
      <c r="D248" t="str">
        <f>IF(C248="","",IFERROR(VLOOKUP(C248,OBLIGACION!A:D,4,0),""))</f>
        <v/>
      </c>
      <c r="E248" t="str">
        <f>IF(C248="","",IFERROR(VLOOKUP(C248,OBLIGACION!A:E,5,0),""))</f>
        <v/>
      </c>
      <c r="F248" t="str">
        <f>IF(C248="","",IFERROR(VLOOKUP(C248,OBLIGACION!A:F,6,0),""))</f>
        <v/>
      </c>
      <c r="G248" t="str">
        <f>IF(C248="","",IFERROR(VLOOKUP(C248,OBLIGACION!A:G,7,0),""))</f>
        <v/>
      </c>
      <c r="H248" s="35"/>
    </row>
    <row r="249" spans="2:8" x14ac:dyDescent="0.3">
      <c r="B249" s="36"/>
      <c r="D249" t="str">
        <f>IF(C249="","",IFERROR(VLOOKUP(C249,OBLIGACION!A:D,4,0),""))</f>
        <v/>
      </c>
      <c r="E249" t="str">
        <f>IF(C249="","",IFERROR(VLOOKUP(C249,OBLIGACION!A:E,5,0),""))</f>
        <v/>
      </c>
      <c r="F249" t="str">
        <f>IF(C249="","",IFERROR(VLOOKUP(C249,OBLIGACION!A:F,6,0),""))</f>
        <v/>
      </c>
      <c r="G249" t="str">
        <f>IF(C249="","",IFERROR(VLOOKUP(C249,OBLIGACION!A:G,7,0),""))</f>
        <v/>
      </c>
      <c r="H249" s="35"/>
    </row>
    <row r="250" spans="2:8" x14ac:dyDescent="0.3">
      <c r="B250" s="36"/>
      <c r="D250" t="str">
        <f>IF(C250="","",IFERROR(VLOOKUP(C250,OBLIGACION!A:D,4,0),""))</f>
        <v/>
      </c>
      <c r="E250" t="str">
        <f>IF(C250="","",IFERROR(VLOOKUP(C250,OBLIGACION!A:E,5,0),""))</f>
        <v/>
      </c>
      <c r="F250" t="str">
        <f>IF(C250="","",IFERROR(VLOOKUP(C250,OBLIGACION!A:F,6,0),""))</f>
        <v/>
      </c>
      <c r="G250" t="str">
        <f>IF(C250="","",IFERROR(VLOOKUP(C250,OBLIGACION!A:G,7,0),""))</f>
        <v/>
      </c>
      <c r="H250" s="35"/>
    </row>
    <row r="251" spans="2:8" x14ac:dyDescent="0.3">
      <c r="B251" s="36"/>
      <c r="D251" t="str">
        <f>IF(C251="","",IFERROR(VLOOKUP(C251,OBLIGACION!A:D,4,0),""))</f>
        <v/>
      </c>
      <c r="E251" t="str">
        <f>IF(C251="","",IFERROR(VLOOKUP(C251,OBLIGACION!A:E,5,0),""))</f>
        <v/>
      </c>
      <c r="F251" t="str">
        <f>IF(C251="","",IFERROR(VLOOKUP(C251,OBLIGACION!A:F,6,0),""))</f>
        <v/>
      </c>
      <c r="G251" t="str">
        <f>IF(C251="","",IFERROR(VLOOKUP(C251,OBLIGACION!A:G,7,0),""))</f>
        <v/>
      </c>
      <c r="H251" s="35"/>
    </row>
    <row r="252" spans="2:8" x14ac:dyDescent="0.3">
      <c r="B252" s="36"/>
      <c r="D252" t="str">
        <f>IF(C252="","",IFERROR(VLOOKUP(C252,OBLIGACION!A:D,4,0),""))</f>
        <v/>
      </c>
      <c r="E252" t="str">
        <f>IF(C252="","",IFERROR(VLOOKUP(C252,OBLIGACION!A:E,5,0),""))</f>
        <v/>
      </c>
      <c r="F252" t="str">
        <f>IF(C252="","",IFERROR(VLOOKUP(C252,OBLIGACION!A:F,6,0),""))</f>
        <v/>
      </c>
      <c r="G252" t="str">
        <f>IF(C252="","",IFERROR(VLOOKUP(C252,OBLIGACION!A:G,7,0),""))</f>
        <v/>
      </c>
      <c r="H252" s="35"/>
    </row>
    <row r="253" spans="2:8" x14ac:dyDescent="0.3">
      <c r="B253" s="36"/>
      <c r="D253" t="str">
        <f>IF(C253="","",IFERROR(VLOOKUP(C253,OBLIGACION!A:D,4,0),""))</f>
        <v/>
      </c>
      <c r="E253" t="str">
        <f>IF(C253="","",IFERROR(VLOOKUP(C253,OBLIGACION!A:E,5,0),""))</f>
        <v/>
      </c>
      <c r="F253" t="str">
        <f>IF(C253="","",IFERROR(VLOOKUP(C253,OBLIGACION!A:F,6,0),""))</f>
        <v/>
      </c>
      <c r="G253" t="str">
        <f>IF(C253="","",IFERROR(VLOOKUP(C253,OBLIGACION!A:G,7,0),""))</f>
        <v/>
      </c>
      <c r="H253" s="35"/>
    </row>
    <row r="254" spans="2:8" x14ac:dyDescent="0.3">
      <c r="B254" s="36"/>
      <c r="D254" t="str">
        <f>IF(C254="","",IFERROR(VLOOKUP(C254,OBLIGACION!A:D,4,0),""))</f>
        <v/>
      </c>
      <c r="E254" t="str">
        <f>IF(C254="","",IFERROR(VLOOKUP(C254,OBLIGACION!A:E,5,0),""))</f>
        <v/>
      </c>
      <c r="F254" t="str">
        <f>IF(C254="","",IFERROR(VLOOKUP(C254,OBLIGACION!A:F,6,0),""))</f>
        <v/>
      </c>
      <c r="G254" t="str">
        <f>IF(C254="","",IFERROR(VLOOKUP(C254,OBLIGACION!A:G,7,0),""))</f>
        <v/>
      </c>
      <c r="H254" s="35"/>
    </row>
    <row r="255" spans="2:8" x14ac:dyDescent="0.3">
      <c r="B255" s="36"/>
      <c r="D255" t="str">
        <f>IF(C255="","",IFERROR(VLOOKUP(C255,OBLIGACION!A:D,4,0),""))</f>
        <v/>
      </c>
      <c r="E255" t="str">
        <f>IF(C255="","",IFERROR(VLOOKUP(C255,OBLIGACION!A:E,5,0),""))</f>
        <v/>
      </c>
      <c r="F255" t="str">
        <f>IF(C255="","",IFERROR(VLOOKUP(C255,OBLIGACION!A:F,6,0),""))</f>
        <v/>
      </c>
      <c r="G255" t="str">
        <f>IF(C255="","",IFERROR(VLOOKUP(C255,OBLIGACION!A:G,7,0),""))</f>
        <v/>
      </c>
      <c r="H255" s="35"/>
    </row>
    <row r="256" spans="2:8" x14ac:dyDescent="0.3">
      <c r="B256" s="36"/>
      <c r="D256" t="str">
        <f>IF(C256="","",IFERROR(VLOOKUP(C256,OBLIGACION!A:D,4,0),""))</f>
        <v/>
      </c>
      <c r="E256" t="str">
        <f>IF(C256="","",IFERROR(VLOOKUP(C256,OBLIGACION!A:E,5,0),""))</f>
        <v/>
      </c>
      <c r="F256" t="str">
        <f>IF(C256="","",IFERROR(VLOOKUP(C256,OBLIGACION!A:F,6,0),""))</f>
        <v/>
      </c>
      <c r="G256" t="str">
        <f>IF(C256="","",IFERROR(VLOOKUP(C256,OBLIGACION!A:G,7,0),""))</f>
        <v/>
      </c>
      <c r="H256" s="35"/>
    </row>
    <row r="257" spans="2:8" x14ac:dyDescent="0.3">
      <c r="B257" s="36"/>
      <c r="D257" t="str">
        <f>IF(C257="","",IFERROR(VLOOKUP(C257,OBLIGACION!A:D,4,0),""))</f>
        <v/>
      </c>
      <c r="E257" t="str">
        <f>IF(C257="","",IFERROR(VLOOKUP(C257,OBLIGACION!A:E,5,0),""))</f>
        <v/>
      </c>
      <c r="F257" t="str">
        <f>IF(C257="","",IFERROR(VLOOKUP(C257,OBLIGACION!A:F,6,0),""))</f>
        <v/>
      </c>
      <c r="G257" t="str">
        <f>IF(C257="","",IFERROR(VLOOKUP(C257,OBLIGACION!A:G,7,0),""))</f>
        <v/>
      </c>
      <c r="H257" s="35"/>
    </row>
    <row r="258" spans="2:8" x14ac:dyDescent="0.3">
      <c r="B258" s="36"/>
      <c r="D258" t="str">
        <f>IF(C258="","",IFERROR(VLOOKUP(C258,OBLIGACION!A:D,4,0),""))</f>
        <v/>
      </c>
      <c r="E258" t="str">
        <f>IF(C258="","",IFERROR(VLOOKUP(C258,OBLIGACION!A:E,5,0),""))</f>
        <v/>
      </c>
      <c r="F258" t="str">
        <f>IF(C258="","",IFERROR(VLOOKUP(C258,OBLIGACION!A:F,6,0),""))</f>
        <v/>
      </c>
      <c r="G258" t="str">
        <f>IF(C258="","",IFERROR(VLOOKUP(C258,OBLIGACION!A:G,7,0),""))</f>
        <v/>
      </c>
      <c r="H258" s="35"/>
    </row>
    <row r="259" spans="2:8" x14ac:dyDescent="0.3">
      <c r="B259" s="36"/>
      <c r="D259" t="str">
        <f>IF(C259="","",IFERROR(VLOOKUP(C259,OBLIGACION!A:D,4,0),""))</f>
        <v/>
      </c>
      <c r="E259" t="str">
        <f>IF(C259="","",IFERROR(VLOOKUP(C259,OBLIGACION!A:E,5,0),""))</f>
        <v/>
      </c>
      <c r="F259" t="str">
        <f>IF(C259="","",IFERROR(VLOOKUP(C259,OBLIGACION!A:F,6,0),""))</f>
        <v/>
      </c>
      <c r="G259" t="str">
        <f>IF(C259="","",IFERROR(VLOOKUP(C259,OBLIGACION!A:G,7,0),""))</f>
        <v/>
      </c>
      <c r="H259" s="35"/>
    </row>
    <row r="260" spans="2:8" x14ac:dyDescent="0.3">
      <c r="B260" s="36"/>
      <c r="D260" t="str">
        <f>IF(C260="","",IFERROR(VLOOKUP(C260,OBLIGACION!A:D,4,0),""))</f>
        <v/>
      </c>
      <c r="E260" t="str">
        <f>IF(C260="","",IFERROR(VLOOKUP(C260,OBLIGACION!A:E,5,0),""))</f>
        <v/>
      </c>
      <c r="F260" t="str">
        <f>IF(C260="","",IFERROR(VLOOKUP(C260,OBLIGACION!A:F,6,0),""))</f>
        <v/>
      </c>
      <c r="G260" t="str">
        <f>IF(C260="","",IFERROR(VLOOKUP(C260,OBLIGACION!A:G,7,0),""))</f>
        <v/>
      </c>
      <c r="H260" s="35"/>
    </row>
    <row r="261" spans="2:8" x14ac:dyDescent="0.3">
      <c r="B261" s="36"/>
      <c r="D261" t="str">
        <f>IF(C261="","",IFERROR(VLOOKUP(C261,OBLIGACION!A:D,4,0),""))</f>
        <v/>
      </c>
      <c r="E261" t="str">
        <f>IF(C261="","",IFERROR(VLOOKUP(C261,OBLIGACION!A:E,5,0),""))</f>
        <v/>
      </c>
      <c r="F261" t="str">
        <f>IF(C261="","",IFERROR(VLOOKUP(C261,OBLIGACION!A:F,6,0),""))</f>
        <v/>
      </c>
      <c r="G261" t="str">
        <f>IF(C261="","",IFERROR(VLOOKUP(C261,OBLIGACION!A:G,7,0),""))</f>
        <v/>
      </c>
      <c r="H261" s="35"/>
    </row>
    <row r="262" spans="2:8" x14ac:dyDescent="0.3">
      <c r="B262" s="36"/>
      <c r="D262" t="str">
        <f>IF(C262="","",IFERROR(VLOOKUP(C262,OBLIGACION!A:D,4,0),""))</f>
        <v/>
      </c>
      <c r="E262" t="str">
        <f>IF(C262="","",IFERROR(VLOOKUP(C262,OBLIGACION!A:E,5,0),""))</f>
        <v/>
      </c>
      <c r="F262" t="str">
        <f>IF(C262="","",IFERROR(VLOOKUP(C262,OBLIGACION!A:F,6,0),""))</f>
        <v/>
      </c>
      <c r="G262" t="str">
        <f>IF(C262="","",IFERROR(VLOOKUP(C262,OBLIGACION!A:G,7,0),""))</f>
        <v/>
      </c>
      <c r="H262" s="35"/>
    </row>
    <row r="263" spans="2:8" x14ac:dyDescent="0.3">
      <c r="B263" s="36"/>
      <c r="D263" t="str">
        <f>IF(C263="","",IFERROR(VLOOKUP(C263,OBLIGACION!A:D,4,0),""))</f>
        <v/>
      </c>
      <c r="E263" t="str">
        <f>IF(C263="","",IFERROR(VLOOKUP(C263,OBLIGACION!A:E,5,0),""))</f>
        <v/>
      </c>
      <c r="F263" t="str">
        <f>IF(C263="","",IFERROR(VLOOKUP(C263,OBLIGACION!A:F,6,0),""))</f>
        <v/>
      </c>
      <c r="G263" t="str">
        <f>IF(C263="","",IFERROR(VLOOKUP(C263,OBLIGACION!A:G,7,0),""))</f>
        <v/>
      </c>
      <c r="H263" s="35"/>
    </row>
    <row r="264" spans="2:8" x14ac:dyDescent="0.3">
      <c r="B264" s="36"/>
      <c r="D264" t="str">
        <f>IF(C264="","",IFERROR(VLOOKUP(C264,OBLIGACION!A:D,4,0),""))</f>
        <v/>
      </c>
      <c r="E264" t="str">
        <f>IF(C264="","",IFERROR(VLOOKUP(C264,OBLIGACION!A:E,5,0),""))</f>
        <v/>
      </c>
      <c r="F264" t="str">
        <f>IF(C264="","",IFERROR(VLOOKUP(C264,OBLIGACION!A:F,6,0),""))</f>
        <v/>
      </c>
      <c r="G264" t="str">
        <f>IF(C264="","",IFERROR(VLOOKUP(C264,OBLIGACION!A:G,7,0),""))</f>
        <v/>
      </c>
      <c r="H264" s="35"/>
    </row>
    <row r="265" spans="2:8" x14ac:dyDescent="0.3">
      <c r="B265" s="36"/>
      <c r="D265" t="str">
        <f>IF(C265="","",IFERROR(VLOOKUP(C265,OBLIGACION!A:D,4,0),""))</f>
        <v/>
      </c>
      <c r="E265" t="str">
        <f>IF(C265="","",IFERROR(VLOOKUP(C265,OBLIGACION!A:E,5,0),""))</f>
        <v/>
      </c>
      <c r="F265" t="str">
        <f>IF(C265="","",IFERROR(VLOOKUP(C265,OBLIGACION!A:F,6,0),""))</f>
        <v/>
      </c>
      <c r="G265" t="str">
        <f>IF(C265="","",IFERROR(VLOOKUP(C265,OBLIGACION!A:G,7,0),""))</f>
        <v/>
      </c>
      <c r="H265" s="35"/>
    </row>
    <row r="266" spans="2:8" x14ac:dyDescent="0.3">
      <c r="B266" s="36"/>
      <c r="D266" t="str">
        <f>IF(C266="","",IFERROR(VLOOKUP(C266,OBLIGACION!A:D,4,0),""))</f>
        <v/>
      </c>
      <c r="E266" t="str">
        <f>IF(C266="","",IFERROR(VLOOKUP(C266,OBLIGACION!A:E,5,0),""))</f>
        <v/>
      </c>
      <c r="F266" t="str">
        <f>IF(C266="","",IFERROR(VLOOKUP(C266,OBLIGACION!A:F,6,0),""))</f>
        <v/>
      </c>
      <c r="G266" t="str">
        <f>IF(C266="","",IFERROR(VLOOKUP(C266,OBLIGACION!A:G,7,0),""))</f>
        <v/>
      </c>
      <c r="H266" s="35"/>
    </row>
    <row r="267" spans="2:8" x14ac:dyDescent="0.3">
      <c r="B267" s="36"/>
      <c r="D267" t="str">
        <f>IF(C267="","",IFERROR(VLOOKUP(C267,OBLIGACION!A:D,4,0),""))</f>
        <v/>
      </c>
      <c r="E267" t="str">
        <f>IF(C267="","",IFERROR(VLOOKUP(C267,OBLIGACION!A:E,5,0),""))</f>
        <v/>
      </c>
      <c r="F267" t="str">
        <f>IF(C267="","",IFERROR(VLOOKUP(C267,OBLIGACION!A:F,6,0),""))</f>
        <v/>
      </c>
      <c r="G267" t="str">
        <f>IF(C267="","",IFERROR(VLOOKUP(C267,OBLIGACION!A:G,7,0),""))</f>
        <v/>
      </c>
      <c r="H267" s="35"/>
    </row>
    <row r="268" spans="2:8" x14ac:dyDescent="0.3">
      <c r="B268" s="36"/>
      <c r="D268" t="str">
        <f>IF(C268="","",IFERROR(VLOOKUP(C268,OBLIGACION!A:D,4,0),""))</f>
        <v/>
      </c>
      <c r="E268" t="str">
        <f>IF(C268="","",IFERROR(VLOOKUP(C268,OBLIGACION!A:E,5,0),""))</f>
        <v/>
      </c>
      <c r="F268" t="str">
        <f>IF(C268="","",IFERROR(VLOOKUP(C268,OBLIGACION!A:F,6,0),""))</f>
        <v/>
      </c>
      <c r="G268" t="str">
        <f>IF(C268="","",IFERROR(VLOOKUP(C268,OBLIGACION!A:G,7,0),""))</f>
        <v/>
      </c>
      <c r="H268" s="35"/>
    </row>
    <row r="269" spans="2:8" x14ac:dyDescent="0.3">
      <c r="B269" s="36"/>
      <c r="D269" t="str">
        <f>IF(C269="","",IFERROR(VLOOKUP(C269,OBLIGACION!A:D,4,0),""))</f>
        <v/>
      </c>
      <c r="E269" t="str">
        <f>IF(C269="","",IFERROR(VLOOKUP(C269,OBLIGACION!A:E,5,0),""))</f>
        <v/>
      </c>
      <c r="F269" t="str">
        <f>IF(C269="","",IFERROR(VLOOKUP(C269,OBLIGACION!A:F,6,0),""))</f>
        <v/>
      </c>
      <c r="G269" t="str">
        <f>IF(C269="","",IFERROR(VLOOKUP(C269,OBLIGACION!A:G,7,0),""))</f>
        <v/>
      </c>
      <c r="H269" s="35"/>
    </row>
    <row r="270" spans="2:8" x14ac:dyDescent="0.3">
      <c r="B270" s="36"/>
      <c r="D270" t="str">
        <f>IF(C270="","",IFERROR(VLOOKUP(C270,OBLIGACION!A:D,4,0),""))</f>
        <v/>
      </c>
      <c r="E270" t="str">
        <f>IF(C270="","",IFERROR(VLOOKUP(C270,OBLIGACION!A:E,5,0),""))</f>
        <v/>
      </c>
      <c r="F270" t="str">
        <f>IF(C270="","",IFERROR(VLOOKUP(C270,OBLIGACION!A:F,6,0),""))</f>
        <v/>
      </c>
      <c r="G270" t="str">
        <f>IF(C270="","",IFERROR(VLOOKUP(C270,OBLIGACION!A:G,7,0),""))</f>
        <v/>
      </c>
      <c r="H270" s="35"/>
    </row>
    <row r="271" spans="2:8" x14ac:dyDescent="0.3">
      <c r="B271" s="36"/>
      <c r="D271" t="str">
        <f>IF(C271="","",IFERROR(VLOOKUP(C271,OBLIGACION!A:D,4,0),""))</f>
        <v/>
      </c>
      <c r="E271" t="str">
        <f>IF(C271="","",IFERROR(VLOOKUP(C271,OBLIGACION!A:E,5,0),""))</f>
        <v/>
      </c>
      <c r="F271" t="str">
        <f>IF(C271="","",IFERROR(VLOOKUP(C271,OBLIGACION!A:F,6,0),""))</f>
        <v/>
      </c>
      <c r="G271" t="str">
        <f>IF(C271="","",IFERROR(VLOOKUP(C271,OBLIGACION!A:G,7,0),""))</f>
        <v/>
      </c>
      <c r="H271" s="35"/>
    </row>
    <row r="272" spans="2:8" x14ac:dyDescent="0.3">
      <c r="B272" s="36"/>
      <c r="D272" t="str">
        <f>IF(C272="","",IFERROR(VLOOKUP(C272,OBLIGACION!A:D,4,0),""))</f>
        <v/>
      </c>
      <c r="E272" t="str">
        <f>IF(C272="","",IFERROR(VLOOKUP(C272,OBLIGACION!A:E,5,0),""))</f>
        <v/>
      </c>
      <c r="F272" t="str">
        <f>IF(C272="","",IFERROR(VLOOKUP(C272,OBLIGACION!A:F,6,0),""))</f>
        <v/>
      </c>
      <c r="G272" t="str">
        <f>IF(C272="","",IFERROR(VLOOKUP(C272,OBLIGACION!A:G,7,0),""))</f>
        <v/>
      </c>
      <c r="H272" s="35"/>
    </row>
    <row r="273" spans="2:8" x14ac:dyDescent="0.3">
      <c r="B273" s="36"/>
      <c r="D273" t="str">
        <f>IF(C273="","",IFERROR(VLOOKUP(C273,OBLIGACION!A:D,4,0),""))</f>
        <v/>
      </c>
      <c r="E273" t="str">
        <f>IF(C273="","",IFERROR(VLOOKUP(C273,OBLIGACION!A:E,5,0),""))</f>
        <v/>
      </c>
      <c r="F273" t="str">
        <f>IF(C273="","",IFERROR(VLOOKUP(C273,OBLIGACION!A:F,6,0),""))</f>
        <v/>
      </c>
      <c r="G273" t="str">
        <f>IF(C273="","",IFERROR(VLOOKUP(C273,OBLIGACION!A:G,7,0),""))</f>
        <v/>
      </c>
      <c r="H273" s="35"/>
    </row>
    <row r="274" spans="2:8" x14ac:dyDescent="0.3">
      <c r="B274" s="36"/>
      <c r="D274" t="str">
        <f>IF(C274="","",IFERROR(VLOOKUP(C274,OBLIGACION!A:D,4,0),""))</f>
        <v/>
      </c>
      <c r="E274" t="str">
        <f>IF(C274="","",IFERROR(VLOOKUP(C274,OBLIGACION!A:E,5,0),""))</f>
        <v/>
      </c>
      <c r="F274" t="str">
        <f>IF(C274="","",IFERROR(VLOOKUP(C274,OBLIGACION!A:F,6,0),""))</f>
        <v/>
      </c>
      <c r="G274" t="str">
        <f>IF(C274="","",IFERROR(VLOOKUP(C274,OBLIGACION!A:G,7,0),""))</f>
        <v/>
      </c>
      <c r="H274" s="35"/>
    </row>
    <row r="275" spans="2:8" x14ac:dyDescent="0.3">
      <c r="B275" s="36"/>
      <c r="D275" t="str">
        <f>IF(C275="","",IFERROR(VLOOKUP(C275,OBLIGACION!A:D,4,0),""))</f>
        <v/>
      </c>
      <c r="E275" t="str">
        <f>IF(C275="","",IFERROR(VLOOKUP(C275,OBLIGACION!A:E,5,0),""))</f>
        <v/>
      </c>
      <c r="F275" t="str">
        <f>IF(C275="","",IFERROR(VLOOKUP(C275,OBLIGACION!A:F,6,0),""))</f>
        <v/>
      </c>
      <c r="G275" t="str">
        <f>IF(C275="","",IFERROR(VLOOKUP(C275,OBLIGACION!A:G,7,0),""))</f>
        <v/>
      </c>
      <c r="H275" s="35"/>
    </row>
    <row r="276" spans="2:8" x14ac:dyDescent="0.3">
      <c r="B276" s="36"/>
      <c r="D276" t="str">
        <f>IF(C276="","",IFERROR(VLOOKUP(C276,OBLIGACION!A:D,4,0),""))</f>
        <v/>
      </c>
      <c r="E276" t="str">
        <f>IF(C276="","",IFERROR(VLOOKUP(C276,OBLIGACION!A:E,5,0),""))</f>
        <v/>
      </c>
      <c r="F276" t="str">
        <f>IF(C276="","",IFERROR(VLOOKUP(C276,OBLIGACION!A:F,6,0),""))</f>
        <v/>
      </c>
      <c r="G276" t="str">
        <f>IF(C276="","",IFERROR(VLOOKUP(C276,OBLIGACION!A:G,7,0),""))</f>
        <v/>
      </c>
      <c r="H276" s="35"/>
    </row>
    <row r="277" spans="2:8" x14ac:dyDescent="0.3">
      <c r="B277" s="36"/>
      <c r="D277" t="str">
        <f>IF(C277="","",IFERROR(VLOOKUP(C277,OBLIGACION!A:D,4,0),""))</f>
        <v/>
      </c>
      <c r="E277" t="str">
        <f>IF(C277="","",IFERROR(VLOOKUP(C277,OBLIGACION!A:E,5,0),""))</f>
        <v/>
      </c>
      <c r="F277" t="str">
        <f>IF(C277="","",IFERROR(VLOOKUP(C277,OBLIGACION!A:F,6,0),""))</f>
        <v/>
      </c>
      <c r="G277" t="str">
        <f>IF(C277="","",IFERROR(VLOOKUP(C277,OBLIGACION!A:G,7,0),""))</f>
        <v/>
      </c>
      <c r="H277" s="35"/>
    </row>
    <row r="278" spans="2:8" x14ac:dyDescent="0.3">
      <c r="B278" s="36"/>
      <c r="D278" t="str">
        <f>IF(C278="","",IFERROR(VLOOKUP(C278,OBLIGACION!A:D,4,0),""))</f>
        <v/>
      </c>
      <c r="E278" t="str">
        <f>IF(C278="","",IFERROR(VLOOKUP(C278,OBLIGACION!A:E,5,0),""))</f>
        <v/>
      </c>
      <c r="F278" t="str">
        <f>IF(C278="","",IFERROR(VLOOKUP(C278,OBLIGACION!A:F,6,0),""))</f>
        <v/>
      </c>
      <c r="G278" t="str">
        <f>IF(C278="","",IFERROR(VLOOKUP(C278,OBLIGACION!A:G,7,0),""))</f>
        <v/>
      </c>
      <c r="H278" s="35"/>
    </row>
    <row r="279" spans="2:8" x14ac:dyDescent="0.3">
      <c r="B279" s="36"/>
      <c r="D279" t="str">
        <f>IF(C279="","",IFERROR(VLOOKUP(C279,OBLIGACION!A:D,4,0),""))</f>
        <v/>
      </c>
      <c r="E279" t="str">
        <f>IF(C279="","",IFERROR(VLOOKUP(C279,OBLIGACION!A:E,5,0),""))</f>
        <v/>
      </c>
      <c r="F279" t="str">
        <f>IF(C279="","",IFERROR(VLOOKUP(C279,OBLIGACION!A:F,6,0),""))</f>
        <v/>
      </c>
      <c r="G279" t="str">
        <f>IF(C279="","",IFERROR(VLOOKUP(C279,OBLIGACION!A:G,7,0),""))</f>
        <v/>
      </c>
      <c r="H279" s="35"/>
    </row>
    <row r="280" spans="2:8" x14ac:dyDescent="0.3">
      <c r="B280" s="36"/>
      <c r="D280" t="str">
        <f>IF(C280="","",IFERROR(VLOOKUP(C280,OBLIGACION!A:D,4,0),""))</f>
        <v/>
      </c>
      <c r="E280" t="str">
        <f>IF(C280="","",IFERROR(VLOOKUP(C280,OBLIGACION!A:E,5,0),""))</f>
        <v/>
      </c>
      <c r="F280" t="str">
        <f>IF(C280="","",IFERROR(VLOOKUP(C280,OBLIGACION!A:F,6,0),""))</f>
        <v/>
      </c>
      <c r="G280" t="str">
        <f>IF(C280="","",IFERROR(VLOOKUP(C280,OBLIGACION!A:G,7,0),""))</f>
        <v/>
      </c>
      <c r="H280" s="35"/>
    </row>
    <row r="281" spans="2:8" x14ac:dyDescent="0.3">
      <c r="B281" s="36"/>
      <c r="D281" t="str">
        <f>IF(C281="","",IFERROR(VLOOKUP(C281,OBLIGACION!A:D,4,0),""))</f>
        <v/>
      </c>
      <c r="E281" t="str">
        <f>IF(C281="","",IFERROR(VLOOKUP(C281,OBLIGACION!A:E,5,0),""))</f>
        <v/>
      </c>
      <c r="F281" t="str">
        <f>IF(C281="","",IFERROR(VLOOKUP(C281,OBLIGACION!A:F,6,0),""))</f>
        <v/>
      </c>
      <c r="G281" t="str">
        <f>IF(C281="","",IFERROR(VLOOKUP(C281,OBLIGACION!A:G,7,0),""))</f>
        <v/>
      </c>
      <c r="H281" s="35"/>
    </row>
    <row r="282" spans="2:8" x14ac:dyDescent="0.3">
      <c r="B282" s="36"/>
      <c r="D282" t="str">
        <f>IF(C282="","",IFERROR(VLOOKUP(C282,OBLIGACION!A:D,4,0),""))</f>
        <v/>
      </c>
      <c r="E282" t="str">
        <f>IF(C282="","",IFERROR(VLOOKUP(C282,OBLIGACION!A:E,5,0),""))</f>
        <v/>
      </c>
      <c r="F282" t="str">
        <f>IF(C282="","",IFERROR(VLOOKUP(C282,OBLIGACION!A:F,6,0),""))</f>
        <v/>
      </c>
      <c r="G282" t="str">
        <f>IF(C282="","",IFERROR(VLOOKUP(C282,OBLIGACION!A:G,7,0),""))</f>
        <v/>
      </c>
      <c r="H282" s="35"/>
    </row>
    <row r="283" spans="2:8" x14ac:dyDescent="0.3">
      <c r="B283" s="36"/>
      <c r="D283" t="str">
        <f>IF(C283="","",IFERROR(VLOOKUP(C283,OBLIGACION!A:D,4,0),""))</f>
        <v/>
      </c>
      <c r="E283" t="str">
        <f>IF(C283="","",IFERROR(VLOOKUP(C283,OBLIGACION!A:E,5,0),""))</f>
        <v/>
      </c>
      <c r="F283" t="str">
        <f>IF(C283="","",IFERROR(VLOOKUP(C283,OBLIGACION!A:F,6,0),""))</f>
        <v/>
      </c>
      <c r="G283" t="str">
        <f>IF(C283="","",IFERROR(VLOOKUP(C283,OBLIGACION!A:G,7,0),""))</f>
        <v/>
      </c>
      <c r="H283" s="35"/>
    </row>
    <row r="284" spans="2:8" x14ac:dyDescent="0.3">
      <c r="B284" s="36"/>
      <c r="D284" t="str">
        <f>IF(C284="","",IFERROR(VLOOKUP(C284,OBLIGACION!A:D,4,0),""))</f>
        <v/>
      </c>
      <c r="E284" t="str">
        <f>IF(C284="","",IFERROR(VLOOKUP(C284,OBLIGACION!A:E,5,0),""))</f>
        <v/>
      </c>
      <c r="F284" t="str">
        <f>IF(C284="","",IFERROR(VLOOKUP(C284,OBLIGACION!A:F,6,0),""))</f>
        <v/>
      </c>
      <c r="G284" t="str">
        <f>IF(C284="","",IFERROR(VLOOKUP(C284,OBLIGACION!A:G,7,0),""))</f>
        <v/>
      </c>
      <c r="H284" s="35"/>
    </row>
    <row r="285" spans="2:8" x14ac:dyDescent="0.3">
      <c r="B285" s="36"/>
      <c r="D285" t="str">
        <f>IF(C285="","",IFERROR(VLOOKUP(C285,OBLIGACION!A:D,4,0),""))</f>
        <v/>
      </c>
      <c r="E285" t="str">
        <f>IF(C285="","",IFERROR(VLOOKUP(C285,OBLIGACION!A:E,5,0),""))</f>
        <v/>
      </c>
      <c r="F285" t="str">
        <f>IF(C285="","",IFERROR(VLOOKUP(C285,OBLIGACION!A:F,6,0),""))</f>
        <v/>
      </c>
      <c r="G285" t="str">
        <f>IF(C285="","",IFERROR(VLOOKUP(C285,OBLIGACION!A:G,7,0),""))</f>
        <v/>
      </c>
      <c r="H285" s="35"/>
    </row>
    <row r="286" spans="2:8" x14ac:dyDescent="0.3">
      <c r="B286" s="36"/>
      <c r="D286" t="str">
        <f>IF(C286="","",IFERROR(VLOOKUP(C286,OBLIGACION!A:D,4,0),""))</f>
        <v/>
      </c>
      <c r="E286" t="str">
        <f>IF(C286="","",IFERROR(VLOOKUP(C286,OBLIGACION!A:E,5,0),""))</f>
        <v/>
      </c>
      <c r="F286" t="str">
        <f>IF(C286="","",IFERROR(VLOOKUP(C286,OBLIGACION!A:F,6,0),""))</f>
        <v/>
      </c>
      <c r="G286" t="str">
        <f>IF(C286="","",IFERROR(VLOOKUP(C286,OBLIGACION!A:G,7,0),""))</f>
        <v/>
      </c>
      <c r="H286" s="35"/>
    </row>
    <row r="287" spans="2:8" x14ac:dyDescent="0.3">
      <c r="B287" s="36"/>
      <c r="D287" t="str">
        <f>IF(C287="","",IFERROR(VLOOKUP(C287,OBLIGACION!A:D,4,0),""))</f>
        <v/>
      </c>
      <c r="E287" t="str">
        <f>IF(C287="","",IFERROR(VLOOKUP(C287,OBLIGACION!A:E,5,0),""))</f>
        <v/>
      </c>
      <c r="F287" t="str">
        <f>IF(C287="","",IFERROR(VLOOKUP(C287,OBLIGACION!A:F,6,0),""))</f>
        <v/>
      </c>
      <c r="G287" t="str">
        <f>IF(C287="","",IFERROR(VLOOKUP(C287,OBLIGACION!A:G,7,0),""))</f>
        <v/>
      </c>
      <c r="H287" s="35"/>
    </row>
    <row r="288" spans="2:8" x14ac:dyDescent="0.3">
      <c r="B288" s="36"/>
      <c r="D288" t="str">
        <f>IF(C288="","",IFERROR(VLOOKUP(C288,OBLIGACION!A:D,4,0),""))</f>
        <v/>
      </c>
      <c r="E288" t="str">
        <f>IF(C288="","",IFERROR(VLOOKUP(C288,OBLIGACION!A:E,5,0),""))</f>
        <v/>
      </c>
      <c r="F288" t="str">
        <f>IF(C288="","",IFERROR(VLOOKUP(C288,OBLIGACION!A:F,6,0),""))</f>
        <v/>
      </c>
      <c r="G288" t="str">
        <f>IF(C288="","",IFERROR(VLOOKUP(C288,OBLIGACION!A:G,7,0),""))</f>
        <v/>
      </c>
      <c r="H288" s="35"/>
    </row>
    <row r="289" spans="2:8" x14ac:dyDescent="0.3">
      <c r="B289" s="36"/>
      <c r="D289" t="str">
        <f>IF(C289="","",IFERROR(VLOOKUP(C289,OBLIGACION!A:D,4,0),""))</f>
        <v/>
      </c>
      <c r="E289" t="str">
        <f>IF(C289="","",IFERROR(VLOOKUP(C289,OBLIGACION!A:E,5,0),""))</f>
        <v/>
      </c>
      <c r="F289" t="str">
        <f>IF(C289="","",IFERROR(VLOOKUP(C289,OBLIGACION!A:F,6,0),""))</f>
        <v/>
      </c>
      <c r="G289" t="str">
        <f>IF(C289="","",IFERROR(VLOOKUP(C289,OBLIGACION!A:G,7,0),""))</f>
        <v/>
      </c>
      <c r="H289" s="35"/>
    </row>
    <row r="290" spans="2:8" x14ac:dyDescent="0.3">
      <c r="B290" s="36"/>
      <c r="D290" t="str">
        <f>IF(C290="","",IFERROR(VLOOKUP(C290,OBLIGACION!A:D,4,0),""))</f>
        <v/>
      </c>
      <c r="E290" t="str">
        <f>IF(C290="","",IFERROR(VLOOKUP(C290,OBLIGACION!A:E,5,0),""))</f>
        <v/>
      </c>
      <c r="F290" t="str">
        <f>IF(C290="","",IFERROR(VLOOKUP(C290,OBLIGACION!A:F,6,0),""))</f>
        <v/>
      </c>
      <c r="G290" t="str">
        <f>IF(C290="","",IFERROR(VLOOKUP(C290,OBLIGACION!A:G,7,0),""))</f>
        <v/>
      </c>
      <c r="H290" s="35"/>
    </row>
    <row r="291" spans="2:8" x14ac:dyDescent="0.3">
      <c r="B291" s="36"/>
      <c r="D291" t="str">
        <f>IF(C291="","",IFERROR(VLOOKUP(C291,OBLIGACION!A:D,4,0),""))</f>
        <v/>
      </c>
      <c r="E291" t="str">
        <f>IF(C291="","",IFERROR(VLOOKUP(C291,OBLIGACION!A:E,5,0),""))</f>
        <v/>
      </c>
      <c r="F291" t="str">
        <f>IF(C291="","",IFERROR(VLOOKUP(C291,OBLIGACION!A:F,6,0),""))</f>
        <v/>
      </c>
      <c r="G291" t="str">
        <f>IF(C291="","",IFERROR(VLOOKUP(C291,OBLIGACION!A:G,7,0),""))</f>
        <v/>
      </c>
      <c r="H291" s="35"/>
    </row>
    <row r="292" spans="2:8" x14ac:dyDescent="0.3">
      <c r="B292" s="36"/>
      <c r="D292" t="str">
        <f>IF(C292="","",IFERROR(VLOOKUP(C292,OBLIGACION!A:D,4,0),""))</f>
        <v/>
      </c>
      <c r="E292" t="str">
        <f>IF(C292="","",IFERROR(VLOOKUP(C292,OBLIGACION!A:E,5,0),""))</f>
        <v/>
      </c>
      <c r="F292" t="str">
        <f>IF(C292="","",IFERROR(VLOOKUP(C292,OBLIGACION!A:F,6,0),""))</f>
        <v/>
      </c>
      <c r="G292" t="str">
        <f>IF(C292="","",IFERROR(VLOOKUP(C292,OBLIGACION!A:G,7,0),""))</f>
        <v/>
      </c>
      <c r="H292" s="35"/>
    </row>
    <row r="293" spans="2:8" x14ac:dyDescent="0.3">
      <c r="B293" s="36"/>
      <c r="D293" t="str">
        <f>IF(C293="","",IFERROR(VLOOKUP(C293,OBLIGACION!A:D,4,0),""))</f>
        <v/>
      </c>
      <c r="E293" t="str">
        <f>IF(C293="","",IFERROR(VLOOKUP(C293,OBLIGACION!A:E,5,0),""))</f>
        <v/>
      </c>
      <c r="F293" t="str">
        <f>IF(C293="","",IFERROR(VLOOKUP(C293,OBLIGACION!A:F,6,0),""))</f>
        <v/>
      </c>
      <c r="G293" t="str">
        <f>IF(C293="","",IFERROR(VLOOKUP(C293,OBLIGACION!A:G,7,0),""))</f>
        <v/>
      </c>
      <c r="H293" s="35"/>
    </row>
    <row r="294" spans="2:8" x14ac:dyDescent="0.3">
      <c r="B294" s="36"/>
      <c r="D294" t="str">
        <f>IF(C294="","",IFERROR(VLOOKUP(C294,OBLIGACION!A:D,4,0),""))</f>
        <v/>
      </c>
      <c r="E294" t="str">
        <f>IF(C294="","",IFERROR(VLOOKUP(C294,OBLIGACION!A:E,5,0),""))</f>
        <v/>
      </c>
      <c r="F294" t="str">
        <f>IF(C294="","",IFERROR(VLOOKUP(C294,OBLIGACION!A:F,6,0),""))</f>
        <v/>
      </c>
      <c r="G294" t="str">
        <f>IF(C294="","",IFERROR(VLOOKUP(C294,OBLIGACION!A:G,7,0),""))</f>
        <v/>
      </c>
      <c r="H294" s="35"/>
    </row>
    <row r="295" spans="2:8" x14ac:dyDescent="0.3">
      <c r="B295" s="36"/>
      <c r="D295" t="str">
        <f>IF(C295="","",IFERROR(VLOOKUP(C295,OBLIGACION!A:D,4,0),""))</f>
        <v/>
      </c>
      <c r="E295" t="str">
        <f>IF(C295="","",IFERROR(VLOOKUP(C295,OBLIGACION!A:E,5,0),""))</f>
        <v/>
      </c>
      <c r="F295" t="str">
        <f>IF(C295="","",IFERROR(VLOOKUP(C295,OBLIGACION!A:F,6,0),""))</f>
        <v/>
      </c>
      <c r="G295" t="str">
        <f>IF(C295="","",IFERROR(VLOOKUP(C295,OBLIGACION!A:G,7,0),""))</f>
        <v/>
      </c>
      <c r="H295" s="35"/>
    </row>
    <row r="296" spans="2:8" x14ac:dyDescent="0.3">
      <c r="B296" s="36"/>
      <c r="D296" t="str">
        <f>IF(C296="","",IFERROR(VLOOKUP(C296,OBLIGACION!A:D,4,0),""))</f>
        <v/>
      </c>
      <c r="E296" t="str">
        <f>IF(C296="","",IFERROR(VLOOKUP(C296,OBLIGACION!A:E,5,0),""))</f>
        <v/>
      </c>
      <c r="F296" t="str">
        <f>IF(C296="","",IFERROR(VLOOKUP(C296,OBLIGACION!A:F,6,0),""))</f>
        <v/>
      </c>
      <c r="G296" t="str">
        <f>IF(C296="","",IFERROR(VLOOKUP(C296,OBLIGACION!A:G,7,0),""))</f>
        <v/>
      </c>
      <c r="H296" s="35"/>
    </row>
    <row r="297" spans="2:8" x14ac:dyDescent="0.3">
      <c r="B297" s="36"/>
      <c r="D297" t="str">
        <f>IF(C297="","",IFERROR(VLOOKUP(C297,OBLIGACION!A:D,4,0),""))</f>
        <v/>
      </c>
      <c r="E297" t="str">
        <f>IF(C297="","",IFERROR(VLOOKUP(C297,OBLIGACION!A:E,5,0),""))</f>
        <v/>
      </c>
      <c r="F297" t="str">
        <f>IF(C297="","",IFERROR(VLOOKUP(C297,OBLIGACION!A:F,6,0),""))</f>
        <v/>
      </c>
      <c r="G297" t="str">
        <f>IF(C297="","",IFERROR(VLOOKUP(C297,OBLIGACION!A:G,7,0),""))</f>
        <v/>
      </c>
      <c r="H297" s="35"/>
    </row>
    <row r="298" spans="2:8" x14ac:dyDescent="0.3">
      <c r="B298" s="36"/>
      <c r="D298" t="str">
        <f>IF(C298="","",IFERROR(VLOOKUP(C298,OBLIGACION!A:D,4,0),""))</f>
        <v/>
      </c>
      <c r="E298" t="str">
        <f>IF(C298="","",IFERROR(VLOOKUP(C298,OBLIGACION!A:E,5,0),""))</f>
        <v/>
      </c>
      <c r="F298" t="str">
        <f>IF(C298="","",IFERROR(VLOOKUP(C298,OBLIGACION!A:F,6,0),""))</f>
        <v/>
      </c>
      <c r="G298" t="str">
        <f>IF(C298="","",IFERROR(VLOOKUP(C298,OBLIGACION!A:G,7,0),""))</f>
        <v/>
      </c>
      <c r="H298" s="35"/>
    </row>
    <row r="299" spans="2:8" x14ac:dyDescent="0.3">
      <c r="B299" s="36"/>
      <c r="D299" t="str">
        <f>IF(C299="","",IFERROR(VLOOKUP(C299,OBLIGACION!A:D,4,0),""))</f>
        <v/>
      </c>
      <c r="E299" t="str">
        <f>IF(C299="","",IFERROR(VLOOKUP(C299,OBLIGACION!A:E,5,0),""))</f>
        <v/>
      </c>
      <c r="F299" t="str">
        <f>IF(C299="","",IFERROR(VLOOKUP(C299,OBLIGACION!A:F,6,0),""))</f>
        <v/>
      </c>
      <c r="G299" t="str">
        <f>IF(C299="","",IFERROR(VLOOKUP(C299,OBLIGACION!A:G,7,0),""))</f>
        <v/>
      </c>
      <c r="H299" s="35"/>
    </row>
    <row r="300" spans="2:8" x14ac:dyDescent="0.3">
      <c r="B300" s="36"/>
      <c r="D300" t="str">
        <f>IF(C300="","",IFERROR(VLOOKUP(C300,OBLIGACION!A:D,4,0),""))</f>
        <v/>
      </c>
      <c r="E300" t="str">
        <f>IF(C300="","",IFERROR(VLOOKUP(C300,OBLIGACION!A:E,5,0),""))</f>
        <v/>
      </c>
      <c r="F300" t="str">
        <f>IF(C300="","",IFERROR(VLOOKUP(C300,OBLIGACION!A:F,6,0),""))</f>
        <v/>
      </c>
      <c r="G300" t="str">
        <f>IF(C300="","",IFERROR(VLOOKUP(C300,OBLIGACION!A:G,7,0),""))</f>
        <v/>
      </c>
      <c r="H300" s="35"/>
    </row>
    <row r="301" spans="2:8" x14ac:dyDescent="0.3">
      <c r="B301" s="36"/>
      <c r="D301" t="str">
        <f>IF(C301="","",IFERROR(VLOOKUP(C301,OBLIGACION!A:D,4,0),""))</f>
        <v/>
      </c>
      <c r="E301" t="str">
        <f>IF(C301="","",IFERROR(VLOOKUP(C301,OBLIGACION!A:E,5,0),""))</f>
        <v/>
      </c>
      <c r="F301" t="str">
        <f>IF(C301="","",IFERROR(VLOOKUP(C301,OBLIGACION!A:F,6,0),""))</f>
        <v/>
      </c>
      <c r="G301" t="str">
        <f>IF(C301="","",IFERROR(VLOOKUP(C301,OBLIGACION!A:G,7,0),""))</f>
        <v/>
      </c>
      <c r="H301" s="35"/>
    </row>
    <row r="302" spans="2:8" x14ac:dyDescent="0.3">
      <c r="B302" s="36"/>
      <c r="D302" t="str">
        <f>IF(C302="","",IFERROR(VLOOKUP(C302,OBLIGACION!A:D,4,0),""))</f>
        <v/>
      </c>
      <c r="E302" t="str">
        <f>IF(C302="","",IFERROR(VLOOKUP(C302,OBLIGACION!A:E,5,0),""))</f>
        <v/>
      </c>
      <c r="F302" t="str">
        <f>IF(C302="","",IFERROR(VLOOKUP(C302,OBLIGACION!A:F,6,0),""))</f>
        <v/>
      </c>
      <c r="G302" t="str">
        <f>IF(C302="","",IFERROR(VLOOKUP(C302,OBLIGACION!A:G,7,0),""))</f>
        <v/>
      </c>
      <c r="H302" s="35"/>
    </row>
    <row r="303" spans="2:8" x14ac:dyDescent="0.3">
      <c r="B303" s="36"/>
      <c r="D303" t="str">
        <f>IF(C303="","",IFERROR(VLOOKUP(C303,OBLIGACION!A:D,4,0),""))</f>
        <v/>
      </c>
      <c r="E303" t="str">
        <f>IF(C303="","",IFERROR(VLOOKUP(C303,OBLIGACION!A:E,5,0),""))</f>
        <v/>
      </c>
      <c r="F303" t="str">
        <f>IF(C303="","",IFERROR(VLOOKUP(C303,OBLIGACION!A:F,6,0),""))</f>
        <v/>
      </c>
      <c r="G303" t="str">
        <f>IF(C303="","",IFERROR(VLOOKUP(C303,OBLIGACION!A:G,7,0),""))</f>
        <v/>
      </c>
      <c r="H303" s="35"/>
    </row>
    <row r="304" spans="2:8" x14ac:dyDescent="0.3">
      <c r="B304" s="36"/>
      <c r="D304" t="str">
        <f>IF(C304="","",IFERROR(VLOOKUP(C304,OBLIGACION!A:D,4,0),""))</f>
        <v/>
      </c>
      <c r="E304" t="str">
        <f>IF(C304="","",IFERROR(VLOOKUP(C304,OBLIGACION!A:E,5,0),""))</f>
        <v/>
      </c>
      <c r="F304" t="str">
        <f>IF(C304="","",IFERROR(VLOOKUP(C304,OBLIGACION!A:F,6,0),""))</f>
        <v/>
      </c>
      <c r="G304" t="str">
        <f>IF(C304="","",IFERROR(VLOOKUP(C304,OBLIGACION!A:G,7,0),""))</f>
        <v/>
      </c>
      <c r="H304" s="35"/>
    </row>
    <row r="305" spans="2:8" x14ac:dyDescent="0.3">
      <c r="B305" s="36"/>
      <c r="D305" t="str">
        <f>IF(C305="","",IFERROR(VLOOKUP(C305,OBLIGACION!A:D,4,0),""))</f>
        <v/>
      </c>
      <c r="E305" t="str">
        <f>IF(C305="","",IFERROR(VLOOKUP(C305,OBLIGACION!A:E,5,0),""))</f>
        <v/>
      </c>
      <c r="F305" t="str">
        <f>IF(C305="","",IFERROR(VLOOKUP(C305,OBLIGACION!A:F,6,0),""))</f>
        <v/>
      </c>
      <c r="G305" t="str">
        <f>IF(C305="","",IFERROR(VLOOKUP(C305,OBLIGACION!A:G,7,0),""))</f>
        <v/>
      </c>
      <c r="H305" s="35"/>
    </row>
    <row r="306" spans="2:8" x14ac:dyDescent="0.3">
      <c r="B306" s="36"/>
      <c r="D306" t="str">
        <f>IF(C306="","",IFERROR(VLOOKUP(C306,OBLIGACION!A:D,4,0),""))</f>
        <v/>
      </c>
      <c r="E306" t="str">
        <f>IF(C306="","",IFERROR(VLOOKUP(C306,OBLIGACION!A:E,5,0),""))</f>
        <v/>
      </c>
      <c r="F306" t="str">
        <f>IF(C306="","",IFERROR(VLOOKUP(C306,OBLIGACION!A:F,6,0),""))</f>
        <v/>
      </c>
      <c r="G306" t="str">
        <f>IF(C306="","",IFERROR(VLOOKUP(C306,OBLIGACION!A:G,7,0),""))</f>
        <v/>
      </c>
      <c r="H306" s="35"/>
    </row>
    <row r="307" spans="2:8" x14ac:dyDescent="0.3">
      <c r="B307" s="36"/>
      <c r="D307" t="str">
        <f>IF(C307="","",IFERROR(VLOOKUP(C307,OBLIGACION!A:D,4,0),""))</f>
        <v/>
      </c>
      <c r="E307" t="str">
        <f>IF(C307="","",IFERROR(VLOOKUP(C307,OBLIGACION!A:E,5,0),""))</f>
        <v/>
      </c>
      <c r="F307" t="str">
        <f>IF(C307="","",IFERROR(VLOOKUP(C307,OBLIGACION!A:F,6,0),""))</f>
        <v/>
      </c>
      <c r="G307" t="str">
        <f>IF(C307="","",IFERROR(VLOOKUP(C307,OBLIGACION!A:G,7,0),""))</f>
        <v/>
      </c>
      <c r="H307" s="35"/>
    </row>
    <row r="308" spans="2:8" x14ac:dyDescent="0.3">
      <c r="B308" s="36"/>
      <c r="D308" t="str">
        <f>IF(C308="","",IFERROR(VLOOKUP(C308,OBLIGACION!A:D,4,0),""))</f>
        <v/>
      </c>
      <c r="E308" t="str">
        <f>IF(C308="","",IFERROR(VLOOKUP(C308,OBLIGACION!A:E,5,0),""))</f>
        <v/>
      </c>
      <c r="F308" t="str">
        <f>IF(C308="","",IFERROR(VLOOKUP(C308,OBLIGACION!A:F,6,0),""))</f>
        <v/>
      </c>
      <c r="G308" t="str">
        <f>IF(C308="","",IFERROR(VLOOKUP(C308,OBLIGACION!A:G,7,0),""))</f>
        <v/>
      </c>
      <c r="H308" s="35"/>
    </row>
    <row r="309" spans="2:8" x14ac:dyDescent="0.3">
      <c r="B309" s="36"/>
      <c r="D309" t="str">
        <f>IF(C309="","",IFERROR(VLOOKUP(C309,OBLIGACION!A:D,4,0),""))</f>
        <v/>
      </c>
      <c r="E309" t="str">
        <f>IF(C309="","",IFERROR(VLOOKUP(C309,OBLIGACION!A:E,5,0),""))</f>
        <v/>
      </c>
      <c r="F309" t="str">
        <f>IF(C309="","",IFERROR(VLOOKUP(C309,OBLIGACION!A:F,6,0),""))</f>
        <v/>
      </c>
      <c r="G309" t="str">
        <f>IF(C309="","",IFERROR(VLOOKUP(C309,OBLIGACION!A:G,7,0),""))</f>
        <v/>
      </c>
      <c r="H309" s="35"/>
    </row>
    <row r="310" spans="2:8" x14ac:dyDescent="0.3">
      <c r="B310" s="36"/>
      <c r="D310" t="str">
        <f>IF(C310="","",IFERROR(VLOOKUP(C310,OBLIGACION!A:D,4,0),""))</f>
        <v/>
      </c>
      <c r="E310" t="str">
        <f>IF(C310="","",IFERROR(VLOOKUP(C310,OBLIGACION!A:E,5,0),""))</f>
        <v/>
      </c>
      <c r="F310" t="str">
        <f>IF(C310="","",IFERROR(VLOOKUP(C310,OBLIGACION!A:F,6,0),""))</f>
        <v/>
      </c>
      <c r="G310" t="str">
        <f>IF(C310="","",IFERROR(VLOOKUP(C310,OBLIGACION!A:G,7,0),""))</f>
        <v/>
      </c>
      <c r="H310" s="35"/>
    </row>
    <row r="311" spans="2:8" x14ac:dyDescent="0.3">
      <c r="B311" s="36"/>
      <c r="D311" t="str">
        <f>IF(C311="","",IFERROR(VLOOKUP(C311,OBLIGACION!A:D,4,0),""))</f>
        <v/>
      </c>
      <c r="E311" t="str">
        <f>IF(C311="","",IFERROR(VLOOKUP(C311,OBLIGACION!A:E,5,0),""))</f>
        <v/>
      </c>
      <c r="F311" t="str">
        <f>IF(C311="","",IFERROR(VLOOKUP(C311,OBLIGACION!A:F,6,0),""))</f>
        <v/>
      </c>
      <c r="G311" t="str">
        <f>IF(C311="","",IFERROR(VLOOKUP(C311,OBLIGACION!A:G,7,0),""))</f>
        <v/>
      </c>
      <c r="H311" s="35"/>
    </row>
    <row r="312" spans="2:8" x14ac:dyDescent="0.3">
      <c r="B312" s="36"/>
      <c r="D312" t="str">
        <f>IF(C312="","",IFERROR(VLOOKUP(C312,OBLIGACION!A:D,4,0),""))</f>
        <v/>
      </c>
      <c r="E312" t="str">
        <f>IF(C312="","",IFERROR(VLOOKUP(C312,OBLIGACION!A:E,5,0),""))</f>
        <v/>
      </c>
      <c r="F312" t="str">
        <f>IF(C312="","",IFERROR(VLOOKUP(C312,OBLIGACION!A:F,6,0),""))</f>
        <v/>
      </c>
      <c r="G312" t="str">
        <f>IF(C312="","",IFERROR(VLOOKUP(C312,OBLIGACION!A:G,7,0),""))</f>
        <v/>
      </c>
      <c r="H312" s="35"/>
    </row>
    <row r="313" spans="2:8" x14ac:dyDescent="0.3">
      <c r="B313" s="36"/>
      <c r="D313" t="str">
        <f>IF(C313="","",IFERROR(VLOOKUP(C313,OBLIGACION!A:D,4,0),""))</f>
        <v/>
      </c>
      <c r="E313" t="str">
        <f>IF(C313="","",IFERROR(VLOOKUP(C313,OBLIGACION!A:E,5,0),""))</f>
        <v/>
      </c>
      <c r="F313" t="str">
        <f>IF(C313="","",IFERROR(VLOOKUP(C313,OBLIGACION!A:F,6,0),""))</f>
        <v/>
      </c>
      <c r="G313" t="str">
        <f>IF(C313="","",IFERROR(VLOOKUP(C313,OBLIGACION!A:G,7,0),""))</f>
        <v/>
      </c>
      <c r="H313" s="35"/>
    </row>
    <row r="314" spans="2:8" x14ac:dyDescent="0.3">
      <c r="B314" s="36"/>
      <c r="D314" t="str">
        <f>IF(C314="","",IFERROR(VLOOKUP(C314,OBLIGACION!A:D,4,0),""))</f>
        <v/>
      </c>
      <c r="E314" t="str">
        <f>IF(C314="","",IFERROR(VLOOKUP(C314,OBLIGACION!A:E,5,0),""))</f>
        <v/>
      </c>
      <c r="F314" t="str">
        <f>IF(C314="","",IFERROR(VLOOKUP(C314,OBLIGACION!A:F,6,0),""))</f>
        <v/>
      </c>
      <c r="G314" t="str">
        <f>IF(C314="","",IFERROR(VLOOKUP(C314,OBLIGACION!A:G,7,0),""))</f>
        <v/>
      </c>
      <c r="H314" s="35"/>
    </row>
    <row r="315" spans="2:8" x14ac:dyDescent="0.3">
      <c r="B315" s="36"/>
      <c r="D315" t="str">
        <f>IF(C315="","",IFERROR(VLOOKUP(C315,OBLIGACION!A:D,4,0),""))</f>
        <v/>
      </c>
      <c r="E315" t="str">
        <f>IF(C315="","",IFERROR(VLOOKUP(C315,OBLIGACION!A:E,5,0),""))</f>
        <v/>
      </c>
      <c r="F315" t="str">
        <f>IF(C315="","",IFERROR(VLOOKUP(C315,OBLIGACION!A:F,6,0),""))</f>
        <v/>
      </c>
      <c r="G315" t="str">
        <f>IF(C315="","",IFERROR(VLOOKUP(C315,OBLIGACION!A:G,7,0),""))</f>
        <v/>
      </c>
      <c r="H315" s="35"/>
    </row>
    <row r="316" spans="2:8" x14ac:dyDescent="0.3">
      <c r="B316" s="36"/>
      <c r="D316" t="str">
        <f>IF(C316="","",IFERROR(VLOOKUP(C316,OBLIGACION!A:D,4,0),""))</f>
        <v/>
      </c>
      <c r="E316" t="str">
        <f>IF(C316="","",IFERROR(VLOOKUP(C316,OBLIGACION!A:E,5,0),""))</f>
        <v/>
      </c>
      <c r="F316" t="str">
        <f>IF(C316="","",IFERROR(VLOOKUP(C316,OBLIGACION!A:F,6,0),""))</f>
        <v/>
      </c>
      <c r="G316" t="str">
        <f>IF(C316="","",IFERROR(VLOOKUP(C316,OBLIGACION!A:G,7,0),""))</f>
        <v/>
      </c>
      <c r="H316" s="35"/>
    </row>
    <row r="317" spans="2:8" x14ac:dyDescent="0.3">
      <c r="B317" s="36"/>
      <c r="D317" t="str">
        <f>IF(C317="","",IFERROR(VLOOKUP(C317,OBLIGACION!A:D,4,0),""))</f>
        <v/>
      </c>
      <c r="E317" t="str">
        <f>IF(C317="","",IFERROR(VLOOKUP(C317,OBLIGACION!A:E,5,0),""))</f>
        <v/>
      </c>
      <c r="F317" t="str">
        <f>IF(C317="","",IFERROR(VLOOKUP(C317,OBLIGACION!A:F,6,0),""))</f>
        <v/>
      </c>
      <c r="G317" t="str">
        <f>IF(C317="","",IFERROR(VLOOKUP(C317,OBLIGACION!A:G,7,0),""))</f>
        <v/>
      </c>
      <c r="H317" s="35"/>
    </row>
    <row r="318" spans="2:8" x14ac:dyDescent="0.3">
      <c r="B318" s="36"/>
      <c r="D318" t="str">
        <f>IF(C318="","",IFERROR(VLOOKUP(C318,OBLIGACION!A:D,4,0),""))</f>
        <v/>
      </c>
      <c r="E318" t="str">
        <f>IF(C318="","",IFERROR(VLOOKUP(C318,OBLIGACION!A:E,5,0),""))</f>
        <v/>
      </c>
      <c r="F318" t="str">
        <f>IF(C318="","",IFERROR(VLOOKUP(C318,OBLIGACION!A:F,6,0),""))</f>
        <v/>
      </c>
      <c r="G318" t="str">
        <f>IF(C318="","",IFERROR(VLOOKUP(C318,OBLIGACION!A:G,7,0),""))</f>
        <v/>
      </c>
      <c r="H318" s="35"/>
    </row>
    <row r="319" spans="2:8" x14ac:dyDescent="0.3">
      <c r="B319" s="36"/>
      <c r="D319" t="str">
        <f>IF(C319="","",IFERROR(VLOOKUP(C319,OBLIGACION!A:D,4,0),""))</f>
        <v/>
      </c>
      <c r="E319" t="str">
        <f>IF(C319="","",IFERROR(VLOOKUP(C319,OBLIGACION!A:E,5,0),""))</f>
        <v/>
      </c>
      <c r="F319" t="str">
        <f>IF(C319="","",IFERROR(VLOOKUP(C319,OBLIGACION!A:F,6,0),""))</f>
        <v/>
      </c>
      <c r="G319" t="str">
        <f>IF(C319="","",IFERROR(VLOOKUP(C319,OBLIGACION!A:G,7,0),""))</f>
        <v/>
      </c>
      <c r="H319" s="35"/>
    </row>
    <row r="320" spans="2:8" x14ac:dyDescent="0.3">
      <c r="B320" s="36"/>
      <c r="D320" t="str">
        <f>IF(C320="","",IFERROR(VLOOKUP(C320,OBLIGACION!A:D,4,0),""))</f>
        <v/>
      </c>
      <c r="E320" t="str">
        <f>IF(C320="","",IFERROR(VLOOKUP(C320,OBLIGACION!A:E,5,0),""))</f>
        <v/>
      </c>
      <c r="F320" t="str">
        <f>IF(C320="","",IFERROR(VLOOKUP(C320,OBLIGACION!A:F,6,0),""))</f>
        <v/>
      </c>
      <c r="G320" t="str">
        <f>IF(C320="","",IFERROR(VLOOKUP(C320,OBLIGACION!A:G,7,0),""))</f>
        <v/>
      </c>
      <c r="H320" s="35"/>
    </row>
    <row r="321" spans="2:8" x14ac:dyDescent="0.3">
      <c r="B321" s="36"/>
      <c r="D321" t="str">
        <f>IF(C321="","",IFERROR(VLOOKUP(C321,OBLIGACION!A:D,4,0),""))</f>
        <v/>
      </c>
      <c r="E321" t="str">
        <f>IF(C321="","",IFERROR(VLOOKUP(C321,OBLIGACION!A:E,5,0),""))</f>
        <v/>
      </c>
      <c r="F321" t="str">
        <f>IF(C321="","",IFERROR(VLOOKUP(C321,OBLIGACION!A:F,6,0),""))</f>
        <v/>
      </c>
      <c r="G321" t="str">
        <f>IF(C321="","",IFERROR(VLOOKUP(C321,OBLIGACION!A:G,7,0),""))</f>
        <v/>
      </c>
      <c r="H321" s="35"/>
    </row>
    <row r="322" spans="2:8" x14ac:dyDescent="0.3">
      <c r="B322" s="36"/>
      <c r="D322" t="str">
        <f>IF(C322="","",IFERROR(VLOOKUP(C322,OBLIGACION!A:D,4,0),""))</f>
        <v/>
      </c>
      <c r="E322" t="str">
        <f>IF(C322="","",IFERROR(VLOOKUP(C322,OBLIGACION!A:E,5,0),""))</f>
        <v/>
      </c>
      <c r="F322" t="str">
        <f>IF(C322="","",IFERROR(VLOOKUP(C322,OBLIGACION!A:F,6,0),""))</f>
        <v/>
      </c>
      <c r="G322" t="str">
        <f>IF(C322="","",IFERROR(VLOOKUP(C322,OBLIGACION!A:G,7,0),""))</f>
        <v/>
      </c>
      <c r="H322" s="35"/>
    </row>
    <row r="323" spans="2:8" x14ac:dyDescent="0.3">
      <c r="B323" s="36"/>
      <c r="D323" t="str">
        <f>IF(C323="","",IFERROR(VLOOKUP(C323,OBLIGACION!A:D,4,0),""))</f>
        <v/>
      </c>
      <c r="E323" t="str">
        <f>IF(C323="","",IFERROR(VLOOKUP(C323,OBLIGACION!A:E,5,0),""))</f>
        <v/>
      </c>
      <c r="F323" t="str">
        <f>IF(C323="","",IFERROR(VLOOKUP(C323,OBLIGACION!A:F,6,0),""))</f>
        <v/>
      </c>
      <c r="G323" t="str">
        <f>IF(C323="","",IFERROR(VLOOKUP(C323,OBLIGACION!A:G,7,0),""))</f>
        <v/>
      </c>
      <c r="H323" s="35"/>
    </row>
    <row r="324" spans="2:8" x14ac:dyDescent="0.3">
      <c r="B324" s="36"/>
      <c r="D324" t="str">
        <f>IF(C324="","",IFERROR(VLOOKUP(C324,OBLIGACION!A:D,4,0),""))</f>
        <v/>
      </c>
      <c r="E324" t="str">
        <f>IF(C324="","",IFERROR(VLOOKUP(C324,OBLIGACION!A:E,5,0),""))</f>
        <v/>
      </c>
      <c r="F324" t="str">
        <f>IF(C324="","",IFERROR(VLOOKUP(C324,OBLIGACION!A:F,6,0),""))</f>
        <v/>
      </c>
      <c r="G324" t="str">
        <f>IF(C324="","",IFERROR(VLOOKUP(C324,OBLIGACION!A:G,7,0),""))</f>
        <v/>
      </c>
      <c r="H324" s="35"/>
    </row>
    <row r="325" spans="2:8" x14ac:dyDescent="0.3">
      <c r="B325" s="36"/>
      <c r="D325" t="str">
        <f>IF(C325="","",IFERROR(VLOOKUP(C325,OBLIGACION!A:D,4,0),""))</f>
        <v/>
      </c>
      <c r="E325" t="str">
        <f>IF(C325="","",IFERROR(VLOOKUP(C325,OBLIGACION!A:E,5,0),""))</f>
        <v/>
      </c>
      <c r="F325" t="str">
        <f>IF(C325="","",IFERROR(VLOOKUP(C325,OBLIGACION!A:F,6,0),""))</f>
        <v/>
      </c>
      <c r="G325" t="str">
        <f>IF(C325="","",IFERROR(VLOOKUP(C325,OBLIGACION!A:G,7,0),""))</f>
        <v/>
      </c>
      <c r="H325" s="35"/>
    </row>
    <row r="326" spans="2:8" x14ac:dyDescent="0.3">
      <c r="B326" s="36"/>
      <c r="D326" t="str">
        <f>IF(C326="","",IFERROR(VLOOKUP(C326,OBLIGACION!A:D,4,0),""))</f>
        <v/>
      </c>
      <c r="E326" t="str">
        <f>IF(C326="","",IFERROR(VLOOKUP(C326,OBLIGACION!A:E,5,0),""))</f>
        <v/>
      </c>
      <c r="F326" t="str">
        <f>IF(C326="","",IFERROR(VLOOKUP(C326,OBLIGACION!A:F,6,0),""))</f>
        <v/>
      </c>
      <c r="G326" t="str">
        <f>IF(C326="","",IFERROR(VLOOKUP(C326,OBLIGACION!A:G,7,0),""))</f>
        <v/>
      </c>
      <c r="H326" s="35"/>
    </row>
    <row r="327" spans="2:8" x14ac:dyDescent="0.3">
      <c r="B327" s="36"/>
      <c r="D327" t="str">
        <f>IF(C327="","",IFERROR(VLOOKUP(C327,OBLIGACION!A:D,4,0),""))</f>
        <v/>
      </c>
      <c r="E327" t="str">
        <f>IF(C327="","",IFERROR(VLOOKUP(C327,OBLIGACION!A:E,5,0),""))</f>
        <v/>
      </c>
      <c r="F327" t="str">
        <f>IF(C327="","",IFERROR(VLOOKUP(C327,OBLIGACION!A:F,6,0),""))</f>
        <v/>
      </c>
      <c r="G327" t="str">
        <f>IF(C327="","",IFERROR(VLOOKUP(C327,OBLIGACION!A:G,7,0),""))</f>
        <v/>
      </c>
      <c r="H327" s="35"/>
    </row>
    <row r="328" spans="2:8" x14ac:dyDescent="0.3">
      <c r="B328" s="36"/>
      <c r="D328" t="str">
        <f>IF(C328="","",IFERROR(VLOOKUP(C328,OBLIGACION!A:D,4,0),""))</f>
        <v/>
      </c>
      <c r="E328" t="str">
        <f>IF(C328="","",IFERROR(VLOOKUP(C328,OBLIGACION!A:E,5,0),""))</f>
        <v/>
      </c>
      <c r="F328" t="str">
        <f>IF(C328="","",IFERROR(VLOOKUP(C328,OBLIGACION!A:F,6,0),""))</f>
        <v/>
      </c>
      <c r="G328" t="str">
        <f>IF(C328="","",IFERROR(VLOOKUP(C328,OBLIGACION!A:G,7,0),""))</f>
        <v/>
      </c>
      <c r="H328" s="35"/>
    </row>
    <row r="329" spans="2:8" x14ac:dyDescent="0.3">
      <c r="B329" s="36"/>
      <c r="D329" t="str">
        <f>IF(C329="","",IFERROR(VLOOKUP(C329,OBLIGACION!A:D,4,0),""))</f>
        <v/>
      </c>
      <c r="E329" t="str">
        <f>IF(C329="","",IFERROR(VLOOKUP(C329,OBLIGACION!A:E,5,0),""))</f>
        <v/>
      </c>
      <c r="F329" t="str">
        <f>IF(C329="","",IFERROR(VLOOKUP(C329,OBLIGACION!A:F,6,0),""))</f>
        <v/>
      </c>
      <c r="G329" t="str">
        <f>IF(C329="","",IFERROR(VLOOKUP(C329,OBLIGACION!A:G,7,0),""))</f>
        <v/>
      </c>
      <c r="H329" s="35"/>
    </row>
    <row r="330" spans="2:8" x14ac:dyDescent="0.3">
      <c r="B330" s="36"/>
      <c r="D330" t="str">
        <f>IF(C330="","",IFERROR(VLOOKUP(C330,OBLIGACION!A:D,4,0),""))</f>
        <v/>
      </c>
      <c r="E330" t="str">
        <f>IF(C330="","",IFERROR(VLOOKUP(C330,OBLIGACION!A:E,5,0),""))</f>
        <v/>
      </c>
      <c r="F330" t="str">
        <f>IF(C330="","",IFERROR(VLOOKUP(C330,OBLIGACION!A:F,6,0),""))</f>
        <v/>
      </c>
      <c r="G330" t="str">
        <f>IF(C330="","",IFERROR(VLOOKUP(C330,OBLIGACION!A:G,7,0),""))</f>
        <v/>
      </c>
      <c r="H330" s="35"/>
    </row>
    <row r="331" spans="2:8" x14ac:dyDescent="0.3">
      <c r="B331" s="36"/>
      <c r="D331" t="str">
        <f>IF(C331="","",IFERROR(VLOOKUP(C331,OBLIGACION!A:D,4,0),""))</f>
        <v/>
      </c>
      <c r="E331" t="str">
        <f>IF(C331="","",IFERROR(VLOOKUP(C331,OBLIGACION!A:E,5,0),""))</f>
        <v/>
      </c>
      <c r="F331" t="str">
        <f>IF(C331="","",IFERROR(VLOOKUP(C331,OBLIGACION!A:F,6,0),""))</f>
        <v/>
      </c>
      <c r="G331" t="str">
        <f>IF(C331="","",IFERROR(VLOOKUP(C331,OBLIGACION!A:G,7,0),""))</f>
        <v/>
      </c>
      <c r="H331" s="35"/>
    </row>
    <row r="332" spans="2:8" x14ac:dyDescent="0.3">
      <c r="B332" s="36"/>
      <c r="D332" t="str">
        <f>IF(C332="","",IFERROR(VLOOKUP(C332,OBLIGACION!A:D,4,0),""))</f>
        <v/>
      </c>
      <c r="E332" t="str">
        <f>IF(C332="","",IFERROR(VLOOKUP(C332,OBLIGACION!A:E,5,0),""))</f>
        <v/>
      </c>
      <c r="F332" t="str">
        <f>IF(C332="","",IFERROR(VLOOKUP(C332,OBLIGACION!A:F,6,0),""))</f>
        <v/>
      </c>
      <c r="G332" t="str">
        <f>IF(C332="","",IFERROR(VLOOKUP(C332,OBLIGACION!A:G,7,0),""))</f>
        <v/>
      </c>
      <c r="H332" s="35"/>
    </row>
    <row r="333" spans="2:8" x14ac:dyDescent="0.3">
      <c r="B333" s="36"/>
      <c r="D333" t="str">
        <f>IF(C333="","",IFERROR(VLOOKUP(C333,OBLIGACION!A:D,4,0),""))</f>
        <v/>
      </c>
      <c r="E333" t="str">
        <f>IF(C333="","",IFERROR(VLOOKUP(C333,OBLIGACION!A:E,5,0),""))</f>
        <v/>
      </c>
      <c r="F333" t="str">
        <f>IF(C333="","",IFERROR(VLOOKUP(C333,OBLIGACION!A:F,6,0),""))</f>
        <v/>
      </c>
      <c r="G333" t="str">
        <f>IF(C333="","",IFERROR(VLOOKUP(C333,OBLIGACION!A:G,7,0),""))</f>
        <v/>
      </c>
      <c r="H333" s="35"/>
    </row>
    <row r="334" spans="2:8" x14ac:dyDescent="0.3">
      <c r="B334" s="36"/>
      <c r="D334" t="str">
        <f>IF(C334="","",IFERROR(VLOOKUP(C334,OBLIGACION!A:D,4,0),""))</f>
        <v/>
      </c>
      <c r="E334" t="str">
        <f>IF(C334="","",IFERROR(VLOOKUP(C334,OBLIGACION!A:E,5,0),""))</f>
        <v/>
      </c>
      <c r="F334" t="str">
        <f>IF(C334="","",IFERROR(VLOOKUP(C334,OBLIGACION!A:F,6,0),""))</f>
        <v/>
      </c>
      <c r="G334" t="str">
        <f>IF(C334="","",IFERROR(VLOOKUP(C334,OBLIGACION!A:G,7,0),""))</f>
        <v/>
      </c>
      <c r="H334" s="35"/>
    </row>
    <row r="335" spans="2:8" x14ac:dyDescent="0.3">
      <c r="B335" s="36"/>
      <c r="D335" t="str">
        <f>IF(C335="","",IFERROR(VLOOKUP(C335,OBLIGACION!A:D,4,0),""))</f>
        <v/>
      </c>
      <c r="E335" t="str">
        <f>IF(C335="","",IFERROR(VLOOKUP(C335,OBLIGACION!A:E,5,0),""))</f>
        <v/>
      </c>
      <c r="F335" t="str">
        <f>IF(C335="","",IFERROR(VLOOKUP(C335,OBLIGACION!A:F,6,0),""))</f>
        <v/>
      </c>
      <c r="G335" t="str">
        <f>IF(C335="","",IFERROR(VLOOKUP(C335,OBLIGACION!A:G,7,0),""))</f>
        <v/>
      </c>
      <c r="H335" s="35"/>
    </row>
    <row r="336" spans="2:8" x14ac:dyDescent="0.3">
      <c r="B336" s="36"/>
      <c r="D336" t="str">
        <f>IF(C336="","",IFERROR(VLOOKUP(C336,OBLIGACION!A:D,4,0),""))</f>
        <v/>
      </c>
      <c r="E336" t="str">
        <f>IF(C336="","",IFERROR(VLOOKUP(C336,OBLIGACION!A:E,5,0),""))</f>
        <v/>
      </c>
      <c r="F336" t="str">
        <f>IF(C336="","",IFERROR(VLOOKUP(C336,OBLIGACION!A:F,6,0),""))</f>
        <v/>
      </c>
      <c r="G336" t="str">
        <f>IF(C336="","",IFERROR(VLOOKUP(C336,OBLIGACION!A:G,7,0),""))</f>
        <v/>
      </c>
      <c r="H336" s="35"/>
    </row>
    <row r="337" spans="2:8" x14ac:dyDescent="0.3">
      <c r="B337" s="36"/>
      <c r="D337" t="str">
        <f>IF(C337="","",IFERROR(VLOOKUP(C337,OBLIGACION!A:D,4,0),""))</f>
        <v/>
      </c>
      <c r="E337" t="str">
        <f>IF(C337="","",IFERROR(VLOOKUP(C337,OBLIGACION!A:E,5,0),""))</f>
        <v/>
      </c>
      <c r="F337" t="str">
        <f>IF(C337="","",IFERROR(VLOOKUP(C337,OBLIGACION!A:F,6,0),""))</f>
        <v/>
      </c>
      <c r="G337" t="str">
        <f>IF(C337="","",IFERROR(VLOOKUP(C337,OBLIGACION!A:G,7,0),""))</f>
        <v/>
      </c>
      <c r="H337" s="35"/>
    </row>
    <row r="338" spans="2:8" x14ac:dyDescent="0.3">
      <c r="B338" s="36"/>
      <c r="D338" t="str">
        <f>IF(C338="","",IFERROR(VLOOKUP(C338,OBLIGACION!A:D,4,0),""))</f>
        <v/>
      </c>
      <c r="E338" t="str">
        <f>IF(C338="","",IFERROR(VLOOKUP(C338,OBLIGACION!A:E,5,0),""))</f>
        <v/>
      </c>
      <c r="F338" t="str">
        <f>IF(C338="","",IFERROR(VLOOKUP(C338,OBLIGACION!A:F,6,0),""))</f>
        <v/>
      </c>
      <c r="G338" t="str">
        <f>IF(C338="","",IFERROR(VLOOKUP(C338,OBLIGACION!A:G,7,0),""))</f>
        <v/>
      </c>
      <c r="H338" s="35"/>
    </row>
    <row r="339" spans="2:8" x14ac:dyDescent="0.3">
      <c r="B339" s="36"/>
      <c r="D339" t="str">
        <f>IF(C339="","",IFERROR(VLOOKUP(C339,OBLIGACION!A:D,4,0),""))</f>
        <v/>
      </c>
      <c r="E339" t="str">
        <f>IF(C339="","",IFERROR(VLOOKUP(C339,OBLIGACION!A:E,5,0),""))</f>
        <v/>
      </c>
      <c r="F339" t="str">
        <f>IF(C339="","",IFERROR(VLOOKUP(C339,OBLIGACION!A:F,6,0),""))</f>
        <v/>
      </c>
      <c r="G339" t="str">
        <f>IF(C339="","",IFERROR(VLOOKUP(C339,OBLIGACION!A:G,7,0),""))</f>
        <v/>
      </c>
      <c r="H339" s="35"/>
    </row>
    <row r="340" spans="2:8" x14ac:dyDescent="0.3">
      <c r="B340" s="36"/>
      <c r="D340" t="str">
        <f>IF(C340="","",IFERROR(VLOOKUP(C340,OBLIGACION!A:D,4,0),""))</f>
        <v/>
      </c>
      <c r="E340" t="str">
        <f>IF(C340="","",IFERROR(VLOOKUP(C340,OBLIGACION!A:E,5,0),""))</f>
        <v/>
      </c>
      <c r="F340" t="str">
        <f>IF(C340="","",IFERROR(VLOOKUP(C340,OBLIGACION!A:F,6,0),""))</f>
        <v/>
      </c>
      <c r="G340" t="str">
        <f>IF(C340="","",IFERROR(VLOOKUP(C340,OBLIGACION!A:G,7,0),""))</f>
        <v/>
      </c>
      <c r="H340" s="35"/>
    </row>
    <row r="341" spans="2:8" x14ac:dyDescent="0.3">
      <c r="B341" s="36"/>
      <c r="D341" t="str">
        <f>IF(C341="","",IFERROR(VLOOKUP(C341,OBLIGACION!A:D,4,0),""))</f>
        <v/>
      </c>
      <c r="E341" t="str">
        <f>IF(C341="","",IFERROR(VLOOKUP(C341,OBLIGACION!A:E,5,0),""))</f>
        <v/>
      </c>
      <c r="F341" t="str">
        <f>IF(C341="","",IFERROR(VLOOKUP(C341,OBLIGACION!A:F,6,0),""))</f>
        <v/>
      </c>
      <c r="G341" t="str">
        <f>IF(C341="","",IFERROR(VLOOKUP(C341,OBLIGACION!A:G,7,0),""))</f>
        <v/>
      </c>
      <c r="H341" s="35"/>
    </row>
    <row r="342" spans="2:8" x14ac:dyDescent="0.3">
      <c r="B342" s="36"/>
      <c r="D342" t="str">
        <f>IF(C342="","",IFERROR(VLOOKUP(C342,OBLIGACION!A:D,4,0),""))</f>
        <v/>
      </c>
      <c r="E342" t="str">
        <f>IF(C342="","",IFERROR(VLOOKUP(C342,OBLIGACION!A:E,5,0),""))</f>
        <v/>
      </c>
      <c r="F342" t="str">
        <f>IF(C342="","",IFERROR(VLOOKUP(C342,OBLIGACION!A:F,6,0),""))</f>
        <v/>
      </c>
      <c r="G342" t="str">
        <f>IF(C342="","",IFERROR(VLOOKUP(C342,OBLIGACION!A:G,7,0),""))</f>
        <v/>
      </c>
      <c r="H342" s="35"/>
    </row>
    <row r="343" spans="2:8" x14ac:dyDescent="0.3">
      <c r="B343" s="36"/>
      <c r="D343" t="str">
        <f>IF(C343="","",IFERROR(VLOOKUP(C343,OBLIGACION!A:D,4,0),""))</f>
        <v/>
      </c>
      <c r="E343" t="str">
        <f>IF(C343="","",IFERROR(VLOOKUP(C343,OBLIGACION!A:E,5,0),""))</f>
        <v/>
      </c>
      <c r="F343" t="str">
        <f>IF(C343="","",IFERROR(VLOOKUP(C343,OBLIGACION!A:F,6,0),""))</f>
        <v/>
      </c>
      <c r="G343" t="str">
        <f>IF(C343="","",IFERROR(VLOOKUP(C343,OBLIGACION!A:G,7,0),""))</f>
        <v/>
      </c>
      <c r="H343" s="35"/>
    </row>
    <row r="344" spans="2:8" x14ac:dyDescent="0.3">
      <c r="B344" s="36"/>
      <c r="D344" t="str">
        <f>IF(C344="","",IFERROR(VLOOKUP(C344,OBLIGACION!A:D,4,0),""))</f>
        <v/>
      </c>
      <c r="E344" t="str">
        <f>IF(C344="","",IFERROR(VLOOKUP(C344,OBLIGACION!A:E,5,0),""))</f>
        <v/>
      </c>
      <c r="F344" t="str">
        <f>IF(C344="","",IFERROR(VLOOKUP(C344,OBLIGACION!A:F,6,0),""))</f>
        <v/>
      </c>
      <c r="G344" t="str">
        <f>IF(C344="","",IFERROR(VLOOKUP(C344,OBLIGACION!A:G,7,0),""))</f>
        <v/>
      </c>
      <c r="H344" s="35"/>
    </row>
    <row r="345" spans="2:8" x14ac:dyDescent="0.3">
      <c r="B345" s="36"/>
      <c r="D345" t="str">
        <f>IF(C345="","",IFERROR(VLOOKUP(C345,OBLIGACION!A:D,4,0),""))</f>
        <v/>
      </c>
      <c r="E345" t="str">
        <f>IF(C345="","",IFERROR(VLOOKUP(C345,OBLIGACION!A:E,5,0),""))</f>
        <v/>
      </c>
      <c r="F345" t="str">
        <f>IF(C345="","",IFERROR(VLOOKUP(C345,OBLIGACION!A:F,6,0),""))</f>
        <v/>
      </c>
      <c r="G345" t="str">
        <f>IF(C345="","",IFERROR(VLOOKUP(C345,OBLIGACION!A:G,7,0),""))</f>
        <v/>
      </c>
      <c r="H345" s="35"/>
    </row>
    <row r="346" spans="2:8" x14ac:dyDescent="0.3">
      <c r="B346" s="36"/>
      <c r="D346" t="str">
        <f>IF(C346="","",IFERROR(VLOOKUP(C346,OBLIGACION!A:D,4,0),""))</f>
        <v/>
      </c>
      <c r="E346" t="str">
        <f>IF(C346="","",IFERROR(VLOOKUP(C346,OBLIGACION!A:E,5,0),""))</f>
        <v/>
      </c>
      <c r="F346" t="str">
        <f>IF(C346="","",IFERROR(VLOOKUP(C346,OBLIGACION!A:F,6,0),""))</f>
        <v/>
      </c>
      <c r="G346" t="str">
        <f>IF(C346="","",IFERROR(VLOOKUP(C346,OBLIGACION!A:G,7,0),""))</f>
        <v/>
      </c>
      <c r="H346" s="35"/>
    </row>
    <row r="347" spans="2:8" x14ac:dyDescent="0.3">
      <c r="B347" s="36"/>
      <c r="D347" t="str">
        <f>IF(C347="","",IFERROR(VLOOKUP(C347,OBLIGACION!A:D,4,0),""))</f>
        <v/>
      </c>
      <c r="E347" t="str">
        <f>IF(C347="","",IFERROR(VLOOKUP(C347,OBLIGACION!A:E,5,0),""))</f>
        <v/>
      </c>
      <c r="F347" t="str">
        <f>IF(C347="","",IFERROR(VLOOKUP(C347,OBLIGACION!A:F,6,0),""))</f>
        <v/>
      </c>
      <c r="G347" t="str">
        <f>IF(C347="","",IFERROR(VLOOKUP(C347,OBLIGACION!A:G,7,0),""))</f>
        <v/>
      </c>
      <c r="H347" s="35"/>
    </row>
    <row r="348" spans="2:8" x14ac:dyDescent="0.3">
      <c r="B348" s="36"/>
      <c r="D348" t="str">
        <f>IF(C348="","",IFERROR(VLOOKUP(C348,OBLIGACION!A:D,4,0),""))</f>
        <v/>
      </c>
      <c r="E348" t="str">
        <f>IF(C348="","",IFERROR(VLOOKUP(C348,OBLIGACION!A:E,5,0),""))</f>
        <v/>
      </c>
      <c r="F348" t="str">
        <f>IF(C348="","",IFERROR(VLOOKUP(C348,OBLIGACION!A:F,6,0),""))</f>
        <v/>
      </c>
      <c r="G348" t="str">
        <f>IF(C348="","",IFERROR(VLOOKUP(C348,OBLIGACION!A:G,7,0),""))</f>
        <v/>
      </c>
      <c r="H348" s="35"/>
    </row>
    <row r="349" spans="2:8" x14ac:dyDescent="0.3">
      <c r="B349" s="36"/>
      <c r="D349" t="str">
        <f>IF(C349="","",IFERROR(VLOOKUP(C349,OBLIGACION!A:D,4,0),""))</f>
        <v/>
      </c>
      <c r="E349" t="str">
        <f>IF(C349="","",IFERROR(VLOOKUP(C349,OBLIGACION!A:E,5,0),""))</f>
        <v/>
      </c>
      <c r="F349" t="str">
        <f>IF(C349="","",IFERROR(VLOOKUP(C349,OBLIGACION!A:F,6,0),""))</f>
        <v/>
      </c>
      <c r="G349" t="str">
        <f>IF(C349="","",IFERROR(VLOOKUP(C349,OBLIGACION!A:G,7,0),""))</f>
        <v/>
      </c>
      <c r="H349" s="35"/>
    </row>
    <row r="350" spans="2:8" x14ac:dyDescent="0.3">
      <c r="B350" s="36"/>
      <c r="D350" t="str">
        <f>IF(C350="","",IFERROR(VLOOKUP(C350,OBLIGACION!A:D,4,0),""))</f>
        <v/>
      </c>
      <c r="E350" t="str">
        <f>IF(C350="","",IFERROR(VLOOKUP(C350,OBLIGACION!A:E,5,0),""))</f>
        <v/>
      </c>
      <c r="F350" t="str">
        <f>IF(C350="","",IFERROR(VLOOKUP(C350,OBLIGACION!A:F,6,0),""))</f>
        <v/>
      </c>
      <c r="G350" t="str">
        <f>IF(C350="","",IFERROR(VLOOKUP(C350,OBLIGACION!A:G,7,0),""))</f>
        <v/>
      </c>
      <c r="H350" s="35"/>
    </row>
    <row r="351" spans="2:8" x14ac:dyDescent="0.3">
      <c r="B351" s="36"/>
      <c r="D351" t="str">
        <f>IF(C351="","",IFERROR(VLOOKUP(C351,OBLIGACION!A:D,4,0),""))</f>
        <v/>
      </c>
      <c r="E351" t="str">
        <f>IF(C351="","",IFERROR(VLOOKUP(C351,OBLIGACION!A:E,5,0),""))</f>
        <v/>
      </c>
      <c r="F351" t="str">
        <f>IF(C351="","",IFERROR(VLOOKUP(C351,OBLIGACION!A:F,6,0),""))</f>
        <v/>
      </c>
      <c r="G351" t="str">
        <f>IF(C351="","",IFERROR(VLOOKUP(C351,OBLIGACION!A:G,7,0),""))</f>
        <v/>
      </c>
      <c r="H351" s="35"/>
    </row>
    <row r="352" spans="2:8" x14ac:dyDescent="0.3">
      <c r="B352" s="36"/>
      <c r="D352" t="str">
        <f>IF(C352="","",IFERROR(VLOOKUP(C352,OBLIGACION!A:D,4,0),""))</f>
        <v/>
      </c>
      <c r="E352" t="str">
        <f>IF(C352="","",IFERROR(VLOOKUP(C352,OBLIGACION!A:E,5,0),""))</f>
        <v/>
      </c>
      <c r="F352" t="str">
        <f>IF(C352="","",IFERROR(VLOOKUP(C352,OBLIGACION!A:F,6,0),""))</f>
        <v/>
      </c>
      <c r="G352" t="str">
        <f>IF(C352="","",IFERROR(VLOOKUP(C352,OBLIGACION!A:G,7,0),""))</f>
        <v/>
      </c>
      <c r="H352" s="35"/>
    </row>
    <row r="353" spans="2:8" x14ac:dyDescent="0.3">
      <c r="B353" s="36"/>
      <c r="D353" t="str">
        <f>IF(C353="","",IFERROR(VLOOKUP(C353,OBLIGACION!A:D,4,0),""))</f>
        <v/>
      </c>
      <c r="E353" t="str">
        <f>IF(C353="","",IFERROR(VLOOKUP(C353,OBLIGACION!A:E,5,0),""))</f>
        <v/>
      </c>
      <c r="F353" t="str">
        <f>IF(C353="","",IFERROR(VLOOKUP(C353,OBLIGACION!A:F,6,0),""))</f>
        <v/>
      </c>
      <c r="G353" t="str">
        <f>IF(C353="","",IFERROR(VLOOKUP(C353,OBLIGACION!A:G,7,0),""))</f>
        <v/>
      </c>
      <c r="H353" s="35"/>
    </row>
    <row r="354" spans="2:8" x14ac:dyDescent="0.3">
      <c r="B354" s="36"/>
      <c r="D354" t="str">
        <f>IF(C354="","",IFERROR(VLOOKUP(C354,OBLIGACION!A:D,4,0),""))</f>
        <v/>
      </c>
      <c r="E354" t="str">
        <f>IF(C354="","",IFERROR(VLOOKUP(C354,OBLIGACION!A:E,5,0),""))</f>
        <v/>
      </c>
      <c r="F354" t="str">
        <f>IF(C354="","",IFERROR(VLOOKUP(C354,OBLIGACION!A:F,6,0),""))</f>
        <v/>
      </c>
      <c r="G354" t="str">
        <f>IF(C354="","",IFERROR(VLOOKUP(C354,OBLIGACION!A:G,7,0),""))</f>
        <v/>
      </c>
      <c r="H354" s="35"/>
    </row>
    <row r="355" spans="2:8" x14ac:dyDescent="0.3">
      <c r="B355" s="36"/>
      <c r="D355" t="str">
        <f>IF(C355="","",IFERROR(VLOOKUP(C355,OBLIGACION!A:D,4,0),""))</f>
        <v/>
      </c>
      <c r="E355" t="str">
        <f>IF(C355="","",IFERROR(VLOOKUP(C355,OBLIGACION!A:E,5,0),""))</f>
        <v/>
      </c>
      <c r="F355" t="str">
        <f>IF(C355="","",IFERROR(VLOOKUP(C355,OBLIGACION!A:F,6,0),""))</f>
        <v/>
      </c>
      <c r="G355" t="str">
        <f>IF(C355="","",IFERROR(VLOOKUP(C355,OBLIGACION!A:G,7,0),""))</f>
        <v/>
      </c>
      <c r="H355" s="35"/>
    </row>
    <row r="356" spans="2:8" x14ac:dyDescent="0.3">
      <c r="B356" s="36"/>
      <c r="D356" t="str">
        <f>IF(C356="","",IFERROR(VLOOKUP(C356,OBLIGACION!A:D,4,0),""))</f>
        <v/>
      </c>
      <c r="E356" t="str">
        <f>IF(C356="","",IFERROR(VLOOKUP(C356,OBLIGACION!A:E,5,0),""))</f>
        <v/>
      </c>
      <c r="F356" t="str">
        <f>IF(C356="","",IFERROR(VLOOKUP(C356,OBLIGACION!A:F,6,0),""))</f>
        <v/>
      </c>
      <c r="G356" t="str">
        <f>IF(C356="","",IFERROR(VLOOKUP(C356,OBLIGACION!A:G,7,0),""))</f>
        <v/>
      </c>
      <c r="H356" s="35"/>
    </row>
    <row r="357" spans="2:8" x14ac:dyDescent="0.3">
      <c r="B357" s="36"/>
      <c r="D357" t="str">
        <f>IF(C357="","",IFERROR(VLOOKUP(C357,OBLIGACION!A:D,4,0),""))</f>
        <v/>
      </c>
      <c r="E357" t="str">
        <f>IF(C357="","",IFERROR(VLOOKUP(C357,OBLIGACION!A:E,5,0),""))</f>
        <v/>
      </c>
      <c r="F357" t="str">
        <f>IF(C357="","",IFERROR(VLOOKUP(C357,OBLIGACION!A:F,6,0),""))</f>
        <v/>
      </c>
      <c r="G357" t="str">
        <f>IF(C357="","",IFERROR(VLOOKUP(C357,OBLIGACION!A:G,7,0),""))</f>
        <v/>
      </c>
      <c r="H357" s="35"/>
    </row>
    <row r="358" spans="2:8" x14ac:dyDescent="0.3">
      <c r="B358" s="36"/>
      <c r="D358" t="str">
        <f>IF(C358="","",IFERROR(VLOOKUP(C358,OBLIGACION!A:D,4,0),""))</f>
        <v/>
      </c>
      <c r="E358" t="str">
        <f>IF(C358="","",IFERROR(VLOOKUP(C358,OBLIGACION!A:E,5,0),""))</f>
        <v/>
      </c>
      <c r="F358" t="str">
        <f>IF(C358="","",IFERROR(VLOOKUP(C358,OBLIGACION!A:F,6,0),""))</f>
        <v/>
      </c>
      <c r="G358" t="str">
        <f>IF(C358="","",IFERROR(VLOOKUP(C358,OBLIGACION!A:G,7,0),""))</f>
        <v/>
      </c>
      <c r="H358" s="35"/>
    </row>
    <row r="359" spans="2:8" x14ac:dyDescent="0.3">
      <c r="B359" s="36"/>
      <c r="D359" t="str">
        <f>IF(C359="","",IFERROR(VLOOKUP(C359,OBLIGACION!A:D,4,0),""))</f>
        <v/>
      </c>
      <c r="E359" t="str">
        <f>IF(C359="","",IFERROR(VLOOKUP(C359,OBLIGACION!A:E,5,0),""))</f>
        <v/>
      </c>
      <c r="F359" t="str">
        <f>IF(C359="","",IFERROR(VLOOKUP(C359,OBLIGACION!A:F,6,0),""))</f>
        <v/>
      </c>
      <c r="G359" t="str">
        <f>IF(C359="","",IFERROR(VLOOKUP(C359,OBLIGACION!A:G,7,0),""))</f>
        <v/>
      </c>
      <c r="H359" s="35"/>
    </row>
    <row r="360" spans="2:8" x14ac:dyDescent="0.3">
      <c r="B360" s="36"/>
      <c r="D360" t="str">
        <f>IF(C360="","",IFERROR(VLOOKUP(C360,OBLIGACION!A:D,4,0),""))</f>
        <v/>
      </c>
      <c r="E360" t="str">
        <f>IF(C360="","",IFERROR(VLOOKUP(C360,OBLIGACION!A:E,5,0),""))</f>
        <v/>
      </c>
      <c r="F360" t="str">
        <f>IF(C360="","",IFERROR(VLOOKUP(C360,OBLIGACION!A:F,6,0),""))</f>
        <v/>
      </c>
      <c r="G360" t="str">
        <f>IF(C360="","",IFERROR(VLOOKUP(C360,OBLIGACION!A:G,7,0),""))</f>
        <v/>
      </c>
      <c r="H360" s="35"/>
    </row>
    <row r="361" spans="2:8" x14ac:dyDescent="0.3">
      <c r="B361" s="36"/>
      <c r="D361" t="str">
        <f>IF(C361="","",IFERROR(VLOOKUP(C361,OBLIGACION!A:D,4,0),""))</f>
        <v/>
      </c>
      <c r="E361" t="str">
        <f>IF(C361="","",IFERROR(VLOOKUP(C361,OBLIGACION!A:E,5,0),""))</f>
        <v/>
      </c>
      <c r="F361" t="str">
        <f>IF(C361="","",IFERROR(VLOOKUP(C361,OBLIGACION!A:F,6,0),""))</f>
        <v/>
      </c>
      <c r="G361" t="str">
        <f>IF(C361="","",IFERROR(VLOOKUP(C361,OBLIGACION!A:G,7,0),""))</f>
        <v/>
      </c>
      <c r="H361" s="35"/>
    </row>
    <row r="362" spans="2:8" x14ac:dyDescent="0.3">
      <c r="B362" s="36"/>
      <c r="D362" t="str">
        <f>IF(C362="","",IFERROR(VLOOKUP(C362,OBLIGACION!A:D,4,0),""))</f>
        <v/>
      </c>
      <c r="E362" t="str">
        <f>IF(C362="","",IFERROR(VLOOKUP(C362,OBLIGACION!A:E,5,0),""))</f>
        <v/>
      </c>
      <c r="F362" t="str">
        <f>IF(C362="","",IFERROR(VLOOKUP(C362,OBLIGACION!A:F,6,0),""))</f>
        <v/>
      </c>
      <c r="G362" t="str">
        <f>IF(C362="","",IFERROR(VLOOKUP(C362,OBLIGACION!A:G,7,0),""))</f>
        <v/>
      </c>
      <c r="H362" s="35"/>
    </row>
    <row r="363" spans="2:8" x14ac:dyDescent="0.3">
      <c r="B363" s="36"/>
      <c r="D363" t="str">
        <f>IF(C363="","",IFERROR(VLOOKUP(C363,OBLIGACION!A:D,4,0),""))</f>
        <v/>
      </c>
      <c r="E363" t="str">
        <f>IF(C363="","",IFERROR(VLOOKUP(C363,OBLIGACION!A:E,5,0),""))</f>
        <v/>
      </c>
      <c r="F363" t="str">
        <f>IF(C363="","",IFERROR(VLOOKUP(C363,OBLIGACION!A:F,6,0),""))</f>
        <v/>
      </c>
      <c r="G363" t="str">
        <f>IF(C363="","",IFERROR(VLOOKUP(C363,OBLIGACION!A:G,7,0),""))</f>
        <v/>
      </c>
      <c r="H363" s="35"/>
    </row>
    <row r="364" spans="2:8" x14ac:dyDescent="0.3">
      <c r="B364" s="36"/>
      <c r="D364" t="str">
        <f>IF(C364="","",IFERROR(VLOOKUP(C364,OBLIGACION!A:D,4,0),""))</f>
        <v/>
      </c>
      <c r="E364" t="str">
        <f>IF(C364="","",IFERROR(VLOOKUP(C364,OBLIGACION!A:E,5,0),""))</f>
        <v/>
      </c>
      <c r="F364" t="str">
        <f>IF(C364="","",IFERROR(VLOOKUP(C364,OBLIGACION!A:F,6,0),""))</f>
        <v/>
      </c>
      <c r="G364" t="str">
        <f>IF(C364="","",IFERROR(VLOOKUP(C364,OBLIGACION!A:G,7,0),""))</f>
        <v/>
      </c>
      <c r="H364" s="35"/>
    </row>
    <row r="365" spans="2:8" x14ac:dyDescent="0.3">
      <c r="B365" s="36"/>
      <c r="D365" t="str">
        <f>IF(C365="","",IFERROR(VLOOKUP(C365,OBLIGACION!A:D,4,0),""))</f>
        <v/>
      </c>
      <c r="E365" t="str">
        <f>IF(C365="","",IFERROR(VLOOKUP(C365,OBLIGACION!A:E,5,0),""))</f>
        <v/>
      </c>
      <c r="F365" t="str">
        <f>IF(C365="","",IFERROR(VLOOKUP(C365,OBLIGACION!A:F,6,0),""))</f>
        <v/>
      </c>
      <c r="G365" t="str">
        <f>IF(C365="","",IFERROR(VLOOKUP(C365,OBLIGACION!A:G,7,0),""))</f>
        <v/>
      </c>
      <c r="H365" s="35"/>
    </row>
    <row r="366" spans="2:8" x14ac:dyDescent="0.3">
      <c r="B366" s="36"/>
      <c r="D366" t="str">
        <f>IF(C366="","",IFERROR(VLOOKUP(C366,OBLIGACION!A:D,4,0),""))</f>
        <v/>
      </c>
      <c r="E366" t="str">
        <f>IF(C366="","",IFERROR(VLOOKUP(C366,OBLIGACION!A:E,5,0),""))</f>
        <v/>
      </c>
      <c r="F366" t="str">
        <f>IF(C366="","",IFERROR(VLOOKUP(C366,OBLIGACION!A:F,6,0),""))</f>
        <v/>
      </c>
      <c r="G366" t="str">
        <f>IF(C366="","",IFERROR(VLOOKUP(C366,OBLIGACION!A:G,7,0),""))</f>
        <v/>
      </c>
      <c r="H366" s="35"/>
    </row>
    <row r="367" spans="2:8" x14ac:dyDescent="0.3">
      <c r="B367" s="36"/>
      <c r="D367" t="str">
        <f>IF(C367="","",IFERROR(VLOOKUP(C367,OBLIGACION!A:D,4,0),""))</f>
        <v/>
      </c>
      <c r="E367" t="str">
        <f>IF(C367="","",IFERROR(VLOOKUP(C367,OBLIGACION!A:E,5,0),""))</f>
        <v/>
      </c>
      <c r="F367" t="str">
        <f>IF(C367="","",IFERROR(VLOOKUP(C367,OBLIGACION!A:F,6,0),""))</f>
        <v/>
      </c>
      <c r="G367" t="str">
        <f>IF(C367="","",IFERROR(VLOOKUP(C367,OBLIGACION!A:G,7,0),""))</f>
        <v/>
      </c>
      <c r="H367" s="35"/>
    </row>
    <row r="368" spans="2:8" x14ac:dyDescent="0.3">
      <c r="B368" s="36"/>
      <c r="D368" t="str">
        <f>IF(C368="","",IFERROR(VLOOKUP(C368,OBLIGACION!A:D,4,0),""))</f>
        <v/>
      </c>
      <c r="E368" t="str">
        <f>IF(C368="","",IFERROR(VLOOKUP(C368,OBLIGACION!A:E,5,0),""))</f>
        <v/>
      </c>
      <c r="F368" t="str">
        <f>IF(C368="","",IFERROR(VLOOKUP(C368,OBLIGACION!A:F,6,0),""))</f>
        <v/>
      </c>
      <c r="G368" t="str">
        <f>IF(C368="","",IFERROR(VLOOKUP(C368,OBLIGACION!A:G,7,0),""))</f>
        <v/>
      </c>
      <c r="H368" s="35"/>
    </row>
    <row r="369" spans="2:8" x14ac:dyDescent="0.3">
      <c r="B369" s="36"/>
      <c r="D369" t="str">
        <f>IF(C369="","",IFERROR(VLOOKUP(C369,OBLIGACION!A:D,4,0),""))</f>
        <v/>
      </c>
      <c r="E369" t="str">
        <f>IF(C369="","",IFERROR(VLOOKUP(C369,OBLIGACION!A:E,5,0),""))</f>
        <v/>
      </c>
      <c r="F369" t="str">
        <f>IF(C369="","",IFERROR(VLOOKUP(C369,OBLIGACION!A:F,6,0),""))</f>
        <v/>
      </c>
      <c r="G369" t="str">
        <f>IF(C369="","",IFERROR(VLOOKUP(C369,OBLIGACION!A:G,7,0),""))</f>
        <v/>
      </c>
      <c r="H369" s="35"/>
    </row>
    <row r="370" spans="2:8" x14ac:dyDescent="0.3">
      <c r="B370" s="36"/>
      <c r="D370" t="str">
        <f>IF(C370="","",IFERROR(VLOOKUP(C370,OBLIGACION!A:D,4,0),""))</f>
        <v/>
      </c>
      <c r="E370" t="str">
        <f>IF(C370="","",IFERROR(VLOOKUP(C370,OBLIGACION!A:E,5,0),""))</f>
        <v/>
      </c>
      <c r="F370" t="str">
        <f>IF(C370="","",IFERROR(VLOOKUP(C370,OBLIGACION!A:F,6,0),""))</f>
        <v/>
      </c>
      <c r="G370" t="str">
        <f>IF(C370="","",IFERROR(VLOOKUP(C370,OBLIGACION!A:G,7,0),""))</f>
        <v/>
      </c>
      <c r="H370" s="35"/>
    </row>
    <row r="371" spans="2:8" x14ac:dyDescent="0.3">
      <c r="B371" s="36"/>
      <c r="D371" t="str">
        <f>IF(C371="","",IFERROR(VLOOKUP(C371,OBLIGACION!A:D,4,0),""))</f>
        <v/>
      </c>
      <c r="E371" t="str">
        <f>IF(C371="","",IFERROR(VLOOKUP(C371,OBLIGACION!A:E,5,0),""))</f>
        <v/>
      </c>
      <c r="F371" t="str">
        <f>IF(C371="","",IFERROR(VLOOKUP(C371,OBLIGACION!A:F,6,0),""))</f>
        <v/>
      </c>
      <c r="G371" t="str">
        <f>IF(C371="","",IFERROR(VLOOKUP(C371,OBLIGACION!A:G,7,0),""))</f>
        <v/>
      </c>
      <c r="H371" s="35"/>
    </row>
    <row r="372" spans="2:8" x14ac:dyDescent="0.3">
      <c r="B372" s="36"/>
      <c r="D372" t="str">
        <f>IF(C372="","",IFERROR(VLOOKUP(C372,OBLIGACION!A:D,4,0),""))</f>
        <v/>
      </c>
      <c r="E372" t="str">
        <f>IF(C372="","",IFERROR(VLOOKUP(C372,OBLIGACION!A:E,5,0),""))</f>
        <v/>
      </c>
      <c r="F372" t="str">
        <f>IF(C372="","",IFERROR(VLOOKUP(C372,OBLIGACION!A:F,6,0),""))</f>
        <v/>
      </c>
      <c r="G372" t="str">
        <f>IF(C372="","",IFERROR(VLOOKUP(C372,OBLIGACION!A:G,7,0),""))</f>
        <v/>
      </c>
      <c r="H372" s="35"/>
    </row>
    <row r="373" spans="2:8" x14ac:dyDescent="0.3">
      <c r="B373" s="36"/>
      <c r="D373" t="str">
        <f>IF(C373="","",IFERROR(VLOOKUP(C373,OBLIGACION!A:D,4,0),""))</f>
        <v/>
      </c>
      <c r="E373" t="str">
        <f>IF(C373="","",IFERROR(VLOOKUP(C373,OBLIGACION!A:E,5,0),""))</f>
        <v/>
      </c>
      <c r="F373" t="str">
        <f>IF(C373="","",IFERROR(VLOOKUP(C373,OBLIGACION!A:F,6,0),""))</f>
        <v/>
      </c>
      <c r="G373" t="str">
        <f>IF(C373="","",IFERROR(VLOOKUP(C373,OBLIGACION!A:G,7,0),""))</f>
        <v/>
      </c>
      <c r="H373" s="35"/>
    </row>
    <row r="374" spans="2:8" x14ac:dyDescent="0.3">
      <c r="B374" s="36"/>
      <c r="D374" t="str">
        <f>IF(C374="","",IFERROR(VLOOKUP(C374,OBLIGACION!A:D,4,0),""))</f>
        <v/>
      </c>
      <c r="E374" t="str">
        <f>IF(C374="","",IFERROR(VLOOKUP(C374,OBLIGACION!A:E,5,0),""))</f>
        <v/>
      </c>
      <c r="F374" t="str">
        <f>IF(C374="","",IFERROR(VLOOKUP(C374,OBLIGACION!A:F,6,0),""))</f>
        <v/>
      </c>
      <c r="G374" t="str">
        <f>IF(C374="","",IFERROR(VLOOKUP(C374,OBLIGACION!A:G,7,0),""))</f>
        <v/>
      </c>
      <c r="H374" s="35"/>
    </row>
    <row r="375" spans="2:8" x14ac:dyDescent="0.3">
      <c r="B375" s="36"/>
      <c r="D375" t="str">
        <f>IF(C375="","",IFERROR(VLOOKUP(C375,OBLIGACION!A:D,4,0),""))</f>
        <v/>
      </c>
      <c r="E375" t="str">
        <f>IF(C375="","",IFERROR(VLOOKUP(C375,OBLIGACION!A:E,5,0),""))</f>
        <v/>
      </c>
      <c r="F375" t="str">
        <f>IF(C375="","",IFERROR(VLOOKUP(C375,OBLIGACION!A:F,6,0),""))</f>
        <v/>
      </c>
      <c r="G375" t="str">
        <f>IF(C375="","",IFERROR(VLOOKUP(C375,OBLIGACION!A:G,7,0),""))</f>
        <v/>
      </c>
      <c r="H375" s="35"/>
    </row>
    <row r="376" spans="2:8" x14ac:dyDescent="0.3">
      <c r="B376" s="36"/>
      <c r="D376" t="str">
        <f>IF(C376="","",IFERROR(VLOOKUP(C376,OBLIGACION!A:D,4,0),""))</f>
        <v/>
      </c>
      <c r="E376" t="str">
        <f>IF(C376="","",IFERROR(VLOOKUP(C376,OBLIGACION!A:E,5,0),""))</f>
        <v/>
      </c>
      <c r="F376" t="str">
        <f>IF(C376="","",IFERROR(VLOOKUP(C376,OBLIGACION!A:F,6,0),""))</f>
        <v/>
      </c>
      <c r="G376" t="str">
        <f>IF(C376="","",IFERROR(VLOOKUP(C376,OBLIGACION!A:G,7,0),""))</f>
        <v/>
      </c>
      <c r="H376" s="35"/>
    </row>
    <row r="377" spans="2:8" x14ac:dyDescent="0.3">
      <c r="B377" s="36"/>
      <c r="D377" t="str">
        <f>IF(C377="","",IFERROR(VLOOKUP(C377,OBLIGACION!A:D,4,0),""))</f>
        <v/>
      </c>
      <c r="E377" t="str">
        <f>IF(C377="","",IFERROR(VLOOKUP(C377,OBLIGACION!A:E,5,0),""))</f>
        <v/>
      </c>
      <c r="F377" t="str">
        <f>IF(C377="","",IFERROR(VLOOKUP(C377,OBLIGACION!A:F,6,0),""))</f>
        <v/>
      </c>
      <c r="G377" t="str">
        <f>IF(C377="","",IFERROR(VLOOKUP(C377,OBLIGACION!A:G,7,0),""))</f>
        <v/>
      </c>
      <c r="H377" s="35"/>
    </row>
    <row r="378" spans="2:8" x14ac:dyDescent="0.3">
      <c r="B378" s="36"/>
      <c r="D378" t="str">
        <f>IF(C378="","",IFERROR(VLOOKUP(C378,OBLIGACION!A:D,4,0),""))</f>
        <v/>
      </c>
      <c r="E378" t="str">
        <f>IF(C378="","",IFERROR(VLOOKUP(C378,OBLIGACION!A:E,5,0),""))</f>
        <v/>
      </c>
      <c r="F378" t="str">
        <f>IF(C378="","",IFERROR(VLOOKUP(C378,OBLIGACION!A:F,6,0),""))</f>
        <v/>
      </c>
      <c r="G378" t="str">
        <f>IF(C378="","",IFERROR(VLOOKUP(C378,OBLIGACION!A:G,7,0),""))</f>
        <v/>
      </c>
      <c r="H378" s="35"/>
    </row>
    <row r="379" spans="2:8" x14ac:dyDescent="0.3">
      <c r="B379" s="36"/>
      <c r="D379" t="str">
        <f>IF(C379="","",IFERROR(VLOOKUP(C379,OBLIGACION!A:D,4,0),""))</f>
        <v/>
      </c>
      <c r="E379" t="str">
        <f>IF(C379="","",IFERROR(VLOOKUP(C379,OBLIGACION!A:E,5,0),""))</f>
        <v/>
      </c>
      <c r="F379" t="str">
        <f>IF(C379="","",IFERROR(VLOOKUP(C379,OBLIGACION!A:F,6,0),""))</f>
        <v/>
      </c>
      <c r="G379" t="str">
        <f>IF(C379="","",IFERROR(VLOOKUP(C379,OBLIGACION!A:G,7,0),""))</f>
        <v/>
      </c>
      <c r="H379" s="35"/>
    </row>
    <row r="380" spans="2:8" x14ac:dyDescent="0.3">
      <c r="B380" s="36"/>
      <c r="D380" t="str">
        <f>IF(C380="","",IFERROR(VLOOKUP(C380,OBLIGACION!A:D,4,0),""))</f>
        <v/>
      </c>
      <c r="E380" t="str">
        <f>IF(C380="","",IFERROR(VLOOKUP(C380,OBLIGACION!A:E,5,0),""))</f>
        <v/>
      </c>
      <c r="F380" t="str">
        <f>IF(C380="","",IFERROR(VLOOKUP(C380,OBLIGACION!A:F,6,0),""))</f>
        <v/>
      </c>
      <c r="G380" t="str">
        <f>IF(C380="","",IFERROR(VLOOKUP(C380,OBLIGACION!A:G,7,0),""))</f>
        <v/>
      </c>
      <c r="H380" s="35"/>
    </row>
    <row r="381" spans="2:8" x14ac:dyDescent="0.3">
      <c r="B381" s="36"/>
      <c r="D381" t="str">
        <f>IF(C381="","",IFERROR(VLOOKUP(C381,OBLIGACION!A:D,4,0),""))</f>
        <v/>
      </c>
      <c r="E381" t="str">
        <f>IF(C381="","",IFERROR(VLOOKUP(C381,OBLIGACION!A:E,5,0),""))</f>
        <v/>
      </c>
      <c r="F381" t="str">
        <f>IF(C381="","",IFERROR(VLOOKUP(C381,OBLIGACION!A:F,6,0),""))</f>
        <v/>
      </c>
      <c r="G381" t="str">
        <f>IF(C381="","",IFERROR(VLOOKUP(C381,OBLIGACION!A:G,7,0),""))</f>
        <v/>
      </c>
      <c r="H381" s="35"/>
    </row>
    <row r="382" spans="2:8" x14ac:dyDescent="0.3">
      <c r="B382" s="36"/>
      <c r="D382" t="str">
        <f>IF(C382="","",IFERROR(VLOOKUP(C382,OBLIGACION!A:D,4,0),""))</f>
        <v/>
      </c>
      <c r="E382" t="str">
        <f>IF(C382="","",IFERROR(VLOOKUP(C382,OBLIGACION!A:E,5,0),""))</f>
        <v/>
      </c>
      <c r="F382" t="str">
        <f>IF(C382="","",IFERROR(VLOOKUP(C382,OBLIGACION!A:F,6,0),""))</f>
        <v/>
      </c>
      <c r="G382" t="str">
        <f>IF(C382="","",IFERROR(VLOOKUP(C382,OBLIGACION!A:G,7,0),""))</f>
        <v/>
      </c>
      <c r="H382" s="35"/>
    </row>
    <row r="383" spans="2:8" x14ac:dyDescent="0.3">
      <c r="B383" s="36"/>
      <c r="D383" t="str">
        <f>IF(C383="","",IFERROR(VLOOKUP(C383,OBLIGACION!A:D,4,0),""))</f>
        <v/>
      </c>
      <c r="E383" t="str">
        <f>IF(C383="","",IFERROR(VLOOKUP(C383,OBLIGACION!A:E,5,0),""))</f>
        <v/>
      </c>
      <c r="F383" t="str">
        <f>IF(C383="","",IFERROR(VLOOKUP(C383,OBLIGACION!A:F,6,0),""))</f>
        <v/>
      </c>
      <c r="G383" t="str">
        <f>IF(C383="","",IFERROR(VLOOKUP(C383,OBLIGACION!A:G,7,0),""))</f>
        <v/>
      </c>
      <c r="H383" s="35"/>
    </row>
    <row r="384" spans="2:8" x14ac:dyDescent="0.3">
      <c r="B384" s="36"/>
      <c r="D384" t="str">
        <f>IF(C384="","",IFERROR(VLOOKUP(C384,OBLIGACION!A:D,4,0),""))</f>
        <v/>
      </c>
      <c r="E384" t="str">
        <f>IF(C384="","",IFERROR(VLOOKUP(C384,OBLIGACION!A:E,5,0),""))</f>
        <v/>
      </c>
      <c r="F384" t="str">
        <f>IF(C384="","",IFERROR(VLOOKUP(C384,OBLIGACION!A:F,6,0),""))</f>
        <v/>
      </c>
      <c r="G384" t="str">
        <f>IF(C384="","",IFERROR(VLOOKUP(C384,OBLIGACION!A:G,7,0),""))</f>
        <v/>
      </c>
      <c r="H384" s="35"/>
    </row>
    <row r="385" spans="2:8" x14ac:dyDescent="0.3">
      <c r="B385" s="36"/>
      <c r="D385" t="str">
        <f>IF(C385="","",IFERROR(VLOOKUP(C385,OBLIGACION!A:D,4,0),""))</f>
        <v/>
      </c>
      <c r="E385" t="str">
        <f>IF(C385="","",IFERROR(VLOOKUP(C385,OBLIGACION!A:E,5,0),""))</f>
        <v/>
      </c>
      <c r="F385" t="str">
        <f>IF(C385="","",IFERROR(VLOOKUP(C385,OBLIGACION!A:F,6,0),""))</f>
        <v/>
      </c>
      <c r="G385" t="str">
        <f>IF(C385="","",IFERROR(VLOOKUP(C385,OBLIGACION!A:G,7,0),""))</f>
        <v/>
      </c>
      <c r="H385" s="35"/>
    </row>
    <row r="386" spans="2:8" x14ac:dyDescent="0.3">
      <c r="B386" s="36"/>
      <c r="D386" t="str">
        <f>IF(C386="","",IFERROR(VLOOKUP(C386,OBLIGACION!A:D,4,0),""))</f>
        <v/>
      </c>
      <c r="E386" t="str">
        <f>IF(C386="","",IFERROR(VLOOKUP(C386,OBLIGACION!A:E,5,0),""))</f>
        <v/>
      </c>
      <c r="F386" t="str">
        <f>IF(C386="","",IFERROR(VLOOKUP(C386,OBLIGACION!A:F,6,0),""))</f>
        <v/>
      </c>
      <c r="G386" t="str">
        <f>IF(C386="","",IFERROR(VLOOKUP(C386,OBLIGACION!A:G,7,0),""))</f>
        <v/>
      </c>
      <c r="H386" s="35"/>
    </row>
    <row r="387" spans="2:8" x14ac:dyDescent="0.3">
      <c r="B387" s="36"/>
      <c r="D387" t="str">
        <f>IF(C387="","",IFERROR(VLOOKUP(C387,OBLIGACION!A:D,4,0),""))</f>
        <v/>
      </c>
      <c r="E387" t="str">
        <f>IF(C387="","",IFERROR(VLOOKUP(C387,OBLIGACION!A:E,5,0),""))</f>
        <v/>
      </c>
      <c r="F387" t="str">
        <f>IF(C387="","",IFERROR(VLOOKUP(C387,OBLIGACION!A:F,6,0),""))</f>
        <v/>
      </c>
      <c r="G387" t="str">
        <f>IF(C387="","",IFERROR(VLOOKUP(C387,OBLIGACION!A:G,7,0),""))</f>
        <v/>
      </c>
      <c r="H387" s="35"/>
    </row>
    <row r="388" spans="2:8" x14ac:dyDescent="0.3">
      <c r="B388" s="36"/>
      <c r="D388" t="str">
        <f>IF(C388="","",IFERROR(VLOOKUP(C388,OBLIGACION!A:D,4,0),""))</f>
        <v/>
      </c>
      <c r="E388" t="str">
        <f>IF(C388="","",IFERROR(VLOOKUP(C388,OBLIGACION!A:E,5,0),""))</f>
        <v/>
      </c>
      <c r="F388" t="str">
        <f>IF(C388="","",IFERROR(VLOOKUP(C388,OBLIGACION!A:F,6,0),""))</f>
        <v/>
      </c>
      <c r="G388" t="str">
        <f>IF(C388="","",IFERROR(VLOOKUP(C388,OBLIGACION!A:G,7,0),""))</f>
        <v/>
      </c>
      <c r="H388" s="35"/>
    </row>
    <row r="389" spans="2:8" x14ac:dyDescent="0.3">
      <c r="B389" s="36"/>
      <c r="D389" t="str">
        <f>IF(C389="","",IFERROR(VLOOKUP(C389,OBLIGACION!A:D,4,0),""))</f>
        <v/>
      </c>
      <c r="E389" t="str">
        <f>IF(C389="","",IFERROR(VLOOKUP(C389,OBLIGACION!A:E,5,0),""))</f>
        <v/>
      </c>
      <c r="F389" t="str">
        <f>IF(C389="","",IFERROR(VLOOKUP(C389,OBLIGACION!A:F,6,0),""))</f>
        <v/>
      </c>
      <c r="G389" t="str">
        <f>IF(C389="","",IFERROR(VLOOKUP(C389,OBLIGACION!A:G,7,0),""))</f>
        <v/>
      </c>
      <c r="H389" s="35"/>
    </row>
    <row r="390" spans="2:8" x14ac:dyDescent="0.3">
      <c r="B390" s="36"/>
      <c r="D390" t="str">
        <f>IF(C390="","",IFERROR(VLOOKUP(C390,OBLIGACION!A:D,4,0),""))</f>
        <v/>
      </c>
      <c r="E390" t="str">
        <f>IF(C390="","",IFERROR(VLOOKUP(C390,OBLIGACION!A:E,5,0),""))</f>
        <v/>
      </c>
      <c r="F390" t="str">
        <f>IF(C390="","",IFERROR(VLOOKUP(C390,OBLIGACION!A:F,6,0),""))</f>
        <v/>
      </c>
      <c r="G390" t="str">
        <f>IF(C390="","",IFERROR(VLOOKUP(C390,OBLIGACION!A:G,7,0),""))</f>
        <v/>
      </c>
      <c r="H390" s="35"/>
    </row>
    <row r="391" spans="2:8" x14ac:dyDescent="0.3">
      <c r="B391" s="36"/>
      <c r="D391" t="str">
        <f>IF(C391="","",IFERROR(VLOOKUP(C391,OBLIGACION!A:D,4,0),""))</f>
        <v/>
      </c>
      <c r="E391" t="str">
        <f>IF(C391="","",IFERROR(VLOOKUP(C391,OBLIGACION!A:E,5,0),""))</f>
        <v/>
      </c>
      <c r="F391" t="str">
        <f>IF(C391="","",IFERROR(VLOOKUP(C391,OBLIGACION!A:F,6,0),""))</f>
        <v/>
      </c>
      <c r="G391" t="str">
        <f>IF(C391="","",IFERROR(VLOOKUP(C391,OBLIGACION!A:G,7,0),""))</f>
        <v/>
      </c>
      <c r="H391" s="35"/>
    </row>
    <row r="392" spans="2:8" x14ac:dyDescent="0.3">
      <c r="B392" s="36"/>
      <c r="D392" t="str">
        <f>IF(C392="","",IFERROR(VLOOKUP(C392,OBLIGACION!A:D,4,0),""))</f>
        <v/>
      </c>
      <c r="E392" t="str">
        <f>IF(C392="","",IFERROR(VLOOKUP(C392,OBLIGACION!A:E,5,0),""))</f>
        <v/>
      </c>
      <c r="F392" t="str">
        <f>IF(C392="","",IFERROR(VLOOKUP(C392,OBLIGACION!A:F,6,0),""))</f>
        <v/>
      </c>
      <c r="G392" t="str">
        <f>IF(C392="","",IFERROR(VLOOKUP(C392,OBLIGACION!A:G,7,0),""))</f>
        <v/>
      </c>
      <c r="H392" s="35"/>
    </row>
    <row r="393" spans="2:8" x14ac:dyDescent="0.3">
      <c r="B393" s="36"/>
      <c r="D393" t="str">
        <f>IF(C393="","",IFERROR(VLOOKUP(C393,OBLIGACION!A:D,4,0),""))</f>
        <v/>
      </c>
      <c r="E393" t="str">
        <f>IF(C393="","",IFERROR(VLOOKUP(C393,OBLIGACION!A:E,5,0),""))</f>
        <v/>
      </c>
      <c r="F393" t="str">
        <f>IF(C393="","",IFERROR(VLOOKUP(C393,OBLIGACION!A:F,6,0),""))</f>
        <v/>
      </c>
      <c r="G393" t="str">
        <f>IF(C393="","",IFERROR(VLOOKUP(C393,OBLIGACION!A:G,7,0),""))</f>
        <v/>
      </c>
      <c r="H393" s="35"/>
    </row>
    <row r="394" spans="2:8" x14ac:dyDescent="0.3">
      <c r="B394" s="36"/>
      <c r="D394" t="str">
        <f>IF(C394="","",IFERROR(VLOOKUP(C394,OBLIGACION!A:D,4,0),""))</f>
        <v/>
      </c>
      <c r="E394" t="str">
        <f>IF(C394="","",IFERROR(VLOOKUP(C394,OBLIGACION!A:E,5,0),""))</f>
        <v/>
      </c>
      <c r="F394" t="str">
        <f>IF(C394="","",IFERROR(VLOOKUP(C394,OBLIGACION!A:F,6,0),""))</f>
        <v/>
      </c>
      <c r="G394" t="str">
        <f>IF(C394="","",IFERROR(VLOOKUP(C394,OBLIGACION!A:G,7,0),""))</f>
        <v/>
      </c>
      <c r="H394" s="35"/>
    </row>
    <row r="395" spans="2:8" x14ac:dyDescent="0.3">
      <c r="B395" s="36"/>
      <c r="D395" t="str">
        <f>IF(C395="","",IFERROR(VLOOKUP(C395,OBLIGACION!A:D,4,0),""))</f>
        <v/>
      </c>
      <c r="E395" t="str">
        <f>IF(C395="","",IFERROR(VLOOKUP(C395,OBLIGACION!A:E,5,0),""))</f>
        <v/>
      </c>
      <c r="F395" t="str">
        <f>IF(C395="","",IFERROR(VLOOKUP(C395,OBLIGACION!A:F,6,0),""))</f>
        <v/>
      </c>
      <c r="G395" t="str">
        <f>IF(C395="","",IFERROR(VLOOKUP(C395,OBLIGACION!A:G,7,0),""))</f>
        <v/>
      </c>
      <c r="H395" s="35"/>
    </row>
    <row r="396" spans="2:8" x14ac:dyDescent="0.3">
      <c r="B396" s="36"/>
      <c r="D396" t="str">
        <f>IF(C396="","",IFERROR(VLOOKUP(C396,OBLIGACION!A:D,4,0),""))</f>
        <v/>
      </c>
      <c r="E396" t="str">
        <f>IF(C396="","",IFERROR(VLOOKUP(C396,OBLIGACION!A:E,5,0),""))</f>
        <v/>
      </c>
      <c r="F396" t="str">
        <f>IF(C396="","",IFERROR(VLOOKUP(C396,OBLIGACION!A:F,6,0),""))</f>
        <v/>
      </c>
      <c r="G396" t="str">
        <f>IF(C396="","",IFERROR(VLOOKUP(C396,OBLIGACION!A:G,7,0),""))</f>
        <v/>
      </c>
      <c r="H396" s="35"/>
    </row>
    <row r="397" spans="2:8" x14ac:dyDescent="0.3">
      <c r="B397" s="36"/>
      <c r="D397" t="str">
        <f>IF(C397="","",IFERROR(VLOOKUP(C397,OBLIGACION!A:D,4,0),""))</f>
        <v/>
      </c>
      <c r="E397" t="str">
        <f>IF(C397="","",IFERROR(VLOOKUP(C397,OBLIGACION!A:E,5,0),""))</f>
        <v/>
      </c>
      <c r="F397" t="str">
        <f>IF(C397="","",IFERROR(VLOOKUP(C397,OBLIGACION!A:F,6,0),""))</f>
        <v/>
      </c>
      <c r="G397" t="str">
        <f>IF(C397="","",IFERROR(VLOOKUP(C397,OBLIGACION!A:G,7,0),""))</f>
        <v/>
      </c>
      <c r="H397" s="35"/>
    </row>
    <row r="398" spans="2:8" x14ac:dyDescent="0.3">
      <c r="B398" s="36"/>
      <c r="D398" t="str">
        <f>IF(C398="","",IFERROR(VLOOKUP(C398,OBLIGACION!A:D,4,0),""))</f>
        <v/>
      </c>
      <c r="E398" t="str">
        <f>IF(C398="","",IFERROR(VLOOKUP(C398,OBLIGACION!A:E,5,0),""))</f>
        <v/>
      </c>
      <c r="F398" t="str">
        <f>IF(C398="","",IFERROR(VLOOKUP(C398,OBLIGACION!A:F,6,0),""))</f>
        <v/>
      </c>
      <c r="G398" t="str">
        <f>IF(C398="","",IFERROR(VLOOKUP(C398,OBLIGACION!A:G,7,0),""))</f>
        <v/>
      </c>
      <c r="H398" s="35"/>
    </row>
    <row r="399" spans="2:8" x14ac:dyDescent="0.3">
      <c r="B399" s="36"/>
      <c r="D399" t="str">
        <f>IF(C399="","",IFERROR(VLOOKUP(C399,OBLIGACION!A:D,4,0),""))</f>
        <v/>
      </c>
      <c r="E399" t="str">
        <f>IF(C399="","",IFERROR(VLOOKUP(C399,OBLIGACION!A:E,5,0),""))</f>
        <v/>
      </c>
      <c r="F399" t="str">
        <f>IF(C399="","",IFERROR(VLOOKUP(C399,OBLIGACION!A:F,6,0),""))</f>
        <v/>
      </c>
      <c r="G399" t="str">
        <f>IF(C399="","",IFERROR(VLOOKUP(C399,OBLIGACION!A:G,7,0),""))</f>
        <v/>
      </c>
      <c r="H399" s="35"/>
    </row>
    <row r="400" spans="2:8" x14ac:dyDescent="0.3">
      <c r="B400" s="36"/>
      <c r="D400" t="str">
        <f>IF(C400="","",IFERROR(VLOOKUP(C400,OBLIGACION!A:D,4,0),""))</f>
        <v/>
      </c>
      <c r="E400" t="str">
        <f>IF(C400="","",IFERROR(VLOOKUP(C400,OBLIGACION!A:E,5,0),""))</f>
        <v/>
      </c>
      <c r="F400" t="str">
        <f>IF(C400="","",IFERROR(VLOOKUP(C400,OBLIGACION!A:F,6,0),""))</f>
        <v/>
      </c>
      <c r="G400" t="str">
        <f>IF(C400="","",IFERROR(VLOOKUP(C400,OBLIGACION!A:G,7,0),""))</f>
        <v/>
      </c>
      <c r="H400" s="35"/>
    </row>
    <row r="401" spans="2:8" x14ac:dyDescent="0.3">
      <c r="B401" s="36"/>
      <c r="D401" t="str">
        <f>IF(C401="","",IFERROR(VLOOKUP(C401,OBLIGACION!A:D,4,0),""))</f>
        <v/>
      </c>
      <c r="E401" t="str">
        <f>IF(C401="","",IFERROR(VLOOKUP(C401,OBLIGACION!A:E,5,0),""))</f>
        <v/>
      </c>
      <c r="F401" t="str">
        <f>IF(C401="","",IFERROR(VLOOKUP(C401,OBLIGACION!A:F,6,0),""))</f>
        <v/>
      </c>
      <c r="G401" t="str">
        <f>IF(C401="","",IFERROR(VLOOKUP(C401,OBLIGACION!A:G,7,0),""))</f>
        <v/>
      </c>
      <c r="H401" s="35"/>
    </row>
    <row r="402" spans="2:8" x14ac:dyDescent="0.3">
      <c r="B402" s="36"/>
      <c r="D402" t="str">
        <f>IF(C402="","",IFERROR(VLOOKUP(C402,OBLIGACION!A:D,4,0),""))</f>
        <v/>
      </c>
      <c r="E402" t="str">
        <f>IF(C402="","",IFERROR(VLOOKUP(C402,OBLIGACION!A:E,5,0),""))</f>
        <v/>
      </c>
      <c r="F402" t="str">
        <f>IF(C402="","",IFERROR(VLOOKUP(C402,OBLIGACION!A:F,6,0),""))</f>
        <v/>
      </c>
      <c r="G402" t="str">
        <f>IF(C402="","",IFERROR(VLOOKUP(C402,OBLIGACION!A:G,7,0),""))</f>
        <v/>
      </c>
      <c r="H402" s="35"/>
    </row>
    <row r="403" spans="2:8" x14ac:dyDescent="0.3">
      <c r="B403" s="36"/>
      <c r="D403" t="str">
        <f>IF(C403="","",IFERROR(VLOOKUP(C403,OBLIGACION!A:D,4,0),""))</f>
        <v/>
      </c>
      <c r="E403" t="str">
        <f>IF(C403="","",IFERROR(VLOOKUP(C403,OBLIGACION!A:E,5,0),""))</f>
        <v/>
      </c>
      <c r="F403" t="str">
        <f>IF(C403="","",IFERROR(VLOOKUP(C403,OBLIGACION!A:F,6,0),""))</f>
        <v/>
      </c>
      <c r="G403" t="str">
        <f>IF(C403="","",IFERROR(VLOOKUP(C403,OBLIGACION!A:G,7,0),""))</f>
        <v/>
      </c>
      <c r="H403" s="35"/>
    </row>
    <row r="404" spans="2:8" x14ac:dyDescent="0.3">
      <c r="B404" s="36"/>
      <c r="D404" t="str">
        <f>IF(C404="","",IFERROR(VLOOKUP(C404,OBLIGACION!A:D,4,0),""))</f>
        <v/>
      </c>
      <c r="E404" t="str">
        <f>IF(C404="","",IFERROR(VLOOKUP(C404,OBLIGACION!A:E,5,0),""))</f>
        <v/>
      </c>
      <c r="F404" t="str">
        <f>IF(C404="","",IFERROR(VLOOKUP(C404,OBLIGACION!A:F,6,0),""))</f>
        <v/>
      </c>
      <c r="G404" t="str">
        <f>IF(C404="","",IFERROR(VLOOKUP(C404,OBLIGACION!A:G,7,0),""))</f>
        <v/>
      </c>
      <c r="H404" s="35"/>
    </row>
    <row r="405" spans="2:8" x14ac:dyDescent="0.3">
      <c r="B405" s="36"/>
      <c r="D405" t="str">
        <f>IF(C405="","",IFERROR(VLOOKUP(C405,OBLIGACION!A:D,4,0),""))</f>
        <v/>
      </c>
      <c r="E405" t="str">
        <f>IF(C405="","",IFERROR(VLOOKUP(C405,OBLIGACION!A:E,5,0),""))</f>
        <v/>
      </c>
      <c r="F405" t="str">
        <f>IF(C405="","",IFERROR(VLOOKUP(C405,OBLIGACION!A:F,6,0),""))</f>
        <v/>
      </c>
      <c r="G405" t="str">
        <f>IF(C405="","",IFERROR(VLOOKUP(C405,OBLIGACION!A:G,7,0),""))</f>
        <v/>
      </c>
      <c r="H405" s="35"/>
    </row>
    <row r="406" spans="2:8" x14ac:dyDescent="0.3">
      <c r="B406" s="36"/>
      <c r="D406" t="str">
        <f>IF(C406="","",IFERROR(VLOOKUP(C406,OBLIGACION!A:D,4,0),""))</f>
        <v/>
      </c>
      <c r="E406" t="str">
        <f>IF(C406="","",IFERROR(VLOOKUP(C406,OBLIGACION!A:E,5,0),""))</f>
        <v/>
      </c>
      <c r="F406" t="str">
        <f>IF(C406="","",IFERROR(VLOOKUP(C406,OBLIGACION!A:F,6,0),""))</f>
        <v/>
      </c>
      <c r="G406" t="str">
        <f>IF(C406="","",IFERROR(VLOOKUP(C406,OBLIGACION!A:G,7,0),""))</f>
        <v/>
      </c>
      <c r="H406" s="35"/>
    </row>
    <row r="407" spans="2:8" x14ac:dyDescent="0.3">
      <c r="B407" s="36"/>
      <c r="D407" t="str">
        <f>IF(C407="","",IFERROR(VLOOKUP(C407,OBLIGACION!A:D,4,0),""))</f>
        <v/>
      </c>
      <c r="E407" t="str">
        <f>IF(C407="","",IFERROR(VLOOKUP(C407,OBLIGACION!A:E,5,0),""))</f>
        <v/>
      </c>
      <c r="F407" t="str">
        <f>IF(C407="","",IFERROR(VLOOKUP(C407,OBLIGACION!A:F,6,0),""))</f>
        <v/>
      </c>
      <c r="G407" t="str">
        <f>IF(C407="","",IFERROR(VLOOKUP(C407,OBLIGACION!A:G,7,0),""))</f>
        <v/>
      </c>
      <c r="H407" s="35"/>
    </row>
    <row r="408" spans="2:8" x14ac:dyDescent="0.3">
      <c r="B408" s="36"/>
      <c r="D408" t="str">
        <f>IF(C408="","",IFERROR(VLOOKUP(C408,OBLIGACION!A:D,4,0),""))</f>
        <v/>
      </c>
      <c r="E408" t="str">
        <f>IF(C408="","",IFERROR(VLOOKUP(C408,OBLIGACION!A:E,5,0),""))</f>
        <v/>
      </c>
      <c r="F408" t="str">
        <f>IF(C408="","",IFERROR(VLOOKUP(C408,OBLIGACION!A:F,6,0),""))</f>
        <v/>
      </c>
      <c r="G408" t="str">
        <f>IF(C408="","",IFERROR(VLOOKUP(C408,OBLIGACION!A:G,7,0),""))</f>
        <v/>
      </c>
      <c r="H408" s="35"/>
    </row>
    <row r="409" spans="2:8" x14ac:dyDescent="0.3">
      <c r="B409" s="36"/>
      <c r="D409" t="str">
        <f>IF(C409="","",IFERROR(VLOOKUP(C409,OBLIGACION!A:D,4,0),""))</f>
        <v/>
      </c>
      <c r="E409" t="str">
        <f>IF(C409="","",IFERROR(VLOOKUP(C409,OBLIGACION!A:E,5,0),""))</f>
        <v/>
      </c>
      <c r="F409" t="str">
        <f>IF(C409="","",IFERROR(VLOOKUP(C409,OBLIGACION!A:F,6,0),""))</f>
        <v/>
      </c>
      <c r="G409" t="str">
        <f>IF(C409="","",IFERROR(VLOOKUP(C409,OBLIGACION!A:G,7,0),""))</f>
        <v/>
      </c>
      <c r="H409" s="35"/>
    </row>
    <row r="410" spans="2:8" x14ac:dyDescent="0.3">
      <c r="B410" s="36"/>
      <c r="D410" t="str">
        <f>IF(C410="","",IFERROR(VLOOKUP(C410,OBLIGACION!A:D,4,0),""))</f>
        <v/>
      </c>
      <c r="E410" t="str">
        <f>IF(C410="","",IFERROR(VLOOKUP(C410,OBLIGACION!A:E,5,0),""))</f>
        <v/>
      </c>
      <c r="F410" t="str">
        <f>IF(C410="","",IFERROR(VLOOKUP(C410,OBLIGACION!A:F,6,0),""))</f>
        <v/>
      </c>
      <c r="G410" t="str">
        <f>IF(C410="","",IFERROR(VLOOKUP(C410,OBLIGACION!A:G,7,0),""))</f>
        <v/>
      </c>
      <c r="H410" s="35"/>
    </row>
    <row r="411" spans="2:8" x14ac:dyDescent="0.3">
      <c r="B411" s="36"/>
      <c r="D411" t="str">
        <f>IF(C411="","",IFERROR(VLOOKUP(C411,OBLIGACION!A:D,4,0),""))</f>
        <v/>
      </c>
      <c r="E411" t="str">
        <f>IF(C411="","",IFERROR(VLOOKUP(C411,OBLIGACION!A:E,5,0),""))</f>
        <v/>
      </c>
      <c r="F411" t="str">
        <f>IF(C411="","",IFERROR(VLOOKUP(C411,OBLIGACION!A:F,6,0),""))</f>
        <v/>
      </c>
      <c r="G411" t="str">
        <f>IF(C411="","",IFERROR(VLOOKUP(C411,OBLIGACION!A:G,7,0),""))</f>
        <v/>
      </c>
      <c r="H411" s="35"/>
    </row>
    <row r="412" spans="2:8" x14ac:dyDescent="0.3">
      <c r="B412" s="36"/>
      <c r="D412" t="str">
        <f>IF(C412="","",IFERROR(VLOOKUP(C412,OBLIGACION!A:D,4,0),""))</f>
        <v/>
      </c>
      <c r="E412" t="str">
        <f>IF(C412="","",IFERROR(VLOOKUP(C412,OBLIGACION!A:E,5,0),""))</f>
        <v/>
      </c>
      <c r="F412" t="str">
        <f>IF(C412="","",IFERROR(VLOOKUP(C412,OBLIGACION!A:F,6,0),""))</f>
        <v/>
      </c>
      <c r="G412" t="str">
        <f>IF(C412="","",IFERROR(VLOOKUP(C412,OBLIGACION!A:G,7,0),""))</f>
        <v/>
      </c>
      <c r="H412" s="35"/>
    </row>
    <row r="413" spans="2:8" x14ac:dyDescent="0.3">
      <c r="B413" s="36"/>
      <c r="D413" t="str">
        <f>IF(C413="","",IFERROR(VLOOKUP(C413,OBLIGACION!A:D,4,0),""))</f>
        <v/>
      </c>
      <c r="E413" t="str">
        <f>IF(C413="","",IFERROR(VLOOKUP(C413,OBLIGACION!A:E,5,0),""))</f>
        <v/>
      </c>
      <c r="F413" t="str">
        <f>IF(C413="","",IFERROR(VLOOKUP(C413,OBLIGACION!A:F,6,0),""))</f>
        <v/>
      </c>
      <c r="G413" t="str">
        <f>IF(C413="","",IFERROR(VLOOKUP(C413,OBLIGACION!A:G,7,0),""))</f>
        <v/>
      </c>
      <c r="H413" s="35"/>
    </row>
    <row r="414" spans="2:8" x14ac:dyDescent="0.3">
      <c r="B414" s="36"/>
      <c r="D414" t="str">
        <f>IF(C414="","",IFERROR(VLOOKUP(C414,OBLIGACION!A:D,4,0),""))</f>
        <v/>
      </c>
      <c r="E414" t="str">
        <f>IF(C414="","",IFERROR(VLOOKUP(C414,OBLIGACION!A:E,5,0),""))</f>
        <v/>
      </c>
      <c r="F414" t="str">
        <f>IF(C414="","",IFERROR(VLOOKUP(C414,OBLIGACION!A:F,6,0),""))</f>
        <v/>
      </c>
      <c r="G414" t="str">
        <f>IF(C414="","",IFERROR(VLOOKUP(C414,OBLIGACION!A:G,7,0),""))</f>
        <v/>
      </c>
      <c r="H414" s="35"/>
    </row>
    <row r="415" spans="2:8" x14ac:dyDescent="0.3">
      <c r="B415" s="36"/>
      <c r="D415" t="str">
        <f>IF(C415="","",IFERROR(VLOOKUP(C415,OBLIGACION!A:D,4,0),""))</f>
        <v/>
      </c>
      <c r="E415" t="str">
        <f>IF(C415="","",IFERROR(VLOOKUP(C415,OBLIGACION!A:E,5,0),""))</f>
        <v/>
      </c>
      <c r="F415" t="str">
        <f>IF(C415="","",IFERROR(VLOOKUP(C415,OBLIGACION!A:F,6,0),""))</f>
        <v/>
      </c>
      <c r="G415" t="str">
        <f>IF(C415="","",IFERROR(VLOOKUP(C415,OBLIGACION!A:G,7,0),""))</f>
        <v/>
      </c>
      <c r="H415" s="35"/>
    </row>
    <row r="416" spans="2:8" x14ac:dyDescent="0.3">
      <c r="B416" s="36"/>
      <c r="D416" t="str">
        <f>IF(C416="","",IFERROR(VLOOKUP(C416,OBLIGACION!A:D,4,0),""))</f>
        <v/>
      </c>
      <c r="E416" t="str">
        <f>IF(C416="","",IFERROR(VLOOKUP(C416,OBLIGACION!A:E,5,0),""))</f>
        <v/>
      </c>
      <c r="F416" t="str">
        <f>IF(C416="","",IFERROR(VLOOKUP(C416,OBLIGACION!A:F,6,0),""))</f>
        <v/>
      </c>
      <c r="G416" t="str">
        <f>IF(C416="","",IFERROR(VLOOKUP(C416,OBLIGACION!A:G,7,0),""))</f>
        <v/>
      </c>
      <c r="H416" s="35"/>
    </row>
    <row r="417" spans="2:8" x14ac:dyDescent="0.3">
      <c r="B417" s="36"/>
      <c r="D417" t="str">
        <f>IF(C417="","",IFERROR(VLOOKUP(C417,OBLIGACION!A:D,4,0),""))</f>
        <v/>
      </c>
      <c r="E417" t="str">
        <f>IF(C417="","",IFERROR(VLOOKUP(C417,OBLIGACION!A:E,5,0),""))</f>
        <v/>
      </c>
      <c r="F417" t="str">
        <f>IF(C417="","",IFERROR(VLOOKUP(C417,OBLIGACION!A:F,6,0),""))</f>
        <v/>
      </c>
      <c r="G417" t="str">
        <f>IF(C417="","",IFERROR(VLOOKUP(C417,OBLIGACION!A:G,7,0),""))</f>
        <v/>
      </c>
      <c r="H417" s="35"/>
    </row>
    <row r="418" spans="2:8" x14ac:dyDescent="0.3">
      <c r="B418" s="36"/>
      <c r="D418" t="str">
        <f>IF(C418="","",IFERROR(VLOOKUP(C418,OBLIGACION!A:D,4,0),""))</f>
        <v/>
      </c>
      <c r="E418" t="str">
        <f>IF(C418="","",IFERROR(VLOOKUP(C418,OBLIGACION!A:E,5,0),""))</f>
        <v/>
      </c>
      <c r="F418" t="str">
        <f>IF(C418="","",IFERROR(VLOOKUP(C418,OBLIGACION!A:F,6,0),""))</f>
        <v/>
      </c>
      <c r="G418" t="str">
        <f>IF(C418="","",IFERROR(VLOOKUP(C418,OBLIGACION!A:G,7,0),""))</f>
        <v/>
      </c>
      <c r="H418" s="35"/>
    </row>
    <row r="419" spans="2:8" x14ac:dyDescent="0.3">
      <c r="B419" s="36"/>
      <c r="D419" t="str">
        <f>IF(C419="","",IFERROR(VLOOKUP(C419,OBLIGACION!A:D,4,0),""))</f>
        <v/>
      </c>
      <c r="E419" t="str">
        <f>IF(C419="","",IFERROR(VLOOKUP(C419,OBLIGACION!A:E,5,0),""))</f>
        <v/>
      </c>
      <c r="F419" t="str">
        <f>IF(C419="","",IFERROR(VLOOKUP(C419,OBLIGACION!A:F,6,0),""))</f>
        <v/>
      </c>
      <c r="G419" t="str">
        <f>IF(C419="","",IFERROR(VLOOKUP(C419,OBLIGACION!A:G,7,0),""))</f>
        <v/>
      </c>
      <c r="H419" s="35"/>
    </row>
    <row r="420" spans="2:8" x14ac:dyDescent="0.3">
      <c r="B420" s="36"/>
      <c r="D420" t="str">
        <f>IF(C420="","",IFERROR(VLOOKUP(C420,OBLIGACION!A:D,4,0),""))</f>
        <v/>
      </c>
      <c r="E420" t="str">
        <f>IF(C420="","",IFERROR(VLOOKUP(C420,OBLIGACION!A:E,5,0),""))</f>
        <v/>
      </c>
      <c r="F420" t="str">
        <f>IF(C420="","",IFERROR(VLOOKUP(C420,OBLIGACION!A:F,6,0),""))</f>
        <v/>
      </c>
      <c r="G420" t="str">
        <f>IF(C420="","",IFERROR(VLOOKUP(C420,OBLIGACION!A:G,7,0),""))</f>
        <v/>
      </c>
      <c r="H420" s="35"/>
    </row>
    <row r="421" spans="2:8" x14ac:dyDescent="0.3">
      <c r="B421" s="36"/>
      <c r="D421" t="str">
        <f>IF(C421="","",IFERROR(VLOOKUP(C421,OBLIGACION!A:D,4,0),""))</f>
        <v/>
      </c>
      <c r="E421" t="str">
        <f>IF(C421="","",IFERROR(VLOOKUP(C421,OBLIGACION!A:E,5,0),""))</f>
        <v/>
      </c>
      <c r="F421" t="str">
        <f>IF(C421="","",IFERROR(VLOOKUP(C421,OBLIGACION!A:F,6,0),""))</f>
        <v/>
      </c>
      <c r="G421" t="str">
        <f>IF(C421="","",IFERROR(VLOOKUP(C421,OBLIGACION!A:G,7,0),""))</f>
        <v/>
      </c>
      <c r="H421" s="35"/>
    </row>
    <row r="422" spans="2:8" x14ac:dyDescent="0.3">
      <c r="B422" s="36"/>
      <c r="D422" t="str">
        <f>IF(C422="","",IFERROR(VLOOKUP(C422,OBLIGACION!A:D,4,0),""))</f>
        <v/>
      </c>
      <c r="E422" t="str">
        <f>IF(C422="","",IFERROR(VLOOKUP(C422,OBLIGACION!A:E,5,0),""))</f>
        <v/>
      </c>
      <c r="F422" t="str">
        <f>IF(C422="","",IFERROR(VLOOKUP(C422,OBLIGACION!A:F,6,0),""))</f>
        <v/>
      </c>
      <c r="G422" t="str">
        <f>IF(C422="","",IFERROR(VLOOKUP(C422,OBLIGACION!A:G,7,0),""))</f>
        <v/>
      </c>
      <c r="H422" s="35"/>
    </row>
    <row r="423" spans="2:8" x14ac:dyDescent="0.3">
      <c r="B423" s="36"/>
      <c r="D423" t="str">
        <f>IF(C423="","",IFERROR(VLOOKUP(C423,OBLIGACION!A:D,4,0),""))</f>
        <v/>
      </c>
      <c r="E423" t="str">
        <f>IF(C423="","",IFERROR(VLOOKUP(C423,OBLIGACION!A:E,5,0),""))</f>
        <v/>
      </c>
      <c r="F423" t="str">
        <f>IF(C423="","",IFERROR(VLOOKUP(C423,OBLIGACION!A:F,6,0),""))</f>
        <v/>
      </c>
      <c r="G423" t="str">
        <f>IF(C423="","",IFERROR(VLOOKUP(C423,OBLIGACION!A:G,7,0),""))</f>
        <v/>
      </c>
      <c r="H423" s="35"/>
    </row>
    <row r="424" spans="2:8" x14ac:dyDescent="0.3">
      <c r="B424" s="36"/>
      <c r="D424" t="str">
        <f>IF(C424="","",IFERROR(VLOOKUP(C424,OBLIGACION!A:D,4,0),""))</f>
        <v/>
      </c>
      <c r="E424" t="str">
        <f>IF(C424="","",IFERROR(VLOOKUP(C424,OBLIGACION!A:E,5,0),""))</f>
        <v/>
      </c>
      <c r="F424" t="str">
        <f>IF(C424="","",IFERROR(VLOOKUP(C424,OBLIGACION!A:F,6,0),""))</f>
        <v/>
      </c>
      <c r="G424" t="str">
        <f>IF(C424="","",IFERROR(VLOOKUP(C424,OBLIGACION!A:G,7,0),""))</f>
        <v/>
      </c>
      <c r="H424" s="35"/>
    </row>
    <row r="425" spans="2:8" x14ac:dyDescent="0.3">
      <c r="B425" s="36"/>
      <c r="D425" t="str">
        <f>IF(C425="","",IFERROR(VLOOKUP(C425,OBLIGACION!A:D,4,0),""))</f>
        <v/>
      </c>
      <c r="E425" t="str">
        <f>IF(C425="","",IFERROR(VLOOKUP(C425,OBLIGACION!A:E,5,0),""))</f>
        <v/>
      </c>
      <c r="F425" t="str">
        <f>IF(C425="","",IFERROR(VLOOKUP(C425,OBLIGACION!A:F,6,0),""))</f>
        <v/>
      </c>
      <c r="G425" t="str">
        <f>IF(C425="","",IFERROR(VLOOKUP(C425,OBLIGACION!A:G,7,0),""))</f>
        <v/>
      </c>
      <c r="H425" s="35"/>
    </row>
    <row r="426" spans="2:8" x14ac:dyDescent="0.3">
      <c r="B426" s="36"/>
      <c r="D426" t="str">
        <f>IF(C426="","",IFERROR(VLOOKUP(C426,OBLIGACION!A:D,4,0),""))</f>
        <v/>
      </c>
      <c r="E426" t="str">
        <f>IF(C426="","",IFERROR(VLOOKUP(C426,OBLIGACION!A:E,5,0),""))</f>
        <v/>
      </c>
      <c r="F426" t="str">
        <f>IF(C426="","",IFERROR(VLOOKUP(C426,OBLIGACION!A:F,6,0),""))</f>
        <v/>
      </c>
      <c r="G426" t="str">
        <f>IF(C426="","",IFERROR(VLOOKUP(C426,OBLIGACION!A:G,7,0),""))</f>
        <v/>
      </c>
      <c r="H426" s="35"/>
    </row>
    <row r="427" spans="2:8" x14ac:dyDescent="0.3">
      <c r="B427" s="36"/>
      <c r="D427" t="str">
        <f>IF(C427="","",IFERROR(VLOOKUP(C427,OBLIGACION!A:D,4,0),""))</f>
        <v/>
      </c>
      <c r="E427" t="str">
        <f>IF(C427="","",IFERROR(VLOOKUP(C427,OBLIGACION!A:E,5,0),""))</f>
        <v/>
      </c>
      <c r="F427" t="str">
        <f>IF(C427="","",IFERROR(VLOOKUP(C427,OBLIGACION!A:F,6,0),""))</f>
        <v/>
      </c>
      <c r="G427" t="str">
        <f>IF(C427="","",IFERROR(VLOOKUP(C427,OBLIGACION!A:G,7,0),""))</f>
        <v/>
      </c>
      <c r="H427" s="35"/>
    </row>
    <row r="428" spans="2:8" x14ac:dyDescent="0.3">
      <c r="B428" s="36"/>
      <c r="D428" t="str">
        <f>IF(C428="","",IFERROR(VLOOKUP(C428,OBLIGACION!A:D,4,0),""))</f>
        <v/>
      </c>
      <c r="E428" t="str">
        <f>IF(C428="","",IFERROR(VLOOKUP(C428,OBLIGACION!A:E,5,0),""))</f>
        <v/>
      </c>
      <c r="F428" t="str">
        <f>IF(C428="","",IFERROR(VLOOKUP(C428,OBLIGACION!A:F,6,0),""))</f>
        <v/>
      </c>
      <c r="G428" t="str">
        <f>IF(C428="","",IFERROR(VLOOKUP(C428,OBLIGACION!A:G,7,0),""))</f>
        <v/>
      </c>
      <c r="H428" s="35"/>
    </row>
    <row r="429" spans="2:8" x14ac:dyDescent="0.3">
      <c r="B429" s="36"/>
      <c r="D429" t="str">
        <f>IF(C429="","",IFERROR(VLOOKUP(C429,OBLIGACION!A:D,4,0),""))</f>
        <v/>
      </c>
      <c r="E429" t="str">
        <f>IF(C429="","",IFERROR(VLOOKUP(C429,OBLIGACION!A:E,5,0),""))</f>
        <v/>
      </c>
      <c r="F429" t="str">
        <f>IF(C429="","",IFERROR(VLOOKUP(C429,OBLIGACION!A:F,6,0),""))</f>
        <v/>
      </c>
      <c r="G429" t="str">
        <f>IF(C429="","",IFERROR(VLOOKUP(C429,OBLIGACION!A:G,7,0),""))</f>
        <v/>
      </c>
      <c r="H429" s="35"/>
    </row>
    <row r="430" spans="2:8" x14ac:dyDescent="0.3">
      <c r="B430" s="36"/>
      <c r="D430" t="str">
        <f>IF(C430="","",IFERROR(VLOOKUP(C430,OBLIGACION!A:D,4,0),""))</f>
        <v/>
      </c>
      <c r="E430" t="str">
        <f>IF(C430="","",IFERROR(VLOOKUP(C430,OBLIGACION!A:E,5,0),""))</f>
        <v/>
      </c>
      <c r="F430" t="str">
        <f>IF(C430="","",IFERROR(VLOOKUP(C430,OBLIGACION!A:F,6,0),""))</f>
        <v/>
      </c>
      <c r="G430" t="str">
        <f>IF(C430="","",IFERROR(VLOOKUP(C430,OBLIGACION!A:G,7,0),""))</f>
        <v/>
      </c>
      <c r="H430" s="35"/>
    </row>
    <row r="431" spans="2:8" x14ac:dyDescent="0.3">
      <c r="B431" s="36"/>
      <c r="D431" t="str">
        <f>IF(C431="","",IFERROR(VLOOKUP(C431,OBLIGACION!A:D,4,0),""))</f>
        <v/>
      </c>
      <c r="E431" t="str">
        <f>IF(C431="","",IFERROR(VLOOKUP(C431,OBLIGACION!A:E,5,0),""))</f>
        <v/>
      </c>
      <c r="F431" t="str">
        <f>IF(C431="","",IFERROR(VLOOKUP(C431,OBLIGACION!A:F,6,0),""))</f>
        <v/>
      </c>
      <c r="G431" t="str">
        <f>IF(C431="","",IFERROR(VLOOKUP(C431,OBLIGACION!A:G,7,0),""))</f>
        <v/>
      </c>
      <c r="H431" s="35"/>
    </row>
    <row r="432" spans="2:8" x14ac:dyDescent="0.3">
      <c r="B432" s="36"/>
      <c r="D432" t="str">
        <f>IF(C432="","",IFERROR(VLOOKUP(C432,OBLIGACION!A:D,4,0),""))</f>
        <v/>
      </c>
      <c r="E432" t="str">
        <f>IF(C432="","",IFERROR(VLOOKUP(C432,OBLIGACION!A:E,5,0),""))</f>
        <v/>
      </c>
      <c r="F432" t="str">
        <f>IF(C432="","",IFERROR(VLOOKUP(C432,OBLIGACION!A:F,6,0),""))</f>
        <v/>
      </c>
      <c r="G432" t="str">
        <f>IF(C432="","",IFERROR(VLOOKUP(C432,OBLIGACION!A:G,7,0),""))</f>
        <v/>
      </c>
      <c r="H432" s="35"/>
    </row>
    <row r="433" spans="2:8" x14ac:dyDescent="0.3">
      <c r="B433" s="36"/>
      <c r="D433" t="str">
        <f>IF(C433="","",IFERROR(VLOOKUP(C433,OBLIGACION!A:D,4,0),""))</f>
        <v/>
      </c>
      <c r="E433" t="str">
        <f>IF(C433="","",IFERROR(VLOOKUP(C433,OBLIGACION!A:E,5,0),""))</f>
        <v/>
      </c>
      <c r="F433" t="str">
        <f>IF(C433="","",IFERROR(VLOOKUP(C433,OBLIGACION!A:F,6,0),""))</f>
        <v/>
      </c>
      <c r="G433" t="str">
        <f>IF(C433="","",IFERROR(VLOOKUP(C433,OBLIGACION!A:G,7,0),""))</f>
        <v/>
      </c>
      <c r="H433" s="35"/>
    </row>
    <row r="434" spans="2:8" x14ac:dyDescent="0.3">
      <c r="B434" s="36"/>
      <c r="D434" t="str">
        <f>IF(C434="","",IFERROR(VLOOKUP(C434,OBLIGACION!A:D,4,0),""))</f>
        <v/>
      </c>
      <c r="E434" t="str">
        <f>IF(C434="","",IFERROR(VLOOKUP(C434,OBLIGACION!A:E,5,0),""))</f>
        <v/>
      </c>
      <c r="F434" t="str">
        <f>IF(C434="","",IFERROR(VLOOKUP(C434,OBLIGACION!A:F,6,0),""))</f>
        <v/>
      </c>
      <c r="G434" t="str">
        <f>IF(C434="","",IFERROR(VLOOKUP(C434,OBLIGACION!A:G,7,0),""))</f>
        <v/>
      </c>
      <c r="H434" s="35"/>
    </row>
    <row r="435" spans="2:8" x14ac:dyDescent="0.3">
      <c r="B435" s="36"/>
      <c r="D435" t="str">
        <f>IF(C435="","",IFERROR(VLOOKUP(C435,OBLIGACION!A:D,4,0),""))</f>
        <v/>
      </c>
      <c r="E435" t="str">
        <f>IF(C435="","",IFERROR(VLOOKUP(C435,OBLIGACION!A:E,5,0),""))</f>
        <v/>
      </c>
      <c r="F435" t="str">
        <f>IF(C435="","",IFERROR(VLOOKUP(C435,OBLIGACION!A:F,6,0),""))</f>
        <v/>
      </c>
      <c r="G435" t="str">
        <f>IF(C435="","",IFERROR(VLOOKUP(C435,OBLIGACION!A:G,7,0),""))</f>
        <v/>
      </c>
      <c r="H435" s="35"/>
    </row>
    <row r="436" spans="2:8" x14ac:dyDescent="0.3">
      <c r="B436" s="36"/>
      <c r="D436" t="str">
        <f>IF(C436="","",IFERROR(VLOOKUP(C436,OBLIGACION!A:D,4,0),""))</f>
        <v/>
      </c>
      <c r="E436" t="str">
        <f>IF(C436="","",IFERROR(VLOOKUP(C436,OBLIGACION!A:E,5,0),""))</f>
        <v/>
      </c>
      <c r="F436" t="str">
        <f>IF(C436="","",IFERROR(VLOOKUP(C436,OBLIGACION!A:F,6,0),""))</f>
        <v/>
      </c>
      <c r="G436" t="str">
        <f>IF(C436="","",IFERROR(VLOOKUP(C436,OBLIGACION!A:G,7,0),""))</f>
        <v/>
      </c>
      <c r="H436" s="35"/>
    </row>
    <row r="437" spans="2:8" x14ac:dyDescent="0.3">
      <c r="B437" s="36"/>
      <c r="D437" t="str">
        <f>IF(C437="","",IFERROR(VLOOKUP(C437,OBLIGACION!A:D,4,0),""))</f>
        <v/>
      </c>
      <c r="E437" t="str">
        <f>IF(C437="","",IFERROR(VLOOKUP(C437,OBLIGACION!A:E,5,0),""))</f>
        <v/>
      </c>
      <c r="F437" t="str">
        <f>IF(C437="","",IFERROR(VLOOKUP(C437,OBLIGACION!A:F,6,0),""))</f>
        <v/>
      </c>
      <c r="G437" t="str">
        <f>IF(C437="","",IFERROR(VLOOKUP(C437,OBLIGACION!A:G,7,0),""))</f>
        <v/>
      </c>
      <c r="H437" s="35"/>
    </row>
    <row r="438" spans="2:8" x14ac:dyDescent="0.3">
      <c r="B438" s="36"/>
      <c r="D438" t="str">
        <f>IF(C438="","",IFERROR(VLOOKUP(C438,OBLIGACION!A:D,4,0),""))</f>
        <v/>
      </c>
      <c r="E438" t="str">
        <f>IF(C438="","",IFERROR(VLOOKUP(C438,OBLIGACION!A:E,5,0),""))</f>
        <v/>
      </c>
      <c r="F438" t="str">
        <f>IF(C438="","",IFERROR(VLOOKUP(C438,OBLIGACION!A:F,6,0),""))</f>
        <v/>
      </c>
      <c r="G438" t="str">
        <f>IF(C438="","",IFERROR(VLOOKUP(C438,OBLIGACION!A:G,7,0),""))</f>
        <v/>
      </c>
      <c r="H438" s="35"/>
    </row>
    <row r="439" spans="2:8" x14ac:dyDescent="0.3">
      <c r="B439" s="36"/>
      <c r="D439" t="str">
        <f>IF(C439="","",IFERROR(VLOOKUP(C439,OBLIGACION!A:D,4,0),""))</f>
        <v/>
      </c>
      <c r="E439" t="str">
        <f>IF(C439="","",IFERROR(VLOOKUP(C439,OBLIGACION!A:E,5,0),""))</f>
        <v/>
      </c>
      <c r="F439" t="str">
        <f>IF(C439="","",IFERROR(VLOOKUP(C439,OBLIGACION!A:F,6,0),""))</f>
        <v/>
      </c>
      <c r="G439" t="str">
        <f>IF(C439="","",IFERROR(VLOOKUP(C439,OBLIGACION!A:G,7,0),""))</f>
        <v/>
      </c>
      <c r="H439" s="35"/>
    </row>
    <row r="440" spans="2:8" x14ac:dyDescent="0.3">
      <c r="B440" s="36"/>
      <c r="D440" t="str">
        <f>IF(C440="","",IFERROR(VLOOKUP(C440,OBLIGACION!A:D,4,0),""))</f>
        <v/>
      </c>
      <c r="E440" t="str">
        <f>IF(C440="","",IFERROR(VLOOKUP(C440,OBLIGACION!A:E,5,0),""))</f>
        <v/>
      </c>
      <c r="F440" t="str">
        <f>IF(C440="","",IFERROR(VLOOKUP(C440,OBLIGACION!A:F,6,0),""))</f>
        <v/>
      </c>
      <c r="G440" t="str">
        <f>IF(C440="","",IFERROR(VLOOKUP(C440,OBLIGACION!A:G,7,0),""))</f>
        <v/>
      </c>
      <c r="H440" s="35"/>
    </row>
    <row r="441" spans="2:8" x14ac:dyDescent="0.3">
      <c r="B441" s="36"/>
      <c r="D441" t="str">
        <f>IF(C441="","",IFERROR(VLOOKUP(C441,OBLIGACION!A:D,4,0),""))</f>
        <v/>
      </c>
      <c r="E441" t="str">
        <f>IF(C441="","",IFERROR(VLOOKUP(C441,OBLIGACION!A:E,5,0),""))</f>
        <v/>
      </c>
      <c r="F441" t="str">
        <f>IF(C441="","",IFERROR(VLOOKUP(C441,OBLIGACION!A:F,6,0),""))</f>
        <v/>
      </c>
      <c r="G441" t="str">
        <f>IF(C441="","",IFERROR(VLOOKUP(C441,OBLIGACION!A:G,7,0),""))</f>
        <v/>
      </c>
      <c r="H441" s="35"/>
    </row>
    <row r="442" spans="2:8" x14ac:dyDescent="0.3">
      <c r="B442" s="36"/>
      <c r="D442" t="str">
        <f>IF(C442="","",IFERROR(VLOOKUP(C442,OBLIGACION!A:D,4,0),""))</f>
        <v/>
      </c>
      <c r="E442" t="str">
        <f>IF(C442="","",IFERROR(VLOOKUP(C442,OBLIGACION!A:E,5,0),""))</f>
        <v/>
      </c>
      <c r="F442" t="str">
        <f>IF(C442="","",IFERROR(VLOOKUP(C442,OBLIGACION!A:F,6,0),""))</f>
        <v/>
      </c>
      <c r="G442" t="str">
        <f>IF(C442="","",IFERROR(VLOOKUP(C442,OBLIGACION!A:G,7,0),""))</f>
        <v/>
      </c>
      <c r="H442" s="35"/>
    </row>
    <row r="443" spans="2:8" x14ac:dyDescent="0.3">
      <c r="B443" s="36"/>
      <c r="D443" t="str">
        <f>IF(C443="","",IFERROR(VLOOKUP(C443,OBLIGACION!A:D,4,0),""))</f>
        <v/>
      </c>
      <c r="E443" t="str">
        <f>IF(C443="","",IFERROR(VLOOKUP(C443,OBLIGACION!A:E,5,0),""))</f>
        <v/>
      </c>
      <c r="F443" t="str">
        <f>IF(C443="","",IFERROR(VLOOKUP(C443,OBLIGACION!A:F,6,0),""))</f>
        <v/>
      </c>
      <c r="G443" t="str">
        <f>IF(C443="","",IFERROR(VLOOKUP(C443,OBLIGACION!A:G,7,0),""))</f>
        <v/>
      </c>
      <c r="H443" s="35"/>
    </row>
    <row r="444" spans="2:8" x14ac:dyDescent="0.3">
      <c r="B444" s="36"/>
      <c r="D444" t="str">
        <f>IF(C444="","",IFERROR(VLOOKUP(C444,OBLIGACION!A:D,4,0),""))</f>
        <v/>
      </c>
      <c r="E444" t="str">
        <f>IF(C444="","",IFERROR(VLOOKUP(C444,OBLIGACION!A:E,5,0),""))</f>
        <v/>
      </c>
      <c r="F444" t="str">
        <f>IF(C444="","",IFERROR(VLOOKUP(C444,OBLIGACION!A:F,6,0),""))</f>
        <v/>
      </c>
      <c r="G444" t="str">
        <f>IF(C444="","",IFERROR(VLOOKUP(C444,OBLIGACION!A:G,7,0),""))</f>
        <v/>
      </c>
      <c r="H444" s="35"/>
    </row>
    <row r="445" spans="2:8" x14ac:dyDescent="0.3">
      <c r="B445" s="36"/>
      <c r="D445" t="str">
        <f>IF(C445="","",IFERROR(VLOOKUP(C445,OBLIGACION!A:D,4,0),""))</f>
        <v/>
      </c>
      <c r="E445" t="str">
        <f>IF(C445="","",IFERROR(VLOOKUP(C445,OBLIGACION!A:E,5,0),""))</f>
        <v/>
      </c>
      <c r="F445" t="str">
        <f>IF(C445="","",IFERROR(VLOOKUP(C445,OBLIGACION!A:F,6,0),""))</f>
        <v/>
      </c>
      <c r="G445" t="str">
        <f>IF(C445="","",IFERROR(VLOOKUP(C445,OBLIGACION!A:G,7,0),""))</f>
        <v/>
      </c>
      <c r="H445" s="35"/>
    </row>
    <row r="446" spans="2:8" x14ac:dyDescent="0.3">
      <c r="B446" s="36"/>
      <c r="D446" t="str">
        <f>IF(C446="","",IFERROR(VLOOKUP(C446,OBLIGACION!A:D,4,0),""))</f>
        <v/>
      </c>
      <c r="E446" t="str">
        <f>IF(C446="","",IFERROR(VLOOKUP(C446,OBLIGACION!A:E,5,0),""))</f>
        <v/>
      </c>
      <c r="F446" t="str">
        <f>IF(C446="","",IFERROR(VLOOKUP(C446,OBLIGACION!A:F,6,0),""))</f>
        <v/>
      </c>
      <c r="G446" t="str">
        <f>IF(C446="","",IFERROR(VLOOKUP(C446,OBLIGACION!A:G,7,0),""))</f>
        <v/>
      </c>
      <c r="H446" s="35"/>
    </row>
    <row r="447" spans="2:8" x14ac:dyDescent="0.3">
      <c r="B447" s="36"/>
      <c r="D447" t="str">
        <f>IF(C447="","",IFERROR(VLOOKUP(C447,OBLIGACION!A:D,4,0),""))</f>
        <v/>
      </c>
      <c r="E447" t="str">
        <f>IF(C447="","",IFERROR(VLOOKUP(C447,OBLIGACION!A:E,5,0),""))</f>
        <v/>
      </c>
      <c r="F447" t="str">
        <f>IF(C447="","",IFERROR(VLOOKUP(C447,OBLIGACION!A:F,6,0),""))</f>
        <v/>
      </c>
      <c r="G447" t="str">
        <f>IF(C447="","",IFERROR(VLOOKUP(C447,OBLIGACION!A:G,7,0),""))</f>
        <v/>
      </c>
      <c r="H447" s="35"/>
    </row>
    <row r="448" spans="2:8" x14ac:dyDescent="0.3">
      <c r="B448" s="36"/>
      <c r="D448" t="str">
        <f>IF(C448="","",IFERROR(VLOOKUP(C448,OBLIGACION!A:D,4,0),""))</f>
        <v/>
      </c>
      <c r="E448" t="str">
        <f>IF(C448="","",IFERROR(VLOOKUP(C448,OBLIGACION!A:E,5,0),""))</f>
        <v/>
      </c>
      <c r="F448" t="str">
        <f>IF(C448="","",IFERROR(VLOOKUP(C448,OBLIGACION!A:F,6,0),""))</f>
        <v/>
      </c>
      <c r="G448" t="str">
        <f>IF(C448="","",IFERROR(VLOOKUP(C448,OBLIGACION!A:G,7,0),""))</f>
        <v/>
      </c>
      <c r="H448" s="35"/>
    </row>
    <row r="449" spans="2:8" x14ac:dyDescent="0.3">
      <c r="B449" s="36"/>
      <c r="D449" t="str">
        <f>IF(C449="","",IFERROR(VLOOKUP(C449,OBLIGACION!A:D,4,0),""))</f>
        <v/>
      </c>
      <c r="E449" t="str">
        <f>IF(C449="","",IFERROR(VLOOKUP(C449,OBLIGACION!A:E,5,0),""))</f>
        <v/>
      </c>
      <c r="F449" t="str">
        <f>IF(C449="","",IFERROR(VLOOKUP(C449,OBLIGACION!A:F,6,0),""))</f>
        <v/>
      </c>
      <c r="G449" t="str">
        <f>IF(C449="","",IFERROR(VLOOKUP(C449,OBLIGACION!A:G,7,0),""))</f>
        <v/>
      </c>
      <c r="H449" s="35"/>
    </row>
    <row r="450" spans="2:8" x14ac:dyDescent="0.3">
      <c r="B450" s="36"/>
      <c r="D450" t="str">
        <f>IF(C450="","",IFERROR(VLOOKUP(C450,OBLIGACION!A:D,4,0),""))</f>
        <v/>
      </c>
      <c r="E450" t="str">
        <f>IF(C450="","",IFERROR(VLOOKUP(C450,OBLIGACION!A:E,5,0),""))</f>
        <v/>
      </c>
      <c r="F450" t="str">
        <f>IF(C450="","",IFERROR(VLOOKUP(C450,OBLIGACION!A:F,6,0),""))</f>
        <v/>
      </c>
      <c r="G450" t="str">
        <f>IF(C450="","",IFERROR(VLOOKUP(C450,OBLIGACION!A:G,7,0),""))</f>
        <v/>
      </c>
      <c r="H450" s="35"/>
    </row>
    <row r="451" spans="2:8" x14ac:dyDescent="0.3">
      <c r="B451" s="36"/>
      <c r="D451" t="str">
        <f>IF(C451="","",IFERROR(VLOOKUP(C451,OBLIGACION!A:D,4,0),""))</f>
        <v/>
      </c>
      <c r="E451" t="str">
        <f>IF(C451="","",IFERROR(VLOOKUP(C451,OBLIGACION!A:E,5,0),""))</f>
        <v/>
      </c>
      <c r="F451" t="str">
        <f>IF(C451="","",IFERROR(VLOOKUP(C451,OBLIGACION!A:F,6,0),""))</f>
        <v/>
      </c>
      <c r="G451" t="str">
        <f>IF(C451="","",IFERROR(VLOOKUP(C451,OBLIGACION!A:G,7,0),""))</f>
        <v/>
      </c>
      <c r="H451" s="35"/>
    </row>
    <row r="452" spans="2:8" x14ac:dyDescent="0.3">
      <c r="B452" s="36"/>
      <c r="D452" t="str">
        <f>IF(C452="","",IFERROR(VLOOKUP(C452,OBLIGACION!A:D,4,0),""))</f>
        <v/>
      </c>
      <c r="E452" t="str">
        <f>IF(C452="","",IFERROR(VLOOKUP(C452,OBLIGACION!A:E,5,0),""))</f>
        <v/>
      </c>
      <c r="F452" t="str">
        <f>IF(C452="","",IFERROR(VLOOKUP(C452,OBLIGACION!A:F,6,0),""))</f>
        <v/>
      </c>
      <c r="G452" t="str">
        <f>IF(C452="","",IFERROR(VLOOKUP(C452,OBLIGACION!A:G,7,0),""))</f>
        <v/>
      </c>
      <c r="H452" s="35"/>
    </row>
    <row r="453" spans="2:8" x14ac:dyDescent="0.3">
      <c r="B453" s="36"/>
      <c r="D453" t="str">
        <f>IF(C453="","",IFERROR(VLOOKUP(C453,OBLIGACION!A:D,4,0),""))</f>
        <v/>
      </c>
      <c r="E453" t="str">
        <f>IF(C453="","",IFERROR(VLOOKUP(C453,OBLIGACION!A:E,5,0),""))</f>
        <v/>
      </c>
      <c r="F453" t="str">
        <f>IF(C453="","",IFERROR(VLOOKUP(C453,OBLIGACION!A:F,6,0),""))</f>
        <v/>
      </c>
      <c r="G453" t="str">
        <f>IF(C453="","",IFERROR(VLOOKUP(C453,OBLIGACION!A:G,7,0),""))</f>
        <v/>
      </c>
      <c r="H453" s="35"/>
    </row>
    <row r="454" spans="2:8" x14ac:dyDescent="0.3">
      <c r="B454" s="36"/>
      <c r="D454" t="str">
        <f>IF(C454="","",IFERROR(VLOOKUP(C454,OBLIGACION!A:D,4,0),""))</f>
        <v/>
      </c>
      <c r="E454" t="str">
        <f>IF(C454="","",IFERROR(VLOOKUP(C454,OBLIGACION!A:E,5,0),""))</f>
        <v/>
      </c>
      <c r="F454" t="str">
        <f>IF(C454="","",IFERROR(VLOOKUP(C454,OBLIGACION!A:F,6,0),""))</f>
        <v/>
      </c>
      <c r="G454" t="str">
        <f>IF(C454="","",IFERROR(VLOOKUP(C454,OBLIGACION!A:G,7,0),""))</f>
        <v/>
      </c>
      <c r="H454" s="35"/>
    </row>
    <row r="455" spans="2:8" x14ac:dyDescent="0.3">
      <c r="B455" s="36"/>
      <c r="D455" t="str">
        <f>IF(C455="","",IFERROR(VLOOKUP(C455,OBLIGACION!A:D,4,0),""))</f>
        <v/>
      </c>
      <c r="E455" t="str">
        <f>IF(C455="","",IFERROR(VLOOKUP(C455,OBLIGACION!A:E,5,0),""))</f>
        <v/>
      </c>
      <c r="F455" t="str">
        <f>IF(C455="","",IFERROR(VLOOKUP(C455,OBLIGACION!A:F,6,0),""))</f>
        <v/>
      </c>
      <c r="G455" t="str">
        <f>IF(C455="","",IFERROR(VLOOKUP(C455,OBLIGACION!A:G,7,0),""))</f>
        <v/>
      </c>
      <c r="H455" s="35"/>
    </row>
    <row r="456" spans="2:8" x14ac:dyDescent="0.3">
      <c r="B456" s="36"/>
      <c r="D456" t="str">
        <f>IF(C456="","",IFERROR(VLOOKUP(C456,OBLIGACION!A:D,4,0),""))</f>
        <v/>
      </c>
      <c r="E456" t="str">
        <f>IF(C456="","",IFERROR(VLOOKUP(C456,OBLIGACION!A:E,5,0),""))</f>
        <v/>
      </c>
      <c r="F456" t="str">
        <f>IF(C456="","",IFERROR(VLOOKUP(C456,OBLIGACION!A:F,6,0),""))</f>
        <v/>
      </c>
      <c r="G456" t="str">
        <f>IF(C456="","",IFERROR(VLOOKUP(C456,OBLIGACION!A:G,7,0),""))</f>
        <v/>
      </c>
      <c r="H456" s="35"/>
    </row>
    <row r="457" spans="2:8" x14ac:dyDescent="0.3">
      <c r="B457" s="36"/>
      <c r="D457" t="str">
        <f>IF(C457="","",IFERROR(VLOOKUP(C457,OBLIGACION!A:D,4,0),""))</f>
        <v/>
      </c>
      <c r="E457" t="str">
        <f>IF(C457="","",IFERROR(VLOOKUP(C457,OBLIGACION!A:E,5,0),""))</f>
        <v/>
      </c>
      <c r="F457" t="str">
        <f>IF(C457="","",IFERROR(VLOOKUP(C457,OBLIGACION!A:F,6,0),""))</f>
        <v/>
      </c>
      <c r="G457" t="str">
        <f>IF(C457="","",IFERROR(VLOOKUP(C457,OBLIGACION!A:G,7,0),""))</f>
        <v/>
      </c>
      <c r="H457" s="35"/>
    </row>
    <row r="458" spans="2:8" x14ac:dyDescent="0.3">
      <c r="B458" s="36"/>
      <c r="D458" t="str">
        <f>IF(C458="","",IFERROR(VLOOKUP(C458,OBLIGACION!A:D,4,0),""))</f>
        <v/>
      </c>
      <c r="E458" t="str">
        <f>IF(C458="","",IFERROR(VLOOKUP(C458,OBLIGACION!A:E,5,0),""))</f>
        <v/>
      </c>
      <c r="F458" t="str">
        <f>IF(C458="","",IFERROR(VLOOKUP(C458,OBLIGACION!A:F,6,0),""))</f>
        <v/>
      </c>
      <c r="G458" t="str">
        <f>IF(C458="","",IFERROR(VLOOKUP(C458,OBLIGACION!A:G,7,0),""))</f>
        <v/>
      </c>
      <c r="H458" s="35"/>
    </row>
    <row r="459" spans="2:8" x14ac:dyDescent="0.3">
      <c r="B459" s="36"/>
      <c r="D459" t="str">
        <f>IF(C459="","",IFERROR(VLOOKUP(C459,OBLIGACION!A:D,4,0),""))</f>
        <v/>
      </c>
      <c r="E459" t="str">
        <f>IF(C459="","",IFERROR(VLOOKUP(C459,OBLIGACION!A:E,5,0),""))</f>
        <v/>
      </c>
      <c r="F459" t="str">
        <f>IF(C459="","",IFERROR(VLOOKUP(C459,OBLIGACION!A:F,6,0),""))</f>
        <v/>
      </c>
      <c r="G459" t="str">
        <f>IF(C459="","",IFERROR(VLOOKUP(C459,OBLIGACION!A:G,7,0),""))</f>
        <v/>
      </c>
      <c r="H459" s="35"/>
    </row>
    <row r="460" spans="2:8" x14ac:dyDescent="0.3">
      <c r="B460" s="36"/>
      <c r="D460" t="str">
        <f>IF(C460="","",IFERROR(VLOOKUP(C460,OBLIGACION!A:D,4,0),""))</f>
        <v/>
      </c>
      <c r="E460" t="str">
        <f>IF(C460="","",IFERROR(VLOOKUP(C460,OBLIGACION!A:E,5,0),""))</f>
        <v/>
      </c>
      <c r="F460" t="str">
        <f>IF(C460="","",IFERROR(VLOOKUP(C460,OBLIGACION!A:F,6,0),""))</f>
        <v/>
      </c>
      <c r="G460" t="str">
        <f>IF(C460="","",IFERROR(VLOOKUP(C460,OBLIGACION!A:G,7,0),""))</f>
        <v/>
      </c>
      <c r="H460" s="35"/>
    </row>
    <row r="461" spans="2:8" x14ac:dyDescent="0.3">
      <c r="B461" s="36"/>
      <c r="D461" t="str">
        <f>IF(C461="","",IFERROR(VLOOKUP(C461,OBLIGACION!A:D,4,0),""))</f>
        <v/>
      </c>
      <c r="E461" t="str">
        <f>IF(C461="","",IFERROR(VLOOKUP(C461,OBLIGACION!A:E,5,0),""))</f>
        <v/>
      </c>
      <c r="F461" t="str">
        <f>IF(C461="","",IFERROR(VLOOKUP(C461,OBLIGACION!A:F,6,0),""))</f>
        <v/>
      </c>
      <c r="G461" t="str">
        <f>IF(C461="","",IFERROR(VLOOKUP(C461,OBLIGACION!A:G,7,0),""))</f>
        <v/>
      </c>
      <c r="H461" s="35"/>
    </row>
    <row r="462" spans="2:8" x14ac:dyDescent="0.3">
      <c r="B462" s="36"/>
      <c r="D462" t="str">
        <f>IF(C462="","",IFERROR(VLOOKUP(C462,OBLIGACION!A:D,4,0),""))</f>
        <v/>
      </c>
      <c r="E462" t="str">
        <f>IF(C462="","",IFERROR(VLOOKUP(C462,OBLIGACION!A:E,5,0),""))</f>
        <v/>
      </c>
      <c r="F462" t="str">
        <f>IF(C462="","",IFERROR(VLOOKUP(C462,OBLIGACION!A:F,6,0),""))</f>
        <v/>
      </c>
      <c r="G462" t="str">
        <f>IF(C462="","",IFERROR(VLOOKUP(C462,OBLIGACION!A:G,7,0),""))</f>
        <v/>
      </c>
      <c r="H462" s="35"/>
    </row>
    <row r="463" spans="2:8" x14ac:dyDescent="0.3">
      <c r="B463" s="36"/>
      <c r="D463" t="str">
        <f>IF(C463="","",IFERROR(VLOOKUP(C463,OBLIGACION!A:D,4,0),""))</f>
        <v/>
      </c>
      <c r="E463" t="str">
        <f>IF(C463="","",IFERROR(VLOOKUP(C463,OBLIGACION!A:E,5,0),""))</f>
        <v/>
      </c>
      <c r="F463" t="str">
        <f>IF(C463="","",IFERROR(VLOOKUP(C463,OBLIGACION!A:F,6,0),""))</f>
        <v/>
      </c>
      <c r="G463" t="str">
        <f>IF(C463="","",IFERROR(VLOOKUP(C463,OBLIGACION!A:G,7,0),""))</f>
        <v/>
      </c>
      <c r="H463" s="35"/>
    </row>
    <row r="464" spans="2:8" x14ac:dyDescent="0.3">
      <c r="B464" s="36"/>
      <c r="D464" t="str">
        <f>IF(C464="","",IFERROR(VLOOKUP(C464,OBLIGACION!A:D,4,0),""))</f>
        <v/>
      </c>
      <c r="E464" t="str">
        <f>IF(C464="","",IFERROR(VLOOKUP(C464,OBLIGACION!A:E,5,0),""))</f>
        <v/>
      </c>
      <c r="F464" t="str">
        <f>IF(C464="","",IFERROR(VLOOKUP(C464,OBLIGACION!A:F,6,0),""))</f>
        <v/>
      </c>
      <c r="G464" t="str">
        <f>IF(C464="","",IFERROR(VLOOKUP(C464,OBLIGACION!A:G,7,0),""))</f>
        <v/>
      </c>
      <c r="H464" s="35"/>
    </row>
    <row r="465" spans="2:8" x14ac:dyDescent="0.3">
      <c r="B465" s="36"/>
      <c r="D465" t="str">
        <f>IF(C465="","",IFERROR(VLOOKUP(C465,OBLIGACION!A:D,4,0),""))</f>
        <v/>
      </c>
      <c r="E465" t="str">
        <f>IF(C465="","",IFERROR(VLOOKUP(C465,OBLIGACION!A:E,5,0),""))</f>
        <v/>
      </c>
      <c r="F465" t="str">
        <f>IF(C465="","",IFERROR(VLOOKUP(C465,OBLIGACION!A:F,6,0),""))</f>
        <v/>
      </c>
      <c r="G465" t="str">
        <f>IF(C465="","",IFERROR(VLOOKUP(C465,OBLIGACION!A:G,7,0),""))</f>
        <v/>
      </c>
      <c r="H465" s="35"/>
    </row>
    <row r="466" spans="2:8" x14ac:dyDescent="0.3">
      <c r="B466" s="36"/>
      <c r="D466" t="str">
        <f>IF(C466="","",IFERROR(VLOOKUP(C466,OBLIGACION!A:D,4,0),""))</f>
        <v/>
      </c>
      <c r="E466" t="str">
        <f>IF(C466="","",IFERROR(VLOOKUP(C466,OBLIGACION!A:E,5,0),""))</f>
        <v/>
      </c>
      <c r="F466" t="str">
        <f>IF(C466="","",IFERROR(VLOOKUP(C466,OBLIGACION!A:F,6,0),""))</f>
        <v/>
      </c>
      <c r="G466" t="str">
        <f>IF(C466="","",IFERROR(VLOOKUP(C466,OBLIGACION!A:G,7,0),""))</f>
        <v/>
      </c>
      <c r="H466" s="35"/>
    </row>
    <row r="467" spans="2:8" x14ac:dyDescent="0.3">
      <c r="B467" s="36"/>
      <c r="D467" t="str">
        <f>IF(C467="","",IFERROR(VLOOKUP(C467,OBLIGACION!A:D,4,0),""))</f>
        <v/>
      </c>
      <c r="E467" t="str">
        <f>IF(C467="","",IFERROR(VLOOKUP(C467,OBLIGACION!A:E,5,0),""))</f>
        <v/>
      </c>
      <c r="F467" t="str">
        <f>IF(C467="","",IFERROR(VLOOKUP(C467,OBLIGACION!A:F,6,0),""))</f>
        <v/>
      </c>
      <c r="G467" t="str">
        <f>IF(C467="","",IFERROR(VLOOKUP(C467,OBLIGACION!A:G,7,0),""))</f>
        <v/>
      </c>
      <c r="H467" s="35"/>
    </row>
    <row r="468" spans="2:8" x14ac:dyDescent="0.3">
      <c r="B468" s="36"/>
      <c r="D468" t="str">
        <f>IF(C468="","",IFERROR(VLOOKUP(C468,OBLIGACION!A:D,4,0),""))</f>
        <v/>
      </c>
      <c r="E468" t="str">
        <f>IF(C468="","",IFERROR(VLOOKUP(C468,OBLIGACION!A:E,5,0),""))</f>
        <v/>
      </c>
      <c r="F468" t="str">
        <f>IF(C468="","",IFERROR(VLOOKUP(C468,OBLIGACION!A:F,6,0),""))</f>
        <v/>
      </c>
      <c r="G468" t="str">
        <f>IF(C468="","",IFERROR(VLOOKUP(C468,OBLIGACION!A:G,7,0),""))</f>
        <v/>
      </c>
      <c r="H468" s="35"/>
    </row>
    <row r="469" spans="2:8" x14ac:dyDescent="0.3">
      <c r="B469" s="36"/>
      <c r="D469" t="str">
        <f>IF(C469="","",IFERROR(VLOOKUP(C469,OBLIGACION!A:D,4,0),""))</f>
        <v/>
      </c>
      <c r="E469" t="str">
        <f>IF(C469="","",IFERROR(VLOOKUP(C469,OBLIGACION!A:E,5,0),""))</f>
        <v/>
      </c>
      <c r="F469" t="str">
        <f>IF(C469="","",IFERROR(VLOOKUP(C469,OBLIGACION!A:F,6,0),""))</f>
        <v/>
      </c>
      <c r="G469" t="str">
        <f>IF(C469="","",IFERROR(VLOOKUP(C469,OBLIGACION!A:G,7,0),""))</f>
        <v/>
      </c>
      <c r="H469" s="35"/>
    </row>
    <row r="470" spans="2:8" x14ac:dyDescent="0.3">
      <c r="B470" s="36"/>
      <c r="D470" t="str">
        <f>IF(C470="","",IFERROR(VLOOKUP(C470,OBLIGACION!A:D,4,0),""))</f>
        <v/>
      </c>
      <c r="E470" t="str">
        <f>IF(C470="","",IFERROR(VLOOKUP(C470,OBLIGACION!A:E,5,0),""))</f>
        <v/>
      </c>
      <c r="F470" t="str">
        <f>IF(C470="","",IFERROR(VLOOKUP(C470,OBLIGACION!A:F,6,0),""))</f>
        <v/>
      </c>
      <c r="G470" t="str">
        <f>IF(C470="","",IFERROR(VLOOKUP(C470,OBLIGACION!A:G,7,0),""))</f>
        <v/>
      </c>
      <c r="H470" s="35"/>
    </row>
    <row r="471" spans="2:8" x14ac:dyDescent="0.3">
      <c r="B471" s="36"/>
      <c r="D471" t="str">
        <f>IF(C471="","",IFERROR(VLOOKUP(C471,OBLIGACION!A:D,4,0),""))</f>
        <v/>
      </c>
      <c r="E471" t="str">
        <f>IF(C471="","",IFERROR(VLOOKUP(C471,OBLIGACION!A:E,5,0),""))</f>
        <v/>
      </c>
      <c r="F471" t="str">
        <f>IF(C471="","",IFERROR(VLOOKUP(C471,OBLIGACION!A:F,6,0),""))</f>
        <v/>
      </c>
      <c r="G471" t="str">
        <f>IF(C471="","",IFERROR(VLOOKUP(C471,OBLIGACION!A:G,7,0),""))</f>
        <v/>
      </c>
      <c r="H471" s="35"/>
    </row>
    <row r="472" spans="2:8" x14ac:dyDescent="0.3">
      <c r="B472" s="36"/>
      <c r="D472" t="str">
        <f>IF(C472="","",IFERROR(VLOOKUP(C472,OBLIGACION!A:D,4,0),""))</f>
        <v/>
      </c>
      <c r="E472" t="str">
        <f>IF(C472="","",IFERROR(VLOOKUP(C472,OBLIGACION!A:E,5,0),""))</f>
        <v/>
      </c>
      <c r="F472" t="str">
        <f>IF(C472="","",IFERROR(VLOOKUP(C472,OBLIGACION!A:F,6,0),""))</f>
        <v/>
      </c>
      <c r="G472" t="str">
        <f>IF(C472="","",IFERROR(VLOOKUP(C472,OBLIGACION!A:G,7,0),""))</f>
        <v/>
      </c>
      <c r="H472" s="35"/>
    </row>
    <row r="473" spans="2:8" x14ac:dyDescent="0.3">
      <c r="B473" s="36"/>
      <c r="D473" t="str">
        <f>IF(C473="","",IFERROR(VLOOKUP(C473,OBLIGACION!A:D,4,0),""))</f>
        <v/>
      </c>
      <c r="E473" t="str">
        <f>IF(C473="","",IFERROR(VLOOKUP(C473,OBLIGACION!A:E,5,0),""))</f>
        <v/>
      </c>
      <c r="F473" t="str">
        <f>IF(C473="","",IFERROR(VLOOKUP(C473,OBLIGACION!A:F,6,0),""))</f>
        <v/>
      </c>
      <c r="G473" t="str">
        <f>IF(C473="","",IFERROR(VLOOKUP(C473,OBLIGACION!A:G,7,0),""))</f>
        <v/>
      </c>
      <c r="H473" s="35"/>
    </row>
    <row r="474" spans="2:8" x14ac:dyDescent="0.3">
      <c r="B474" s="36"/>
      <c r="D474" t="str">
        <f>IF(C474="","",IFERROR(VLOOKUP(C474,OBLIGACION!A:D,4,0),""))</f>
        <v/>
      </c>
      <c r="E474" t="str">
        <f>IF(C474="","",IFERROR(VLOOKUP(C474,OBLIGACION!A:E,5,0),""))</f>
        <v/>
      </c>
      <c r="F474" t="str">
        <f>IF(C474="","",IFERROR(VLOOKUP(C474,OBLIGACION!A:F,6,0),""))</f>
        <v/>
      </c>
      <c r="G474" t="str">
        <f>IF(C474="","",IFERROR(VLOOKUP(C474,OBLIGACION!A:G,7,0),""))</f>
        <v/>
      </c>
      <c r="H474" s="35"/>
    </row>
    <row r="475" spans="2:8" x14ac:dyDescent="0.3">
      <c r="B475" s="36"/>
      <c r="D475" t="str">
        <f>IF(C475="","",IFERROR(VLOOKUP(C475,OBLIGACION!A:D,4,0),""))</f>
        <v/>
      </c>
      <c r="E475" t="str">
        <f>IF(C475="","",IFERROR(VLOOKUP(C475,OBLIGACION!A:E,5,0),""))</f>
        <v/>
      </c>
      <c r="F475" t="str">
        <f>IF(C475="","",IFERROR(VLOOKUP(C475,OBLIGACION!A:F,6,0),""))</f>
        <v/>
      </c>
      <c r="G475" t="str">
        <f>IF(C475="","",IFERROR(VLOOKUP(C475,OBLIGACION!A:G,7,0),""))</f>
        <v/>
      </c>
      <c r="H475" s="35"/>
    </row>
    <row r="476" spans="2:8" x14ac:dyDescent="0.3">
      <c r="B476" s="36"/>
      <c r="D476" t="str">
        <f>IF(C476="","",IFERROR(VLOOKUP(C476,OBLIGACION!A:D,4,0),""))</f>
        <v/>
      </c>
      <c r="E476" t="str">
        <f>IF(C476="","",IFERROR(VLOOKUP(C476,OBLIGACION!A:E,5,0),""))</f>
        <v/>
      </c>
      <c r="F476" t="str">
        <f>IF(C476="","",IFERROR(VLOOKUP(C476,OBLIGACION!A:F,6,0),""))</f>
        <v/>
      </c>
      <c r="G476" t="str">
        <f>IF(C476="","",IFERROR(VLOOKUP(C476,OBLIGACION!A:G,7,0),""))</f>
        <v/>
      </c>
      <c r="H476" s="35"/>
    </row>
    <row r="477" spans="2:8" x14ac:dyDescent="0.3">
      <c r="B477" s="36"/>
      <c r="D477" t="str">
        <f>IF(C477="","",IFERROR(VLOOKUP(C477,OBLIGACION!A:D,4,0),""))</f>
        <v/>
      </c>
      <c r="E477" t="str">
        <f>IF(C477="","",IFERROR(VLOOKUP(C477,OBLIGACION!A:E,5,0),""))</f>
        <v/>
      </c>
      <c r="F477" t="str">
        <f>IF(C477="","",IFERROR(VLOOKUP(C477,OBLIGACION!A:F,6,0),""))</f>
        <v/>
      </c>
      <c r="G477" t="str">
        <f>IF(C477="","",IFERROR(VLOOKUP(C477,OBLIGACION!A:G,7,0),""))</f>
        <v/>
      </c>
      <c r="H477" s="35"/>
    </row>
    <row r="478" spans="2:8" x14ac:dyDescent="0.3">
      <c r="B478" s="36"/>
      <c r="D478" t="str">
        <f>IF(C478="","",IFERROR(VLOOKUP(C478,OBLIGACION!A:D,4,0),""))</f>
        <v/>
      </c>
      <c r="E478" t="str">
        <f>IF(C478="","",IFERROR(VLOOKUP(C478,OBLIGACION!A:E,5,0),""))</f>
        <v/>
      </c>
      <c r="F478" t="str">
        <f>IF(C478="","",IFERROR(VLOOKUP(C478,OBLIGACION!A:F,6,0),""))</f>
        <v/>
      </c>
      <c r="G478" t="str">
        <f>IF(C478="","",IFERROR(VLOOKUP(C478,OBLIGACION!A:G,7,0),""))</f>
        <v/>
      </c>
      <c r="H478" s="35"/>
    </row>
    <row r="479" spans="2:8" x14ac:dyDescent="0.3">
      <c r="B479" s="36"/>
      <c r="D479" t="str">
        <f>IF(C479="","",IFERROR(VLOOKUP(C479,OBLIGACION!A:D,4,0),""))</f>
        <v/>
      </c>
      <c r="E479" t="str">
        <f>IF(C479="","",IFERROR(VLOOKUP(C479,OBLIGACION!A:E,5,0),""))</f>
        <v/>
      </c>
      <c r="F479" t="str">
        <f>IF(C479="","",IFERROR(VLOOKUP(C479,OBLIGACION!A:F,6,0),""))</f>
        <v/>
      </c>
      <c r="G479" t="str">
        <f>IF(C479="","",IFERROR(VLOOKUP(C479,OBLIGACION!A:G,7,0),""))</f>
        <v/>
      </c>
      <c r="H479" s="35"/>
    </row>
    <row r="480" spans="2:8" x14ac:dyDescent="0.3">
      <c r="B480" s="36"/>
      <c r="D480" t="str">
        <f>IF(C480="","",IFERROR(VLOOKUP(C480,OBLIGACION!A:D,4,0),""))</f>
        <v/>
      </c>
      <c r="E480" t="str">
        <f>IF(C480="","",IFERROR(VLOOKUP(C480,OBLIGACION!A:E,5,0),""))</f>
        <v/>
      </c>
      <c r="F480" t="str">
        <f>IF(C480="","",IFERROR(VLOOKUP(C480,OBLIGACION!A:F,6,0),""))</f>
        <v/>
      </c>
      <c r="G480" t="str">
        <f>IF(C480="","",IFERROR(VLOOKUP(C480,OBLIGACION!A:G,7,0),""))</f>
        <v/>
      </c>
      <c r="H480" s="35"/>
    </row>
    <row r="481" spans="2:8" x14ac:dyDescent="0.3">
      <c r="B481" s="36"/>
      <c r="D481" t="str">
        <f>IF(C481="","",IFERROR(VLOOKUP(C481,OBLIGACION!A:D,4,0),""))</f>
        <v/>
      </c>
      <c r="E481" t="str">
        <f>IF(C481="","",IFERROR(VLOOKUP(C481,OBLIGACION!A:E,5,0),""))</f>
        <v/>
      </c>
      <c r="F481" t="str">
        <f>IF(C481="","",IFERROR(VLOOKUP(C481,OBLIGACION!A:F,6,0),""))</f>
        <v/>
      </c>
      <c r="G481" t="str">
        <f>IF(C481="","",IFERROR(VLOOKUP(C481,OBLIGACION!A:G,7,0),""))</f>
        <v/>
      </c>
      <c r="H481" s="35"/>
    </row>
    <row r="482" spans="2:8" x14ac:dyDescent="0.3">
      <c r="B482" s="36"/>
      <c r="D482" t="str">
        <f>IF(C482="","",IFERROR(VLOOKUP(C482,OBLIGACION!A:D,4,0),""))</f>
        <v/>
      </c>
      <c r="E482" t="str">
        <f>IF(C482="","",IFERROR(VLOOKUP(C482,OBLIGACION!A:E,5,0),""))</f>
        <v/>
      </c>
      <c r="F482" t="str">
        <f>IF(C482="","",IFERROR(VLOOKUP(C482,OBLIGACION!A:F,6,0),""))</f>
        <v/>
      </c>
      <c r="G482" t="str">
        <f>IF(C482="","",IFERROR(VLOOKUP(C482,OBLIGACION!A:G,7,0),""))</f>
        <v/>
      </c>
      <c r="H482" s="35"/>
    </row>
    <row r="483" spans="2:8" x14ac:dyDescent="0.3">
      <c r="B483" s="36"/>
      <c r="D483" t="str">
        <f>IF(C483="","",IFERROR(VLOOKUP(C483,OBLIGACION!A:D,4,0),""))</f>
        <v/>
      </c>
      <c r="E483" t="str">
        <f>IF(C483="","",IFERROR(VLOOKUP(C483,OBLIGACION!A:E,5,0),""))</f>
        <v/>
      </c>
      <c r="F483" t="str">
        <f>IF(C483="","",IFERROR(VLOOKUP(C483,OBLIGACION!A:F,6,0),""))</f>
        <v/>
      </c>
      <c r="G483" t="str">
        <f>IF(C483="","",IFERROR(VLOOKUP(C483,OBLIGACION!A:G,7,0),""))</f>
        <v/>
      </c>
      <c r="H483" s="35"/>
    </row>
    <row r="484" spans="2:8" x14ac:dyDescent="0.3">
      <c r="B484" s="36"/>
      <c r="D484" t="str">
        <f>IF(C484="","",IFERROR(VLOOKUP(C484,OBLIGACION!A:D,4,0),""))</f>
        <v/>
      </c>
      <c r="E484" t="str">
        <f>IF(C484="","",IFERROR(VLOOKUP(C484,OBLIGACION!A:E,5,0),""))</f>
        <v/>
      </c>
      <c r="F484" t="str">
        <f>IF(C484="","",IFERROR(VLOOKUP(C484,OBLIGACION!A:F,6,0),""))</f>
        <v/>
      </c>
      <c r="G484" t="str">
        <f>IF(C484="","",IFERROR(VLOOKUP(C484,OBLIGACION!A:G,7,0),""))</f>
        <v/>
      </c>
      <c r="H484" s="35"/>
    </row>
    <row r="485" spans="2:8" x14ac:dyDescent="0.3">
      <c r="B485" s="36"/>
      <c r="D485" t="str">
        <f>IF(C485="","",IFERROR(VLOOKUP(C485,OBLIGACION!A:D,4,0),""))</f>
        <v/>
      </c>
      <c r="E485" t="str">
        <f>IF(C485="","",IFERROR(VLOOKUP(C485,OBLIGACION!A:E,5,0),""))</f>
        <v/>
      </c>
      <c r="F485" t="str">
        <f>IF(C485="","",IFERROR(VLOOKUP(C485,OBLIGACION!A:F,6,0),""))</f>
        <v/>
      </c>
      <c r="G485" t="str">
        <f>IF(C485="","",IFERROR(VLOOKUP(C485,OBLIGACION!A:G,7,0),""))</f>
        <v/>
      </c>
      <c r="H485" s="35"/>
    </row>
    <row r="486" spans="2:8" x14ac:dyDescent="0.3">
      <c r="B486" s="36"/>
      <c r="D486" t="str">
        <f>IF(C486="","",IFERROR(VLOOKUP(C486,OBLIGACION!A:D,4,0),""))</f>
        <v/>
      </c>
      <c r="E486" t="str">
        <f>IF(C486="","",IFERROR(VLOOKUP(C486,OBLIGACION!A:E,5,0),""))</f>
        <v/>
      </c>
      <c r="F486" t="str">
        <f>IF(C486="","",IFERROR(VLOOKUP(C486,OBLIGACION!A:F,6,0),""))</f>
        <v/>
      </c>
      <c r="G486" t="str">
        <f>IF(C486="","",IFERROR(VLOOKUP(C486,OBLIGACION!A:G,7,0),""))</f>
        <v/>
      </c>
      <c r="H486" s="35"/>
    </row>
    <row r="487" spans="2:8" x14ac:dyDescent="0.3">
      <c r="B487" s="36"/>
      <c r="D487" t="str">
        <f>IF(C487="","",IFERROR(VLOOKUP(C487,OBLIGACION!A:D,4,0),""))</f>
        <v/>
      </c>
      <c r="E487" t="str">
        <f>IF(C487="","",IFERROR(VLOOKUP(C487,OBLIGACION!A:E,5,0),""))</f>
        <v/>
      </c>
      <c r="F487" t="str">
        <f>IF(C487="","",IFERROR(VLOOKUP(C487,OBLIGACION!A:F,6,0),""))</f>
        <v/>
      </c>
      <c r="G487" t="str">
        <f>IF(C487="","",IFERROR(VLOOKUP(C487,OBLIGACION!A:G,7,0),""))</f>
        <v/>
      </c>
      <c r="H487" s="35"/>
    </row>
    <row r="488" spans="2:8" x14ac:dyDescent="0.3">
      <c r="B488" s="36"/>
      <c r="D488" t="str">
        <f>IF(C488="","",IFERROR(VLOOKUP(C488,OBLIGACION!A:D,4,0),""))</f>
        <v/>
      </c>
      <c r="E488" t="str">
        <f>IF(C488="","",IFERROR(VLOOKUP(C488,OBLIGACION!A:E,5,0),""))</f>
        <v/>
      </c>
      <c r="F488" t="str">
        <f>IF(C488="","",IFERROR(VLOOKUP(C488,OBLIGACION!A:F,6,0),""))</f>
        <v/>
      </c>
      <c r="G488" t="str">
        <f>IF(C488="","",IFERROR(VLOOKUP(C488,OBLIGACION!A:G,7,0),""))</f>
        <v/>
      </c>
      <c r="H488" s="35"/>
    </row>
    <row r="489" spans="2:8" x14ac:dyDescent="0.3">
      <c r="B489" s="36"/>
      <c r="D489" t="str">
        <f>IF(C489="","",IFERROR(VLOOKUP(C489,OBLIGACION!A:D,4,0),""))</f>
        <v/>
      </c>
      <c r="E489" t="str">
        <f>IF(C489="","",IFERROR(VLOOKUP(C489,OBLIGACION!A:E,5,0),""))</f>
        <v/>
      </c>
      <c r="F489" t="str">
        <f>IF(C489="","",IFERROR(VLOOKUP(C489,OBLIGACION!A:F,6,0),""))</f>
        <v/>
      </c>
      <c r="G489" t="str">
        <f>IF(C489="","",IFERROR(VLOOKUP(C489,OBLIGACION!A:G,7,0),""))</f>
        <v/>
      </c>
      <c r="H489" s="35"/>
    </row>
    <row r="490" spans="2:8" x14ac:dyDescent="0.3">
      <c r="B490" s="36"/>
      <c r="D490" t="str">
        <f>IF(C490="","",IFERROR(VLOOKUP(C490,OBLIGACION!A:D,4,0),""))</f>
        <v/>
      </c>
      <c r="E490" t="str">
        <f>IF(C490="","",IFERROR(VLOOKUP(C490,OBLIGACION!A:E,5,0),""))</f>
        <v/>
      </c>
      <c r="F490" t="str">
        <f>IF(C490="","",IFERROR(VLOOKUP(C490,OBLIGACION!A:F,6,0),""))</f>
        <v/>
      </c>
      <c r="G490" t="str">
        <f>IF(C490="","",IFERROR(VLOOKUP(C490,OBLIGACION!A:G,7,0),""))</f>
        <v/>
      </c>
      <c r="H490" s="35"/>
    </row>
    <row r="491" spans="2:8" x14ac:dyDescent="0.3">
      <c r="B491" s="36"/>
      <c r="D491" t="str">
        <f>IF(C491="","",IFERROR(VLOOKUP(C491,OBLIGACION!A:D,4,0),""))</f>
        <v/>
      </c>
      <c r="E491" t="str">
        <f>IF(C491="","",IFERROR(VLOOKUP(C491,OBLIGACION!A:E,5,0),""))</f>
        <v/>
      </c>
      <c r="F491" t="str">
        <f>IF(C491="","",IFERROR(VLOOKUP(C491,OBLIGACION!A:F,6,0),""))</f>
        <v/>
      </c>
      <c r="G491" t="str">
        <f>IF(C491="","",IFERROR(VLOOKUP(C491,OBLIGACION!A:G,7,0),""))</f>
        <v/>
      </c>
      <c r="H491" s="35"/>
    </row>
    <row r="492" spans="2:8" x14ac:dyDescent="0.3">
      <c r="B492" s="36"/>
      <c r="D492" t="str">
        <f>IF(C492="","",IFERROR(VLOOKUP(C492,OBLIGACION!A:D,4,0),""))</f>
        <v/>
      </c>
      <c r="E492" t="str">
        <f>IF(C492="","",IFERROR(VLOOKUP(C492,OBLIGACION!A:E,5,0),""))</f>
        <v/>
      </c>
      <c r="F492" t="str">
        <f>IF(C492="","",IFERROR(VLOOKUP(C492,OBLIGACION!A:F,6,0),""))</f>
        <v/>
      </c>
      <c r="G492" t="str">
        <f>IF(C492="","",IFERROR(VLOOKUP(C492,OBLIGACION!A:G,7,0),""))</f>
        <v/>
      </c>
      <c r="H492" s="35"/>
    </row>
    <row r="493" spans="2:8" x14ac:dyDescent="0.3">
      <c r="B493" s="36"/>
      <c r="D493" t="str">
        <f>IF(C493="","",IFERROR(VLOOKUP(C493,OBLIGACION!A:D,4,0),""))</f>
        <v/>
      </c>
      <c r="E493" t="str">
        <f>IF(C493="","",IFERROR(VLOOKUP(C493,OBLIGACION!A:E,5,0),""))</f>
        <v/>
      </c>
      <c r="F493" t="str">
        <f>IF(C493="","",IFERROR(VLOOKUP(C493,OBLIGACION!A:F,6,0),""))</f>
        <v/>
      </c>
      <c r="G493" t="str">
        <f>IF(C493="","",IFERROR(VLOOKUP(C493,OBLIGACION!A:G,7,0),""))</f>
        <v/>
      </c>
      <c r="H493" s="35"/>
    </row>
    <row r="494" spans="2:8" x14ac:dyDescent="0.3">
      <c r="B494" s="36"/>
      <c r="D494" t="str">
        <f>IF(C494="","",IFERROR(VLOOKUP(C494,OBLIGACION!A:D,4,0),""))</f>
        <v/>
      </c>
      <c r="E494" t="str">
        <f>IF(C494="","",IFERROR(VLOOKUP(C494,OBLIGACION!A:E,5,0),""))</f>
        <v/>
      </c>
      <c r="F494" t="str">
        <f>IF(C494="","",IFERROR(VLOOKUP(C494,OBLIGACION!A:F,6,0),""))</f>
        <v/>
      </c>
      <c r="G494" t="str">
        <f>IF(C494="","",IFERROR(VLOOKUP(C494,OBLIGACION!A:G,7,0),""))</f>
        <v/>
      </c>
      <c r="H494" s="35"/>
    </row>
    <row r="495" spans="2:8" x14ac:dyDescent="0.3">
      <c r="B495" s="36"/>
      <c r="D495" t="str">
        <f>IF(C495="","",IFERROR(VLOOKUP(C495,OBLIGACION!A:D,4,0),""))</f>
        <v/>
      </c>
      <c r="E495" t="str">
        <f>IF(C495="","",IFERROR(VLOOKUP(C495,OBLIGACION!A:E,5,0),""))</f>
        <v/>
      </c>
      <c r="F495" t="str">
        <f>IF(C495="","",IFERROR(VLOOKUP(C495,OBLIGACION!A:F,6,0),""))</f>
        <v/>
      </c>
      <c r="G495" t="str">
        <f>IF(C495="","",IFERROR(VLOOKUP(C495,OBLIGACION!A:G,7,0),""))</f>
        <v/>
      </c>
      <c r="H495" s="35"/>
    </row>
    <row r="496" spans="2:8" x14ac:dyDescent="0.3">
      <c r="B496" s="36"/>
      <c r="D496" t="str">
        <f>IF(C496="","",IFERROR(VLOOKUP(C496,OBLIGACION!A:D,4,0),""))</f>
        <v/>
      </c>
      <c r="E496" t="str">
        <f>IF(C496="","",IFERROR(VLOOKUP(C496,OBLIGACION!A:E,5,0),""))</f>
        <v/>
      </c>
      <c r="F496" t="str">
        <f>IF(C496="","",IFERROR(VLOOKUP(C496,OBLIGACION!A:F,6,0),""))</f>
        <v/>
      </c>
      <c r="G496" t="str">
        <f>IF(C496="","",IFERROR(VLOOKUP(C496,OBLIGACION!A:G,7,0),""))</f>
        <v/>
      </c>
      <c r="H496" s="35"/>
    </row>
    <row r="497" spans="2:8" x14ac:dyDescent="0.3">
      <c r="B497" s="36"/>
      <c r="D497" t="str">
        <f>IF(C497="","",IFERROR(VLOOKUP(C497,OBLIGACION!A:D,4,0),""))</f>
        <v/>
      </c>
      <c r="E497" t="str">
        <f>IF(C497="","",IFERROR(VLOOKUP(C497,OBLIGACION!A:E,5,0),""))</f>
        <v/>
      </c>
      <c r="F497" t="str">
        <f>IF(C497="","",IFERROR(VLOOKUP(C497,OBLIGACION!A:F,6,0),""))</f>
        <v/>
      </c>
      <c r="G497" t="str">
        <f>IF(C497="","",IFERROR(VLOOKUP(C497,OBLIGACION!A:G,7,0),""))</f>
        <v/>
      </c>
      <c r="H497" s="35"/>
    </row>
    <row r="498" spans="2:8" x14ac:dyDescent="0.3">
      <c r="B498" s="36"/>
      <c r="D498" t="str">
        <f>IF(C498="","",IFERROR(VLOOKUP(C498,OBLIGACION!A:D,4,0),""))</f>
        <v/>
      </c>
      <c r="E498" t="str">
        <f>IF(C498="","",IFERROR(VLOOKUP(C498,OBLIGACION!A:E,5,0),""))</f>
        <v/>
      </c>
      <c r="F498" t="str">
        <f>IF(C498="","",IFERROR(VLOOKUP(C498,OBLIGACION!A:F,6,0),""))</f>
        <v/>
      </c>
      <c r="G498" t="str">
        <f>IF(C498="","",IFERROR(VLOOKUP(C498,OBLIGACION!A:G,7,0),""))</f>
        <v/>
      </c>
      <c r="H498" s="35"/>
    </row>
    <row r="499" spans="2:8" x14ac:dyDescent="0.3">
      <c r="B499" s="36"/>
      <c r="D499" t="str">
        <f>IF(C499="","",IFERROR(VLOOKUP(C499,OBLIGACION!A:D,4,0),""))</f>
        <v/>
      </c>
      <c r="E499" t="str">
        <f>IF(C499="","",IFERROR(VLOOKUP(C499,OBLIGACION!A:E,5,0),""))</f>
        <v/>
      </c>
      <c r="F499" t="str">
        <f>IF(C499="","",IFERROR(VLOOKUP(C499,OBLIGACION!A:F,6,0),""))</f>
        <v/>
      </c>
      <c r="G499" t="str">
        <f>IF(C499="","",IFERROR(VLOOKUP(C499,OBLIGACION!A:G,7,0),""))</f>
        <v/>
      </c>
      <c r="H499" s="35"/>
    </row>
    <row r="500" spans="2:8" x14ac:dyDescent="0.3">
      <c r="B500" s="36"/>
      <c r="D500" t="str">
        <f>IF(C500="","",IFERROR(VLOOKUP(C500,OBLIGACION!A:D,4,0),""))</f>
        <v/>
      </c>
      <c r="E500" t="str">
        <f>IF(C500="","",IFERROR(VLOOKUP(C500,OBLIGACION!A:E,5,0),""))</f>
        <v/>
      </c>
      <c r="F500" t="str">
        <f>IF(C500="","",IFERROR(VLOOKUP(C500,OBLIGACION!A:F,6,0),""))</f>
        <v/>
      </c>
      <c r="G500" t="str">
        <f>IF(C500="","",IFERROR(VLOOKUP(C500,OBLIGACION!A:G,7,0),""))</f>
        <v/>
      </c>
      <c r="H500" s="35"/>
    </row>
    <row r="501" spans="2:8" x14ac:dyDescent="0.3">
      <c r="B501" s="36"/>
      <c r="H501" s="35"/>
    </row>
    <row r="502" spans="2:8" x14ac:dyDescent="0.3">
      <c r="B502" s="36"/>
      <c r="H502" s="35"/>
    </row>
    <row r="503" spans="2:8" x14ac:dyDescent="0.3">
      <c r="B503" s="36"/>
      <c r="H503" s="35"/>
    </row>
    <row r="504" spans="2:8" x14ac:dyDescent="0.3">
      <c r="B504" s="36"/>
      <c r="H504" s="35"/>
    </row>
    <row r="505" spans="2:8" x14ac:dyDescent="0.3">
      <c r="B505" s="36"/>
      <c r="H505" s="35"/>
    </row>
    <row r="506" spans="2:8" x14ac:dyDescent="0.3">
      <c r="B506" s="36"/>
      <c r="H506" s="35"/>
    </row>
    <row r="507" spans="2:8" x14ac:dyDescent="0.3">
      <c r="B507" s="36"/>
      <c r="H507" s="35"/>
    </row>
    <row r="508" spans="2:8" x14ac:dyDescent="0.3">
      <c r="B508" s="36"/>
      <c r="H508" s="35"/>
    </row>
    <row r="509" spans="2:8" x14ac:dyDescent="0.3">
      <c r="B509" s="36"/>
      <c r="H509" s="35"/>
    </row>
    <row r="510" spans="2:8" x14ac:dyDescent="0.3">
      <c r="B510" s="36"/>
      <c r="H510" s="35"/>
    </row>
    <row r="511" spans="2:8" x14ac:dyDescent="0.3">
      <c r="B511" s="36"/>
      <c r="H511" s="35"/>
    </row>
    <row r="512" spans="2:8" x14ac:dyDescent="0.3">
      <c r="B512" s="36"/>
      <c r="H512" s="35"/>
    </row>
    <row r="513" spans="2:8" x14ac:dyDescent="0.3">
      <c r="B513" s="36"/>
      <c r="H513" s="35"/>
    </row>
    <row r="514" spans="2:8" x14ac:dyDescent="0.3">
      <c r="B514" s="36"/>
      <c r="H514" s="35"/>
    </row>
    <row r="515" spans="2:8" x14ac:dyDescent="0.3">
      <c r="B515" s="36"/>
      <c r="H515" s="35"/>
    </row>
    <row r="516" spans="2:8" x14ac:dyDescent="0.3">
      <c r="B516" s="36"/>
      <c r="H516" s="35"/>
    </row>
    <row r="517" spans="2:8" x14ac:dyDescent="0.3">
      <c r="B517" s="36"/>
      <c r="H517" s="35"/>
    </row>
    <row r="518" spans="2:8" x14ac:dyDescent="0.3">
      <c r="B518" s="36"/>
      <c r="H518" s="35"/>
    </row>
    <row r="519" spans="2:8" x14ac:dyDescent="0.3">
      <c r="B519" s="36"/>
      <c r="H519" s="35"/>
    </row>
    <row r="520" spans="2:8" x14ac:dyDescent="0.3">
      <c r="B520" s="36"/>
      <c r="H520" s="35"/>
    </row>
    <row r="521" spans="2:8" x14ac:dyDescent="0.3">
      <c r="B521" s="36"/>
      <c r="H521" s="35"/>
    </row>
    <row r="522" spans="2:8" x14ac:dyDescent="0.3">
      <c r="B522" s="36"/>
      <c r="H522" s="35"/>
    </row>
    <row r="523" spans="2:8" x14ac:dyDescent="0.3">
      <c r="B523" s="36"/>
      <c r="H523" s="35"/>
    </row>
    <row r="524" spans="2:8" x14ac:dyDescent="0.3">
      <c r="B524" s="36"/>
      <c r="H524" s="35"/>
    </row>
    <row r="525" spans="2:8" x14ac:dyDescent="0.3">
      <c r="B525" s="36"/>
      <c r="H525" s="35"/>
    </row>
    <row r="526" spans="2:8" x14ac:dyDescent="0.3">
      <c r="B526" s="36"/>
      <c r="H526" s="35"/>
    </row>
    <row r="527" spans="2:8" x14ac:dyDescent="0.3">
      <c r="B527" s="36"/>
      <c r="H527" s="35"/>
    </row>
    <row r="528" spans="2:8" x14ac:dyDescent="0.3">
      <c r="B528" s="36"/>
      <c r="H528" s="35"/>
    </row>
    <row r="529" spans="2:8" x14ac:dyDescent="0.3">
      <c r="B529" s="36"/>
      <c r="H529" s="35"/>
    </row>
    <row r="530" spans="2:8" x14ac:dyDescent="0.3">
      <c r="B530" s="36"/>
      <c r="H530" s="35"/>
    </row>
    <row r="531" spans="2:8" x14ac:dyDescent="0.3">
      <c r="B531" s="36"/>
      <c r="H531" s="35"/>
    </row>
    <row r="532" spans="2:8" x14ac:dyDescent="0.3">
      <c r="B532" s="36"/>
      <c r="H532" s="35"/>
    </row>
    <row r="533" spans="2:8" x14ac:dyDescent="0.3">
      <c r="B533" s="36"/>
      <c r="H533" s="35"/>
    </row>
    <row r="534" spans="2:8" x14ac:dyDescent="0.3">
      <c r="B534" s="36"/>
      <c r="H534" s="35"/>
    </row>
    <row r="535" spans="2:8" x14ac:dyDescent="0.3">
      <c r="B535" s="36"/>
      <c r="H535" s="35"/>
    </row>
    <row r="536" spans="2:8" x14ac:dyDescent="0.3">
      <c r="B536" s="36"/>
      <c r="H536" s="35"/>
    </row>
    <row r="537" spans="2:8" x14ac:dyDescent="0.3">
      <c r="B537" s="36"/>
      <c r="H537" s="35"/>
    </row>
    <row r="538" spans="2:8" x14ac:dyDescent="0.3">
      <c r="B538" s="36"/>
      <c r="H538" s="35"/>
    </row>
    <row r="539" spans="2:8" x14ac:dyDescent="0.3">
      <c r="B539" s="36"/>
      <c r="H539" s="35"/>
    </row>
    <row r="540" spans="2:8" x14ac:dyDescent="0.3">
      <c r="B540" s="36"/>
      <c r="H540" s="35"/>
    </row>
    <row r="541" spans="2:8" x14ac:dyDescent="0.3">
      <c r="B541" s="36"/>
      <c r="H541" s="35"/>
    </row>
    <row r="542" spans="2:8" x14ac:dyDescent="0.3">
      <c r="B542" s="36"/>
      <c r="H542" s="35"/>
    </row>
    <row r="543" spans="2:8" x14ac:dyDescent="0.3">
      <c r="B543" s="36"/>
      <c r="H543" s="35"/>
    </row>
    <row r="544" spans="2:8" x14ac:dyDescent="0.3">
      <c r="B544" s="36"/>
      <c r="H544" s="35"/>
    </row>
    <row r="545" spans="2:8" x14ac:dyDescent="0.3">
      <c r="B545" s="36"/>
      <c r="H545" s="35"/>
    </row>
    <row r="546" spans="2:8" x14ac:dyDescent="0.3">
      <c r="B546" s="36"/>
      <c r="H546" s="35"/>
    </row>
    <row r="547" spans="2:8" x14ac:dyDescent="0.3">
      <c r="B547" s="36"/>
      <c r="H547" s="35"/>
    </row>
    <row r="548" spans="2:8" x14ac:dyDescent="0.3">
      <c r="B548" s="36"/>
      <c r="H548" s="35"/>
    </row>
    <row r="549" spans="2:8" x14ac:dyDescent="0.3">
      <c r="B549" s="36"/>
      <c r="H549" s="35"/>
    </row>
    <row r="550" spans="2:8" x14ac:dyDescent="0.3">
      <c r="B550" s="36"/>
      <c r="H550" s="35"/>
    </row>
    <row r="551" spans="2:8" x14ac:dyDescent="0.3">
      <c r="B551" s="36"/>
      <c r="H551" s="35"/>
    </row>
    <row r="552" spans="2:8" x14ac:dyDescent="0.3">
      <c r="B552" s="36"/>
      <c r="H552" s="35"/>
    </row>
    <row r="553" spans="2:8" x14ac:dyDescent="0.3">
      <c r="B553" s="36"/>
      <c r="H553" s="35"/>
    </row>
    <row r="554" spans="2:8" x14ac:dyDescent="0.3">
      <c r="B554" s="36"/>
      <c r="H554" s="35"/>
    </row>
    <row r="555" spans="2:8" x14ac:dyDescent="0.3">
      <c r="B555" s="36"/>
      <c r="H555" s="35"/>
    </row>
    <row r="556" spans="2:8" x14ac:dyDescent="0.3">
      <c r="B556" s="36"/>
      <c r="H556" s="35"/>
    </row>
    <row r="557" spans="2:8" x14ac:dyDescent="0.3">
      <c r="B557" s="36"/>
      <c r="H557" s="35"/>
    </row>
    <row r="558" spans="2:8" x14ac:dyDescent="0.3">
      <c r="B558" s="36"/>
      <c r="H558" s="35"/>
    </row>
    <row r="559" spans="2:8" x14ac:dyDescent="0.3">
      <c r="B559" s="36"/>
      <c r="H559" s="35"/>
    </row>
    <row r="560" spans="2:8" x14ac:dyDescent="0.3">
      <c r="B560" s="36"/>
      <c r="H560" s="35"/>
    </row>
    <row r="561" spans="2:8" x14ac:dyDescent="0.3">
      <c r="B561" s="36"/>
      <c r="H561" s="35"/>
    </row>
    <row r="562" spans="2:8" x14ac:dyDescent="0.3">
      <c r="B562" s="36"/>
      <c r="H562" s="35"/>
    </row>
    <row r="563" spans="2:8" x14ac:dyDescent="0.3">
      <c r="B563" s="36"/>
      <c r="H563" s="35"/>
    </row>
    <row r="564" spans="2:8" x14ac:dyDescent="0.3">
      <c r="B564" s="36"/>
      <c r="H564" s="35"/>
    </row>
    <row r="565" spans="2:8" x14ac:dyDescent="0.3">
      <c r="B565" s="36"/>
      <c r="H565" s="35"/>
    </row>
    <row r="566" spans="2:8" x14ac:dyDescent="0.3">
      <c r="B566" s="36"/>
      <c r="H566" s="35"/>
    </row>
    <row r="567" spans="2:8" x14ac:dyDescent="0.3">
      <c r="B567" s="36"/>
      <c r="H567" s="35"/>
    </row>
    <row r="568" spans="2:8" x14ac:dyDescent="0.3">
      <c r="B568" s="36"/>
      <c r="H568" s="35"/>
    </row>
    <row r="569" spans="2:8" x14ac:dyDescent="0.3">
      <c r="B569" s="36"/>
      <c r="H569" s="35"/>
    </row>
    <row r="570" spans="2:8" x14ac:dyDescent="0.3">
      <c r="B570" s="36"/>
      <c r="H570" s="35"/>
    </row>
    <row r="571" spans="2:8" x14ac:dyDescent="0.3">
      <c r="B571" s="36"/>
      <c r="H571" s="35"/>
    </row>
    <row r="572" spans="2:8" x14ac:dyDescent="0.3">
      <c r="B572" s="36"/>
      <c r="H572" s="35"/>
    </row>
    <row r="573" spans="2:8" x14ac:dyDescent="0.3">
      <c r="B573" s="36"/>
      <c r="H573" s="35"/>
    </row>
    <row r="574" spans="2:8" x14ac:dyDescent="0.3">
      <c r="B574" s="36"/>
      <c r="H574" s="35"/>
    </row>
    <row r="575" spans="2:8" x14ac:dyDescent="0.3">
      <c r="B575" s="36"/>
      <c r="H575" s="35"/>
    </row>
    <row r="576" spans="2:8" x14ac:dyDescent="0.3">
      <c r="B576" s="36"/>
      <c r="H576" s="35"/>
    </row>
    <row r="577" spans="2:8" x14ac:dyDescent="0.3">
      <c r="B577" s="36"/>
      <c r="H577" s="35"/>
    </row>
    <row r="578" spans="2:8" x14ac:dyDescent="0.3">
      <c r="B578" s="36"/>
      <c r="H578" s="35"/>
    </row>
    <row r="579" spans="2:8" x14ac:dyDescent="0.3">
      <c r="B579" s="36"/>
      <c r="H579" s="35"/>
    </row>
    <row r="580" spans="2:8" x14ac:dyDescent="0.3">
      <c r="B580" s="36"/>
      <c r="H580" s="35"/>
    </row>
    <row r="581" spans="2:8" x14ac:dyDescent="0.3">
      <c r="B581" s="36"/>
      <c r="H581" s="35"/>
    </row>
    <row r="582" spans="2:8" x14ac:dyDescent="0.3">
      <c r="B582" s="36"/>
      <c r="H582" s="35"/>
    </row>
    <row r="583" spans="2:8" x14ac:dyDescent="0.3">
      <c r="B583" s="36"/>
      <c r="H583" s="35"/>
    </row>
    <row r="584" spans="2:8" x14ac:dyDescent="0.3">
      <c r="B584" s="36"/>
      <c r="H584" s="35"/>
    </row>
    <row r="585" spans="2:8" x14ac:dyDescent="0.3">
      <c r="B585" s="36"/>
      <c r="H585" s="35"/>
    </row>
    <row r="586" spans="2:8" x14ac:dyDescent="0.3">
      <c r="B586" s="36"/>
      <c r="H586" s="35"/>
    </row>
    <row r="587" spans="2:8" x14ac:dyDescent="0.3">
      <c r="B587" s="36"/>
      <c r="H587" s="35"/>
    </row>
    <row r="588" spans="2:8" x14ac:dyDescent="0.3">
      <c r="B588" s="36"/>
      <c r="H588" s="35"/>
    </row>
    <row r="589" spans="2:8" x14ac:dyDescent="0.3">
      <c r="B589" s="36"/>
      <c r="H589" s="35"/>
    </row>
    <row r="590" spans="2:8" x14ac:dyDescent="0.3">
      <c r="B590" s="36"/>
      <c r="H590" s="35"/>
    </row>
    <row r="591" spans="2:8" x14ac:dyDescent="0.3">
      <c r="B591" s="36"/>
      <c r="H591" s="35"/>
    </row>
    <row r="592" spans="2:8" x14ac:dyDescent="0.3">
      <c r="B592" s="36"/>
      <c r="H592" s="35"/>
    </row>
    <row r="593" spans="2:8" x14ac:dyDescent="0.3">
      <c r="B593" s="36"/>
      <c r="H593" s="35"/>
    </row>
    <row r="594" spans="2:8" x14ac:dyDescent="0.3">
      <c r="B594" s="36"/>
      <c r="H594" s="35"/>
    </row>
    <row r="595" spans="2:8" x14ac:dyDescent="0.3">
      <c r="B595" s="36"/>
      <c r="H595" s="35"/>
    </row>
    <row r="596" spans="2:8" x14ac:dyDescent="0.3">
      <c r="B596" s="36"/>
      <c r="H596" s="35"/>
    </row>
    <row r="597" spans="2:8" x14ac:dyDescent="0.3">
      <c r="B597" s="36"/>
      <c r="H597" s="35"/>
    </row>
    <row r="598" spans="2:8" x14ac:dyDescent="0.3">
      <c r="B598" s="36"/>
      <c r="H598" s="35"/>
    </row>
    <row r="599" spans="2:8" x14ac:dyDescent="0.3">
      <c r="B599" s="36"/>
      <c r="H599" s="35"/>
    </row>
    <row r="600" spans="2:8" x14ac:dyDescent="0.3">
      <c r="B600" s="36"/>
      <c r="H600" s="35"/>
    </row>
    <row r="601" spans="2:8" x14ac:dyDescent="0.3">
      <c r="B601" s="36"/>
      <c r="H601" s="35"/>
    </row>
    <row r="602" spans="2:8" x14ac:dyDescent="0.3">
      <c r="B602" s="36"/>
      <c r="H602" s="35"/>
    </row>
    <row r="603" spans="2:8" x14ac:dyDescent="0.3">
      <c r="B603" s="36"/>
      <c r="H603" s="35"/>
    </row>
    <row r="604" spans="2:8" x14ac:dyDescent="0.3">
      <c r="B604" s="36"/>
      <c r="H604" s="35"/>
    </row>
    <row r="605" spans="2:8" x14ac:dyDescent="0.3">
      <c r="B605" s="36"/>
      <c r="H605" s="35"/>
    </row>
    <row r="606" spans="2:8" x14ac:dyDescent="0.3">
      <c r="B606" s="36"/>
      <c r="H606" s="35"/>
    </row>
    <row r="607" spans="2:8" x14ac:dyDescent="0.3">
      <c r="B607" s="36"/>
      <c r="H607" s="35"/>
    </row>
    <row r="608" spans="2:8" x14ac:dyDescent="0.3">
      <c r="B608" s="36"/>
      <c r="H608" s="35"/>
    </row>
    <row r="609" spans="2:8" x14ac:dyDescent="0.3">
      <c r="B609" s="36"/>
      <c r="H609" s="35"/>
    </row>
    <row r="610" spans="2:8" x14ac:dyDescent="0.3">
      <c r="B610" s="36"/>
      <c r="H610" s="35"/>
    </row>
    <row r="611" spans="2:8" x14ac:dyDescent="0.3">
      <c r="B611" s="36"/>
      <c r="H611" s="35"/>
    </row>
    <row r="612" spans="2:8" x14ac:dyDescent="0.3">
      <c r="B612" s="36"/>
      <c r="H612" s="35"/>
    </row>
    <row r="613" spans="2:8" x14ac:dyDescent="0.3">
      <c r="B613" s="36"/>
      <c r="H613" s="35"/>
    </row>
    <row r="614" spans="2:8" x14ac:dyDescent="0.3">
      <c r="B614" s="36"/>
      <c r="H614" s="35"/>
    </row>
    <row r="615" spans="2:8" x14ac:dyDescent="0.3">
      <c r="B615" s="36"/>
      <c r="H615" s="35"/>
    </row>
    <row r="616" spans="2:8" x14ac:dyDescent="0.3">
      <c r="B616" s="36"/>
      <c r="H616" s="35"/>
    </row>
    <row r="617" spans="2:8" x14ac:dyDescent="0.3">
      <c r="B617" s="36"/>
      <c r="H617" s="35"/>
    </row>
    <row r="618" spans="2:8" x14ac:dyDescent="0.3">
      <c r="B618" s="36"/>
      <c r="H618" s="35"/>
    </row>
    <row r="619" spans="2:8" x14ac:dyDescent="0.3">
      <c r="B619" s="36"/>
      <c r="H619" s="35"/>
    </row>
    <row r="620" spans="2:8" x14ac:dyDescent="0.3">
      <c r="B620" s="36"/>
      <c r="H620" s="35"/>
    </row>
    <row r="621" spans="2:8" x14ac:dyDescent="0.3">
      <c r="B621" s="36"/>
      <c r="H621" s="35"/>
    </row>
    <row r="622" spans="2:8" x14ac:dyDescent="0.3">
      <c r="B622" s="36"/>
      <c r="H622" s="35"/>
    </row>
    <row r="623" spans="2:8" x14ac:dyDescent="0.3">
      <c r="B623" s="36"/>
      <c r="H623" s="35"/>
    </row>
    <row r="624" spans="2:8" x14ac:dyDescent="0.3">
      <c r="B624" s="36"/>
      <c r="H624" s="35"/>
    </row>
    <row r="625" spans="2:8" x14ac:dyDescent="0.3">
      <c r="B625" s="36"/>
      <c r="H625" s="35"/>
    </row>
    <row r="626" spans="2:8" x14ac:dyDescent="0.3">
      <c r="B626" s="36"/>
      <c r="H626" s="35"/>
    </row>
    <row r="627" spans="2:8" x14ac:dyDescent="0.3">
      <c r="B627" s="36"/>
      <c r="H627" s="35"/>
    </row>
    <row r="628" spans="2:8" x14ac:dyDescent="0.3">
      <c r="B628" s="36"/>
      <c r="H628" s="35"/>
    </row>
    <row r="629" spans="2:8" x14ac:dyDescent="0.3">
      <c r="B629" s="36"/>
      <c r="H629" s="35"/>
    </row>
    <row r="630" spans="2:8" x14ac:dyDescent="0.3">
      <c r="B630" s="36"/>
      <c r="H630" s="35"/>
    </row>
    <row r="631" spans="2:8" x14ac:dyDescent="0.3">
      <c r="B631" s="36"/>
      <c r="H631" s="35"/>
    </row>
    <row r="632" spans="2:8" x14ac:dyDescent="0.3">
      <c r="B632" s="36"/>
      <c r="H632" s="35"/>
    </row>
    <row r="633" spans="2:8" x14ac:dyDescent="0.3">
      <c r="B633" s="36"/>
      <c r="H633" s="35"/>
    </row>
    <row r="634" spans="2:8" x14ac:dyDescent="0.3">
      <c r="B634" s="36"/>
      <c r="H634" s="35"/>
    </row>
    <row r="635" spans="2:8" x14ac:dyDescent="0.3">
      <c r="B635" s="36"/>
      <c r="H635" s="35"/>
    </row>
    <row r="636" spans="2:8" x14ac:dyDescent="0.3">
      <c r="B636" s="36"/>
      <c r="H636" s="35"/>
    </row>
    <row r="637" spans="2:8" x14ac:dyDescent="0.3">
      <c r="B637" s="36"/>
      <c r="H637" s="35"/>
    </row>
    <row r="638" spans="2:8" x14ac:dyDescent="0.3">
      <c r="B638" s="36"/>
      <c r="H638" s="35"/>
    </row>
    <row r="639" spans="2:8" x14ac:dyDescent="0.3">
      <c r="B639" s="36"/>
      <c r="H639" s="35"/>
    </row>
    <row r="640" spans="2:8" x14ac:dyDescent="0.3">
      <c r="B640" s="36"/>
      <c r="H640" s="35"/>
    </row>
    <row r="641" spans="2:8" x14ac:dyDescent="0.3">
      <c r="B641" s="36"/>
      <c r="H641" s="35"/>
    </row>
    <row r="642" spans="2:8" x14ac:dyDescent="0.3">
      <c r="B642" s="36"/>
      <c r="H642" s="35"/>
    </row>
    <row r="643" spans="2:8" x14ac:dyDescent="0.3">
      <c r="B643" s="36"/>
      <c r="H643" s="35"/>
    </row>
    <row r="644" spans="2:8" x14ac:dyDescent="0.3">
      <c r="B644" s="36"/>
      <c r="H644" s="35"/>
    </row>
    <row r="645" spans="2:8" x14ac:dyDescent="0.3">
      <c r="B645" s="36"/>
      <c r="H645" s="35"/>
    </row>
    <row r="646" spans="2:8" x14ac:dyDescent="0.3">
      <c r="B646" s="36"/>
      <c r="H646" s="35"/>
    </row>
    <row r="647" spans="2:8" x14ac:dyDescent="0.3">
      <c r="B647" s="36"/>
      <c r="H647" s="35"/>
    </row>
    <row r="648" spans="2:8" x14ac:dyDescent="0.3">
      <c r="B648" s="36"/>
      <c r="H648" s="35"/>
    </row>
    <row r="649" spans="2:8" x14ac:dyDescent="0.3">
      <c r="B649" s="36"/>
      <c r="H649" s="35"/>
    </row>
    <row r="650" spans="2:8" x14ac:dyDescent="0.3">
      <c r="B650" s="36"/>
      <c r="H650" s="35"/>
    </row>
    <row r="651" spans="2:8" x14ac:dyDescent="0.3">
      <c r="B651" s="36"/>
      <c r="H651" s="35"/>
    </row>
    <row r="652" spans="2:8" x14ac:dyDescent="0.3">
      <c r="B652" s="36"/>
      <c r="H652" s="35"/>
    </row>
    <row r="653" spans="2:8" x14ac:dyDescent="0.3">
      <c r="B653" s="36"/>
      <c r="H653" s="35"/>
    </row>
    <row r="654" spans="2:8" x14ac:dyDescent="0.3">
      <c r="B654" s="36"/>
      <c r="H654" s="35"/>
    </row>
    <row r="655" spans="2:8" x14ac:dyDescent="0.3">
      <c r="B655" s="36"/>
      <c r="H655" s="35"/>
    </row>
    <row r="656" spans="2:8" x14ac:dyDescent="0.3">
      <c r="B656" s="36"/>
      <c r="H656" s="35"/>
    </row>
    <row r="657" spans="2:8" x14ac:dyDescent="0.3">
      <c r="B657" s="36"/>
      <c r="H657" s="35"/>
    </row>
    <row r="658" spans="2:8" x14ac:dyDescent="0.3">
      <c r="B658" s="36"/>
      <c r="H658" s="35"/>
    </row>
    <row r="659" spans="2:8" x14ac:dyDescent="0.3">
      <c r="B659" s="36"/>
      <c r="H659" s="35"/>
    </row>
    <row r="660" spans="2:8" x14ac:dyDescent="0.3">
      <c r="B660" s="36"/>
      <c r="H660" s="35"/>
    </row>
    <row r="661" spans="2:8" x14ac:dyDescent="0.3">
      <c r="B661" s="36"/>
      <c r="H661" s="35"/>
    </row>
    <row r="662" spans="2:8" x14ac:dyDescent="0.3">
      <c r="B662" s="36"/>
      <c r="H662" s="35"/>
    </row>
    <row r="663" spans="2:8" x14ac:dyDescent="0.3">
      <c r="B663" s="36"/>
      <c r="H663" s="35"/>
    </row>
    <row r="664" spans="2:8" x14ac:dyDescent="0.3">
      <c r="B664" s="36"/>
      <c r="H664" s="35"/>
    </row>
    <row r="665" spans="2:8" x14ac:dyDescent="0.3">
      <c r="B665" s="36"/>
      <c r="H665" s="35"/>
    </row>
    <row r="666" spans="2:8" x14ac:dyDescent="0.3">
      <c r="B666" s="36"/>
      <c r="H666" s="35"/>
    </row>
    <row r="667" spans="2:8" x14ac:dyDescent="0.3">
      <c r="B667" s="36"/>
      <c r="H667" s="35"/>
    </row>
    <row r="668" spans="2:8" x14ac:dyDescent="0.3">
      <c r="B668" s="36"/>
      <c r="H668" s="35"/>
    </row>
    <row r="669" spans="2:8" x14ac:dyDescent="0.3">
      <c r="B669" s="36"/>
      <c r="H669" s="35"/>
    </row>
    <row r="670" spans="2:8" x14ac:dyDescent="0.3">
      <c r="B670" s="36"/>
      <c r="H670" s="35"/>
    </row>
    <row r="671" spans="2:8" x14ac:dyDescent="0.3">
      <c r="B671" s="36"/>
      <c r="H671" s="35"/>
    </row>
    <row r="672" spans="2:8" x14ac:dyDescent="0.3">
      <c r="B672" s="36"/>
      <c r="H672" s="35"/>
    </row>
    <row r="673" spans="2:8" x14ac:dyDescent="0.3">
      <c r="B673" s="36"/>
      <c r="H673" s="35"/>
    </row>
    <row r="674" spans="2:8" x14ac:dyDescent="0.3">
      <c r="B674" s="36"/>
      <c r="H674" s="35"/>
    </row>
    <row r="675" spans="2:8" x14ac:dyDescent="0.3">
      <c r="B675" s="36"/>
      <c r="H675" s="35"/>
    </row>
    <row r="676" spans="2:8" x14ac:dyDescent="0.3">
      <c r="B676" s="36"/>
      <c r="H676" s="35"/>
    </row>
    <row r="677" spans="2:8" x14ac:dyDescent="0.3">
      <c r="B677" s="36"/>
      <c r="H677" s="35"/>
    </row>
    <row r="678" spans="2:8" x14ac:dyDescent="0.3">
      <c r="B678" s="36"/>
      <c r="H678" s="35"/>
    </row>
    <row r="679" spans="2:8" x14ac:dyDescent="0.3">
      <c r="B679" s="36"/>
      <c r="H679" s="35"/>
    </row>
    <row r="680" spans="2:8" x14ac:dyDescent="0.3">
      <c r="B680" s="36"/>
      <c r="H680" s="35"/>
    </row>
    <row r="681" spans="2:8" x14ac:dyDescent="0.3">
      <c r="B681" s="36"/>
      <c r="H681" s="35"/>
    </row>
    <row r="682" spans="2:8" x14ac:dyDescent="0.3">
      <c r="B682" s="36"/>
      <c r="H682" s="35"/>
    </row>
    <row r="683" spans="2:8" x14ac:dyDescent="0.3">
      <c r="B683" s="36"/>
      <c r="H683" s="35"/>
    </row>
    <row r="684" spans="2:8" x14ac:dyDescent="0.3">
      <c r="B684" s="36"/>
      <c r="H684" s="35"/>
    </row>
    <row r="685" spans="2:8" x14ac:dyDescent="0.3">
      <c r="B685" s="36"/>
      <c r="H685" s="35"/>
    </row>
    <row r="686" spans="2:8" x14ac:dyDescent="0.3">
      <c r="B686" s="36"/>
      <c r="H686" s="35"/>
    </row>
    <row r="687" spans="2:8" x14ac:dyDescent="0.3">
      <c r="B687" s="36"/>
      <c r="H687" s="35"/>
    </row>
    <row r="688" spans="2:8" x14ac:dyDescent="0.3">
      <c r="B688" s="36"/>
      <c r="H688" s="35"/>
    </row>
    <row r="689" spans="2:8" x14ac:dyDescent="0.3">
      <c r="B689" s="36"/>
      <c r="H689" s="35"/>
    </row>
    <row r="690" spans="2:8" x14ac:dyDescent="0.3">
      <c r="B690" s="36"/>
      <c r="H690" s="35"/>
    </row>
    <row r="691" spans="2:8" x14ac:dyDescent="0.3">
      <c r="B691" s="36"/>
      <c r="H691" s="35"/>
    </row>
    <row r="692" spans="2:8" x14ac:dyDescent="0.3">
      <c r="B692" s="36"/>
      <c r="H692" s="35"/>
    </row>
    <row r="693" spans="2:8" x14ac:dyDescent="0.3">
      <c r="B693" s="36"/>
      <c r="H693" s="35"/>
    </row>
    <row r="694" spans="2:8" x14ac:dyDescent="0.3">
      <c r="B694" s="36"/>
      <c r="H694" s="35"/>
    </row>
    <row r="695" spans="2:8" x14ac:dyDescent="0.3">
      <c r="B695" s="36"/>
      <c r="H695" s="35"/>
    </row>
    <row r="696" spans="2:8" x14ac:dyDescent="0.3">
      <c r="B696" s="36"/>
      <c r="H696" s="35"/>
    </row>
    <row r="697" spans="2:8" x14ac:dyDescent="0.3">
      <c r="B697" s="36"/>
      <c r="H697" s="35"/>
    </row>
    <row r="698" spans="2:8" x14ac:dyDescent="0.3">
      <c r="B698" s="36"/>
      <c r="H698" s="35"/>
    </row>
    <row r="699" spans="2:8" x14ac:dyDescent="0.3">
      <c r="B699" s="36"/>
      <c r="H699" s="35"/>
    </row>
    <row r="700" spans="2:8" x14ac:dyDescent="0.3">
      <c r="B700" s="36"/>
      <c r="H700" s="35"/>
    </row>
    <row r="701" spans="2:8" x14ac:dyDescent="0.3">
      <c r="B701" s="36"/>
      <c r="H701" s="35"/>
    </row>
    <row r="702" spans="2:8" x14ac:dyDescent="0.3">
      <c r="B702" s="36"/>
      <c r="H702" s="35"/>
    </row>
    <row r="703" spans="2:8" x14ac:dyDescent="0.3">
      <c r="B703" s="36"/>
      <c r="H703" s="35"/>
    </row>
    <row r="704" spans="2:8" x14ac:dyDescent="0.3">
      <c r="B704" s="36"/>
      <c r="H704" s="35"/>
    </row>
    <row r="705" spans="2:8" x14ac:dyDescent="0.3">
      <c r="B705" s="36"/>
      <c r="H705" s="35"/>
    </row>
    <row r="706" spans="2:8" x14ac:dyDescent="0.3">
      <c r="B706" s="36"/>
      <c r="H706" s="35"/>
    </row>
    <row r="707" spans="2:8" x14ac:dyDescent="0.3">
      <c r="B707" s="36"/>
      <c r="H707" s="35"/>
    </row>
    <row r="708" spans="2:8" x14ac:dyDescent="0.3">
      <c r="B708" s="36"/>
      <c r="H708" s="35"/>
    </row>
    <row r="709" spans="2:8" x14ac:dyDescent="0.3">
      <c r="B709" s="36"/>
      <c r="H709" s="35"/>
    </row>
    <row r="710" spans="2:8" x14ac:dyDescent="0.3">
      <c r="B710" s="36"/>
      <c r="H710" s="35"/>
    </row>
    <row r="711" spans="2:8" x14ac:dyDescent="0.3">
      <c r="B711" s="36"/>
      <c r="H711" s="35"/>
    </row>
    <row r="712" spans="2:8" x14ac:dyDescent="0.3">
      <c r="B712" s="36"/>
      <c r="H712" s="35"/>
    </row>
    <row r="713" spans="2:8" x14ac:dyDescent="0.3">
      <c r="B713" s="36"/>
      <c r="H713" s="35"/>
    </row>
    <row r="714" spans="2:8" x14ac:dyDescent="0.3">
      <c r="B714" s="36"/>
      <c r="H714" s="35"/>
    </row>
    <row r="715" spans="2:8" x14ac:dyDescent="0.3">
      <c r="B715" s="36"/>
      <c r="H715" s="35"/>
    </row>
    <row r="716" spans="2:8" x14ac:dyDescent="0.3">
      <c r="B716" s="36"/>
      <c r="H716" s="35"/>
    </row>
    <row r="717" spans="2:8" x14ac:dyDescent="0.3">
      <c r="B717" s="36"/>
      <c r="H717" s="35"/>
    </row>
    <row r="718" spans="2:8" x14ac:dyDescent="0.3">
      <c r="B718" s="36"/>
      <c r="H718" s="35"/>
    </row>
    <row r="719" spans="2:8" x14ac:dyDescent="0.3">
      <c r="B719" s="36"/>
      <c r="H719" s="35"/>
    </row>
    <row r="720" spans="2:8" x14ac:dyDescent="0.3">
      <c r="B720" s="36"/>
      <c r="H720" s="35"/>
    </row>
    <row r="721" spans="2:8" x14ac:dyDescent="0.3">
      <c r="B721" s="36"/>
      <c r="H721" s="35"/>
    </row>
    <row r="722" spans="2:8" x14ac:dyDescent="0.3">
      <c r="B722" s="36"/>
      <c r="H722" s="35"/>
    </row>
    <row r="723" spans="2:8" x14ac:dyDescent="0.3">
      <c r="B723" s="36"/>
      <c r="H723" s="35"/>
    </row>
    <row r="724" spans="2:8" x14ac:dyDescent="0.3">
      <c r="B724" s="36"/>
      <c r="H724" s="35"/>
    </row>
    <row r="725" spans="2:8" x14ac:dyDescent="0.3">
      <c r="B725" s="36"/>
      <c r="H725" s="35"/>
    </row>
    <row r="726" spans="2:8" x14ac:dyDescent="0.3">
      <c r="B726" s="36"/>
      <c r="H726" s="35"/>
    </row>
    <row r="727" spans="2:8" x14ac:dyDescent="0.3">
      <c r="B727" s="36"/>
      <c r="H727" s="35"/>
    </row>
    <row r="728" spans="2:8" x14ac:dyDescent="0.3">
      <c r="B728" s="36"/>
      <c r="H728" s="35"/>
    </row>
    <row r="729" spans="2:8" x14ac:dyDescent="0.3">
      <c r="B729" s="36"/>
      <c r="H729" s="35"/>
    </row>
    <row r="730" spans="2:8" x14ac:dyDescent="0.3">
      <c r="B730" s="36"/>
      <c r="H730" s="35"/>
    </row>
    <row r="731" spans="2:8" x14ac:dyDescent="0.3">
      <c r="B731" s="36"/>
      <c r="H731" s="35"/>
    </row>
    <row r="732" spans="2:8" x14ac:dyDescent="0.3">
      <c r="B732" s="36"/>
      <c r="H732" s="35"/>
    </row>
    <row r="733" spans="2:8" x14ac:dyDescent="0.3">
      <c r="B733" s="36"/>
      <c r="H733" s="35"/>
    </row>
    <row r="734" spans="2:8" x14ac:dyDescent="0.3">
      <c r="B734" s="36"/>
      <c r="H734" s="35"/>
    </row>
    <row r="735" spans="2:8" x14ac:dyDescent="0.3">
      <c r="B735" s="36"/>
      <c r="H735" s="35"/>
    </row>
    <row r="736" spans="2:8" x14ac:dyDescent="0.3">
      <c r="B736" s="36"/>
      <c r="H736" s="35"/>
    </row>
    <row r="737" spans="2:8" x14ac:dyDescent="0.3">
      <c r="B737" s="36"/>
      <c r="H737" s="35"/>
    </row>
    <row r="738" spans="2:8" x14ac:dyDescent="0.3">
      <c r="B738" s="36"/>
      <c r="H738" s="35"/>
    </row>
    <row r="739" spans="2:8" x14ac:dyDescent="0.3">
      <c r="B739" s="36"/>
      <c r="H739" s="35"/>
    </row>
    <row r="740" spans="2:8" x14ac:dyDescent="0.3">
      <c r="B740" s="36"/>
      <c r="H740" s="35"/>
    </row>
    <row r="741" spans="2:8" x14ac:dyDescent="0.3">
      <c r="B741" s="36"/>
      <c r="H741" s="35"/>
    </row>
    <row r="742" spans="2:8" x14ac:dyDescent="0.3">
      <c r="B742" s="36"/>
      <c r="H742" s="35"/>
    </row>
    <row r="743" spans="2:8" x14ac:dyDescent="0.3">
      <c r="B743" s="36"/>
      <c r="H743" s="35"/>
    </row>
    <row r="744" spans="2:8" x14ac:dyDescent="0.3">
      <c r="B744" s="36"/>
      <c r="H744" s="35"/>
    </row>
    <row r="745" spans="2:8" x14ac:dyDescent="0.3">
      <c r="B745" s="36"/>
      <c r="H745" s="35"/>
    </row>
    <row r="746" spans="2:8" x14ac:dyDescent="0.3">
      <c r="B746" s="36"/>
      <c r="H746" s="35"/>
    </row>
    <row r="747" spans="2:8" x14ac:dyDescent="0.3">
      <c r="B747" s="36"/>
      <c r="H747" s="35"/>
    </row>
    <row r="748" spans="2:8" x14ac:dyDescent="0.3">
      <c r="B748" s="36"/>
      <c r="H748" s="35"/>
    </row>
    <row r="749" spans="2:8" x14ac:dyDescent="0.3">
      <c r="B749" s="36"/>
      <c r="H749" s="35"/>
    </row>
    <row r="750" spans="2:8" x14ac:dyDescent="0.3">
      <c r="B750" s="36"/>
      <c r="H750" s="35"/>
    </row>
    <row r="751" spans="2:8" x14ac:dyDescent="0.3">
      <c r="B751" s="36"/>
      <c r="H751" s="35"/>
    </row>
    <row r="752" spans="2:8" x14ac:dyDescent="0.3">
      <c r="B752" s="36"/>
      <c r="H752" s="35"/>
    </row>
    <row r="753" spans="2:8" x14ac:dyDescent="0.3">
      <c r="B753" s="36"/>
      <c r="H753" s="35"/>
    </row>
    <row r="754" spans="2:8" x14ac:dyDescent="0.3">
      <c r="B754" s="36"/>
      <c r="H754" s="35"/>
    </row>
    <row r="755" spans="2:8" x14ac:dyDescent="0.3">
      <c r="B755" s="36"/>
      <c r="H755" s="35"/>
    </row>
    <row r="756" spans="2:8" x14ac:dyDescent="0.3">
      <c r="B756" s="36"/>
      <c r="H756" s="35"/>
    </row>
    <row r="757" spans="2:8" x14ac:dyDescent="0.3">
      <c r="B757" s="36"/>
      <c r="H757" s="35"/>
    </row>
    <row r="758" spans="2:8" x14ac:dyDescent="0.3">
      <c r="B758" s="36"/>
      <c r="H758" s="35"/>
    </row>
    <row r="759" spans="2:8" x14ac:dyDescent="0.3">
      <c r="B759" s="36"/>
      <c r="H759" s="35"/>
    </row>
    <row r="760" spans="2:8" x14ac:dyDescent="0.3">
      <c r="B760" s="36"/>
      <c r="H760" s="35"/>
    </row>
    <row r="761" spans="2:8" x14ac:dyDescent="0.3">
      <c r="B761" s="36"/>
      <c r="H761" s="35"/>
    </row>
    <row r="762" spans="2:8" x14ac:dyDescent="0.3">
      <c r="B762" s="36"/>
      <c r="H762" s="35"/>
    </row>
    <row r="763" spans="2:8" x14ac:dyDescent="0.3">
      <c r="B763" s="36"/>
      <c r="H763" s="35"/>
    </row>
    <row r="764" spans="2:8" x14ac:dyDescent="0.3">
      <c r="B764" s="36"/>
      <c r="H764" s="35"/>
    </row>
    <row r="765" spans="2:8" x14ac:dyDescent="0.3">
      <c r="B765" s="36"/>
      <c r="H765" s="35"/>
    </row>
    <row r="766" spans="2:8" x14ac:dyDescent="0.3">
      <c r="B766" s="36"/>
      <c r="H766" s="35"/>
    </row>
    <row r="767" spans="2:8" x14ac:dyDescent="0.3">
      <c r="B767" s="36"/>
      <c r="H767" s="35"/>
    </row>
    <row r="768" spans="2:8" x14ac:dyDescent="0.3">
      <c r="B768" s="36"/>
      <c r="H768" s="35"/>
    </row>
    <row r="769" spans="2:8" x14ac:dyDescent="0.3">
      <c r="B769" s="36"/>
      <c r="H769" s="35"/>
    </row>
    <row r="770" spans="2:8" x14ac:dyDescent="0.3">
      <c r="B770" s="36"/>
      <c r="H770" s="35"/>
    </row>
    <row r="771" spans="2:8" x14ac:dyDescent="0.3">
      <c r="B771" s="36"/>
      <c r="H771" s="35"/>
    </row>
    <row r="772" spans="2:8" x14ac:dyDescent="0.3">
      <c r="B772" s="36"/>
      <c r="H772" s="35"/>
    </row>
    <row r="773" spans="2:8" x14ac:dyDescent="0.3">
      <c r="B773" s="36"/>
      <c r="H773" s="35"/>
    </row>
    <row r="774" spans="2:8" x14ac:dyDescent="0.3">
      <c r="B774" s="36"/>
      <c r="H774" s="35"/>
    </row>
    <row r="775" spans="2:8" x14ac:dyDescent="0.3">
      <c r="B775" s="36"/>
      <c r="H775" s="35"/>
    </row>
    <row r="776" spans="2:8" x14ac:dyDescent="0.3">
      <c r="B776" s="36"/>
      <c r="H776" s="35"/>
    </row>
    <row r="777" spans="2:8" x14ac:dyDescent="0.3">
      <c r="B777" s="36"/>
      <c r="H777" s="35"/>
    </row>
    <row r="778" spans="2:8" x14ac:dyDescent="0.3">
      <c r="B778" s="36"/>
      <c r="H778" s="35"/>
    </row>
    <row r="779" spans="2:8" x14ac:dyDescent="0.3">
      <c r="B779" s="36"/>
      <c r="H779" s="35"/>
    </row>
    <row r="780" spans="2:8" x14ac:dyDescent="0.3">
      <c r="B780" s="36"/>
      <c r="H780" s="35"/>
    </row>
    <row r="781" spans="2:8" x14ac:dyDescent="0.3">
      <c r="B781" s="36"/>
      <c r="H781" s="35"/>
    </row>
    <row r="782" spans="2:8" x14ac:dyDescent="0.3">
      <c r="B782" s="36"/>
      <c r="H782" s="35"/>
    </row>
    <row r="783" spans="2:8" x14ac:dyDescent="0.3">
      <c r="B783" s="36"/>
      <c r="H783" s="35"/>
    </row>
    <row r="784" spans="2:8" x14ac:dyDescent="0.3">
      <c r="B784" s="36"/>
      <c r="H784" s="35"/>
    </row>
    <row r="785" spans="2:8" x14ac:dyDescent="0.3">
      <c r="B785" s="36"/>
      <c r="H785" s="35"/>
    </row>
    <row r="786" spans="2:8" x14ac:dyDescent="0.3">
      <c r="B786" s="36"/>
      <c r="H786" s="35"/>
    </row>
    <row r="787" spans="2:8" x14ac:dyDescent="0.3">
      <c r="B787" s="36"/>
      <c r="H787" s="35"/>
    </row>
    <row r="788" spans="2:8" x14ac:dyDescent="0.3">
      <c r="B788" s="36"/>
      <c r="H788" s="35"/>
    </row>
    <row r="789" spans="2:8" x14ac:dyDescent="0.3">
      <c r="B789" s="36"/>
      <c r="H789" s="35"/>
    </row>
    <row r="790" spans="2:8" x14ac:dyDescent="0.3">
      <c r="B790" s="36"/>
      <c r="H790" s="35"/>
    </row>
    <row r="791" spans="2:8" x14ac:dyDescent="0.3">
      <c r="B791" s="36"/>
      <c r="H791" s="35"/>
    </row>
    <row r="792" spans="2:8" x14ac:dyDescent="0.3">
      <c r="B792" s="36"/>
      <c r="H792" s="35"/>
    </row>
    <row r="793" spans="2:8" x14ac:dyDescent="0.3">
      <c r="B793" s="36"/>
      <c r="H793" s="35"/>
    </row>
    <row r="794" spans="2:8" x14ac:dyDescent="0.3">
      <c r="B794" s="36"/>
      <c r="H794" s="35"/>
    </row>
    <row r="795" spans="2:8" x14ac:dyDescent="0.3">
      <c r="B795" s="36"/>
      <c r="H795" s="35"/>
    </row>
    <row r="796" spans="2:8" x14ac:dyDescent="0.3">
      <c r="B796" s="36"/>
      <c r="H796" s="35"/>
    </row>
    <row r="797" spans="2:8" x14ac:dyDescent="0.3">
      <c r="B797" s="36"/>
      <c r="H797" s="35"/>
    </row>
    <row r="798" spans="2:8" x14ac:dyDescent="0.3">
      <c r="B798" s="36"/>
      <c r="H798" s="35"/>
    </row>
    <row r="799" spans="2:8" x14ac:dyDescent="0.3">
      <c r="B799" s="36"/>
      <c r="H799" s="35"/>
    </row>
    <row r="800" spans="2:8" x14ac:dyDescent="0.3">
      <c r="B800" s="36"/>
      <c r="H800" s="35"/>
    </row>
    <row r="801" spans="2:8" x14ac:dyDescent="0.3">
      <c r="B801" s="36"/>
      <c r="H801" s="35"/>
    </row>
    <row r="802" spans="2:8" x14ac:dyDescent="0.3">
      <c r="B802" s="36"/>
      <c r="H802" s="35"/>
    </row>
    <row r="803" spans="2:8" x14ac:dyDescent="0.3">
      <c r="B803" s="36"/>
      <c r="H803" s="35"/>
    </row>
    <row r="804" spans="2:8" x14ac:dyDescent="0.3">
      <c r="B804" s="36"/>
      <c r="H804" s="35"/>
    </row>
    <row r="805" spans="2:8" x14ac:dyDescent="0.3">
      <c r="B805" s="36"/>
      <c r="H805" s="35"/>
    </row>
    <row r="806" spans="2:8" x14ac:dyDescent="0.3">
      <c r="B806" s="36"/>
      <c r="H806" s="35"/>
    </row>
    <row r="807" spans="2:8" x14ac:dyDescent="0.3">
      <c r="B807" s="36"/>
      <c r="H807" s="35"/>
    </row>
    <row r="808" spans="2:8" x14ac:dyDescent="0.3">
      <c r="B808" s="36"/>
      <c r="H808" s="35"/>
    </row>
    <row r="809" spans="2:8" x14ac:dyDescent="0.3">
      <c r="B809" s="36"/>
      <c r="H809" s="35"/>
    </row>
    <row r="810" spans="2:8" x14ac:dyDescent="0.3">
      <c r="B810" s="36"/>
      <c r="H810" s="35"/>
    </row>
    <row r="811" spans="2:8" x14ac:dyDescent="0.3">
      <c r="B811" s="36"/>
      <c r="H811" s="35"/>
    </row>
    <row r="812" spans="2:8" x14ac:dyDescent="0.3">
      <c r="B812" s="36"/>
      <c r="H812" s="35"/>
    </row>
    <row r="813" spans="2:8" x14ac:dyDescent="0.3">
      <c r="B813" s="36"/>
      <c r="H813" s="35"/>
    </row>
    <row r="814" spans="2:8" x14ac:dyDescent="0.3">
      <c r="B814" s="36"/>
      <c r="H814" s="35"/>
    </row>
    <row r="815" spans="2:8" x14ac:dyDescent="0.3">
      <c r="B815" s="36"/>
      <c r="H815" s="35"/>
    </row>
    <row r="816" spans="2:8" x14ac:dyDescent="0.3">
      <c r="B816" s="36"/>
      <c r="H816" s="35"/>
    </row>
    <row r="817" spans="2:8" x14ac:dyDescent="0.3">
      <c r="B817" s="36"/>
      <c r="H817" s="35"/>
    </row>
    <row r="818" spans="2:8" x14ac:dyDescent="0.3">
      <c r="B818" s="36"/>
      <c r="H818" s="35"/>
    </row>
    <row r="819" spans="2:8" x14ac:dyDescent="0.3">
      <c r="B819" s="36"/>
      <c r="H819" s="35"/>
    </row>
    <row r="820" spans="2:8" x14ac:dyDescent="0.3">
      <c r="B820" s="36"/>
      <c r="H820" s="35"/>
    </row>
    <row r="821" spans="2:8" x14ac:dyDescent="0.3">
      <c r="B821" s="36"/>
      <c r="H821" s="35"/>
    </row>
    <row r="822" spans="2:8" x14ac:dyDescent="0.3">
      <c r="B822" s="36"/>
      <c r="H822" s="35"/>
    </row>
    <row r="823" spans="2:8" x14ac:dyDescent="0.3">
      <c r="B823" s="36"/>
      <c r="H823" s="35"/>
    </row>
    <row r="824" spans="2:8" x14ac:dyDescent="0.3">
      <c r="B824" s="36"/>
      <c r="H824" s="35"/>
    </row>
    <row r="825" spans="2:8" x14ac:dyDescent="0.3">
      <c r="B825" s="36"/>
      <c r="H825" s="35"/>
    </row>
    <row r="826" spans="2:8" x14ac:dyDescent="0.3">
      <c r="B826" s="36"/>
      <c r="H826" s="35"/>
    </row>
    <row r="827" spans="2:8" x14ac:dyDescent="0.3">
      <c r="B827" s="36"/>
      <c r="H827" s="35"/>
    </row>
    <row r="828" spans="2:8" x14ac:dyDescent="0.3">
      <c r="B828" s="36"/>
      <c r="H828" s="35"/>
    </row>
    <row r="829" spans="2:8" x14ac:dyDescent="0.3">
      <c r="B829" s="36"/>
      <c r="H829" s="35"/>
    </row>
    <row r="830" spans="2:8" x14ac:dyDescent="0.3">
      <c r="B830" s="36"/>
      <c r="H830" s="35"/>
    </row>
    <row r="831" spans="2:8" x14ac:dyDescent="0.3">
      <c r="B831" s="36"/>
      <c r="H831" s="35"/>
    </row>
    <row r="832" spans="2:8" x14ac:dyDescent="0.3">
      <c r="B832" s="36"/>
      <c r="H832" s="35"/>
    </row>
    <row r="833" spans="2:8" x14ac:dyDescent="0.3">
      <c r="B833" s="36"/>
      <c r="H833" s="35"/>
    </row>
    <row r="834" spans="2:8" x14ac:dyDescent="0.3">
      <c r="B834" s="36"/>
      <c r="H834" s="35"/>
    </row>
    <row r="835" spans="2:8" x14ac:dyDescent="0.3">
      <c r="B835" s="36"/>
      <c r="H835" s="35"/>
    </row>
    <row r="836" spans="2:8" x14ac:dyDescent="0.3">
      <c r="B836" s="36"/>
      <c r="H836" s="35"/>
    </row>
    <row r="837" spans="2:8" x14ac:dyDescent="0.3">
      <c r="B837" s="36"/>
      <c r="H837" s="35"/>
    </row>
    <row r="838" spans="2:8" x14ac:dyDescent="0.3">
      <c r="B838" s="36"/>
      <c r="H838" s="35"/>
    </row>
    <row r="839" spans="2:8" x14ac:dyDescent="0.3">
      <c r="B839" s="36"/>
      <c r="H839" s="35"/>
    </row>
    <row r="840" spans="2:8" x14ac:dyDescent="0.3">
      <c r="B840" s="36"/>
      <c r="H840" s="35"/>
    </row>
    <row r="841" spans="2:8" x14ac:dyDescent="0.3">
      <c r="B841" s="36"/>
      <c r="H841" s="35"/>
    </row>
    <row r="842" spans="2:8" x14ac:dyDescent="0.3">
      <c r="B842" s="36"/>
      <c r="H842" s="35"/>
    </row>
    <row r="843" spans="2:8" x14ac:dyDescent="0.3">
      <c r="B843" s="36"/>
      <c r="H843" s="35"/>
    </row>
    <row r="844" spans="2:8" x14ac:dyDescent="0.3">
      <c r="B844" s="36"/>
      <c r="H844" s="35"/>
    </row>
    <row r="845" spans="2:8" x14ac:dyDescent="0.3">
      <c r="B845" s="36"/>
      <c r="H845" s="35"/>
    </row>
    <row r="846" spans="2:8" x14ac:dyDescent="0.3">
      <c r="B846" s="36"/>
      <c r="H846" s="35"/>
    </row>
    <row r="847" spans="2:8" x14ac:dyDescent="0.3">
      <c r="B847" s="36"/>
      <c r="H847" s="35"/>
    </row>
    <row r="848" spans="2:8" x14ac:dyDescent="0.3">
      <c r="B848" s="36"/>
      <c r="H848" s="35"/>
    </row>
    <row r="849" spans="2:8" x14ac:dyDescent="0.3">
      <c r="B849" s="36"/>
      <c r="H849" s="35"/>
    </row>
    <row r="850" spans="2:8" x14ac:dyDescent="0.3">
      <c r="B850" s="36"/>
      <c r="H850" s="35"/>
    </row>
    <row r="851" spans="2:8" x14ac:dyDescent="0.3">
      <c r="B851" s="36"/>
      <c r="H851" s="35"/>
    </row>
    <row r="852" spans="2:8" x14ac:dyDescent="0.3">
      <c r="B852" s="36"/>
      <c r="H852" s="35"/>
    </row>
    <row r="853" spans="2:8" x14ac:dyDescent="0.3">
      <c r="B853" s="36"/>
      <c r="H853" s="35"/>
    </row>
    <row r="854" spans="2:8" x14ac:dyDescent="0.3">
      <c r="B854" s="36"/>
      <c r="H854" s="35"/>
    </row>
    <row r="855" spans="2:8" x14ac:dyDescent="0.3">
      <c r="B855" s="36"/>
      <c r="H855" s="35"/>
    </row>
    <row r="856" spans="2:8" x14ac:dyDescent="0.3">
      <c r="B856" s="36"/>
      <c r="H856" s="35"/>
    </row>
    <row r="857" spans="2:8" x14ac:dyDescent="0.3">
      <c r="B857" s="36"/>
      <c r="H857" s="35"/>
    </row>
    <row r="858" spans="2:8" x14ac:dyDescent="0.3">
      <c r="B858" s="36"/>
      <c r="H858" s="35"/>
    </row>
    <row r="859" spans="2:8" x14ac:dyDescent="0.3">
      <c r="B859" s="36"/>
      <c r="H859" s="35"/>
    </row>
    <row r="860" spans="2:8" x14ac:dyDescent="0.3">
      <c r="B860" s="36"/>
      <c r="H860" s="35"/>
    </row>
    <row r="861" spans="2:8" x14ac:dyDescent="0.3">
      <c r="B861" s="36"/>
      <c r="H861" s="35"/>
    </row>
    <row r="862" spans="2:8" x14ac:dyDescent="0.3">
      <c r="B862" s="36"/>
      <c r="H862" s="35"/>
    </row>
    <row r="863" spans="2:8" x14ac:dyDescent="0.3">
      <c r="B863" s="36"/>
      <c r="H863" s="35"/>
    </row>
    <row r="864" spans="2:8" x14ac:dyDescent="0.3">
      <c r="B864" s="36"/>
      <c r="H864" s="35"/>
    </row>
    <row r="865" spans="2:8" x14ac:dyDescent="0.3">
      <c r="B865" s="36"/>
      <c r="H865" s="35"/>
    </row>
    <row r="866" spans="2:8" x14ac:dyDescent="0.3">
      <c r="B866" s="36"/>
      <c r="H866" s="35"/>
    </row>
    <row r="867" spans="2:8" x14ac:dyDescent="0.3">
      <c r="B867" s="36"/>
      <c r="H867" s="35"/>
    </row>
    <row r="868" spans="2:8" x14ac:dyDescent="0.3">
      <c r="B868" s="36"/>
      <c r="H868" s="35"/>
    </row>
    <row r="869" spans="2:8" x14ac:dyDescent="0.3">
      <c r="B869" s="36"/>
      <c r="H869" s="35"/>
    </row>
    <row r="870" spans="2:8" x14ac:dyDescent="0.3">
      <c r="B870" s="36"/>
      <c r="H870" s="35"/>
    </row>
    <row r="871" spans="2:8" x14ac:dyDescent="0.3">
      <c r="B871" s="36"/>
      <c r="H871" s="35"/>
    </row>
    <row r="872" spans="2:8" x14ac:dyDescent="0.3">
      <c r="B872" s="36"/>
      <c r="H872" s="35"/>
    </row>
    <row r="873" spans="2:8" x14ac:dyDescent="0.3">
      <c r="B873" s="36"/>
      <c r="H873" s="35"/>
    </row>
    <row r="874" spans="2:8" x14ac:dyDescent="0.3">
      <c r="B874" s="36"/>
      <c r="H874" s="35"/>
    </row>
    <row r="875" spans="2:8" x14ac:dyDescent="0.3">
      <c r="B875" s="36"/>
      <c r="H875" s="35"/>
    </row>
    <row r="876" spans="2:8" x14ac:dyDescent="0.3">
      <c r="B876" s="36"/>
      <c r="H876" s="35"/>
    </row>
    <row r="877" spans="2:8" x14ac:dyDescent="0.3">
      <c r="B877" s="36"/>
      <c r="H877" s="35"/>
    </row>
    <row r="878" spans="2:8" x14ac:dyDescent="0.3">
      <c r="B878" s="36"/>
      <c r="H878" s="35"/>
    </row>
    <row r="879" spans="2:8" x14ac:dyDescent="0.3">
      <c r="B879" s="36"/>
      <c r="H879" s="35"/>
    </row>
    <row r="880" spans="2:8" x14ac:dyDescent="0.3">
      <c r="B880" s="36"/>
      <c r="H880" s="35"/>
    </row>
    <row r="881" spans="2:8" x14ac:dyDescent="0.3">
      <c r="B881" s="36"/>
      <c r="H881" s="35"/>
    </row>
    <row r="882" spans="2:8" x14ac:dyDescent="0.3">
      <c r="B882" s="36"/>
      <c r="H882" s="35"/>
    </row>
    <row r="883" spans="2:8" x14ac:dyDescent="0.3">
      <c r="B883" s="36"/>
      <c r="H883" s="35"/>
    </row>
    <row r="884" spans="2:8" x14ac:dyDescent="0.3">
      <c r="B884" s="36"/>
      <c r="H884" s="35"/>
    </row>
    <row r="885" spans="2:8" x14ac:dyDescent="0.3">
      <c r="B885" s="36"/>
      <c r="H885" s="35"/>
    </row>
    <row r="886" spans="2:8" x14ac:dyDescent="0.3">
      <c r="B886" s="36"/>
      <c r="H886" s="35"/>
    </row>
    <row r="887" spans="2:8" x14ac:dyDescent="0.3">
      <c r="B887" s="36"/>
      <c r="H887" s="35"/>
    </row>
    <row r="888" spans="2:8" x14ac:dyDescent="0.3">
      <c r="B888" s="36"/>
      <c r="H888" s="35"/>
    </row>
    <row r="889" spans="2:8" x14ac:dyDescent="0.3">
      <c r="B889" s="36"/>
      <c r="H889" s="35"/>
    </row>
    <row r="890" spans="2:8" x14ac:dyDescent="0.3">
      <c r="B890" s="36"/>
      <c r="H890" s="35"/>
    </row>
    <row r="891" spans="2:8" x14ac:dyDescent="0.3">
      <c r="B891" s="36"/>
      <c r="H891" s="35"/>
    </row>
    <row r="892" spans="2:8" x14ac:dyDescent="0.3">
      <c r="B892" s="36"/>
      <c r="H892" s="35"/>
    </row>
    <row r="893" spans="2:8" x14ac:dyDescent="0.3">
      <c r="B893" s="36"/>
      <c r="H893" s="35"/>
    </row>
    <row r="894" spans="2:8" x14ac:dyDescent="0.3">
      <c r="B894" s="36"/>
      <c r="H894" s="35"/>
    </row>
    <row r="895" spans="2:8" x14ac:dyDescent="0.3">
      <c r="B895" s="36"/>
      <c r="H895" s="35"/>
    </row>
    <row r="896" spans="2:8" x14ac:dyDescent="0.3">
      <c r="B896" s="36"/>
      <c r="H896" s="35"/>
    </row>
    <row r="897" spans="2:8" x14ac:dyDescent="0.3">
      <c r="B897" s="36"/>
      <c r="H897" s="35"/>
    </row>
    <row r="898" spans="2:8" x14ac:dyDescent="0.3">
      <c r="B898" s="36"/>
      <c r="H898" s="35"/>
    </row>
    <row r="899" spans="2:8" x14ac:dyDescent="0.3">
      <c r="B899" s="36"/>
      <c r="H899" s="35"/>
    </row>
    <row r="900" spans="2:8" x14ac:dyDescent="0.3">
      <c r="B900" s="36"/>
      <c r="H900" s="35"/>
    </row>
    <row r="901" spans="2:8" x14ac:dyDescent="0.3">
      <c r="B901" s="36"/>
      <c r="H901" s="35"/>
    </row>
    <row r="902" spans="2:8" x14ac:dyDescent="0.3">
      <c r="B902" s="36"/>
      <c r="H902" s="35"/>
    </row>
    <row r="903" spans="2:8" x14ac:dyDescent="0.3">
      <c r="B903" s="36"/>
      <c r="H903" s="35"/>
    </row>
    <row r="904" spans="2:8" x14ac:dyDescent="0.3">
      <c r="B904" s="36"/>
      <c r="H904" s="35"/>
    </row>
    <row r="905" spans="2:8" x14ac:dyDescent="0.3">
      <c r="B905" s="36"/>
      <c r="H905" s="35"/>
    </row>
    <row r="906" spans="2:8" x14ac:dyDescent="0.3">
      <c r="B906" s="36"/>
      <c r="H906" s="35"/>
    </row>
    <row r="907" spans="2:8" x14ac:dyDescent="0.3">
      <c r="B907" s="36"/>
      <c r="H907" s="35"/>
    </row>
    <row r="908" spans="2:8" x14ac:dyDescent="0.3">
      <c r="B908" s="36"/>
      <c r="H908" s="35"/>
    </row>
    <row r="909" spans="2:8" x14ac:dyDescent="0.3">
      <c r="B909" s="36"/>
      <c r="H909" s="35"/>
    </row>
    <row r="910" spans="2:8" x14ac:dyDescent="0.3">
      <c r="B910" s="36"/>
      <c r="H910" s="35"/>
    </row>
    <row r="911" spans="2:8" x14ac:dyDescent="0.3">
      <c r="B911" s="36"/>
      <c r="H911" s="35"/>
    </row>
    <row r="912" spans="2:8" x14ac:dyDescent="0.3">
      <c r="B912" s="36"/>
      <c r="H912" s="35"/>
    </row>
    <row r="913" spans="2:8" x14ac:dyDescent="0.3">
      <c r="B913" s="36"/>
      <c r="H913" s="35"/>
    </row>
    <row r="914" spans="2:8" x14ac:dyDescent="0.3">
      <c r="B914" s="36"/>
      <c r="H914" s="35"/>
    </row>
    <row r="915" spans="2:8" x14ac:dyDescent="0.3">
      <c r="B915" s="36"/>
      <c r="H915" s="35"/>
    </row>
    <row r="916" spans="2:8" x14ac:dyDescent="0.3">
      <c r="B916" s="36"/>
      <c r="H916" s="35"/>
    </row>
    <row r="917" spans="2:8" x14ac:dyDescent="0.3">
      <c r="B917" s="36"/>
      <c r="H917" s="35"/>
    </row>
    <row r="918" spans="2:8" x14ac:dyDescent="0.3">
      <c r="B918" s="36"/>
      <c r="H918" s="35"/>
    </row>
    <row r="919" spans="2:8" x14ac:dyDescent="0.3">
      <c r="B919" s="36"/>
      <c r="H919" s="35"/>
    </row>
    <row r="920" spans="2:8" x14ac:dyDescent="0.3">
      <c r="B920" s="36"/>
      <c r="H920" s="35"/>
    </row>
    <row r="921" spans="2:8" x14ac:dyDescent="0.3">
      <c r="B921" s="36"/>
      <c r="H921" s="35"/>
    </row>
    <row r="922" spans="2:8" x14ac:dyDescent="0.3">
      <c r="B922" s="36"/>
      <c r="H922" s="35"/>
    </row>
    <row r="923" spans="2:8" x14ac:dyDescent="0.3">
      <c r="B923" s="36"/>
      <c r="H923" s="35"/>
    </row>
    <row r="924" spans="2:8" x14ac:dyDescent="0.3">
      <c r="B924" s="36"/>
      <c r="H924" s="35"/>
    </row>
    <row r="925" spans="2:8" x14ac:dyDescent="0.3">
      <c r="B925" s="36"/>
      <c r="H925" s="35"/>
    </row>
    <row r="926" spans="2:8" x14ac:dyDescent="0.3">
      <c r="B926" s="36"/>
      <c r="H926" s="35"/>
    </row>
    <row r="927" spans="2:8" x14ac:dyDescent="0.3">
      <c r="B927" s="36"/>
      <c r="H927" s="35"/>
    </row>
    <row r="928" spans="2:8" x14ac:dyDescent="0.3">
      <c r="B928" s="36"/>
      <c r="H928" s="35"/>
    </row>
    <row r="929" spans="2:8" x14ac:dyDescent="0.3">
      <c r="B929" s="36"/>
      <c r="H929" s="35"/>
    </row>
    <row r="930" spans="2:8" x14ac:dyDescent="0.3">
      <c r="B930" s="36"/>
      <c r="H930" s="35"/>
    </row>
    <row r="931" spans="2:8" x14ac:dyDescent="0.3">
      <c r="B931" s="36"/>
      <c r="H931" s="35"/>
    </row>
    <row r="932" spans="2:8" x14ac:dyDescent="0.3">
      <c r="B932" s="36"/>
      <c r="H932" s="35"/>
    </row>
    <row r="933" spans="2:8" x14ac:dyDescent="0.3">
      <c r="B933" s="36"/>
      <c r="H933" s="35"/>
    </row>
    <row r="934" spans="2:8" x14ac:dyDescent="0.3">
      <c r="B934" s="36"/>
      <c r="H934" s="35"/>
    </row>
    <row r="935" spans="2:8" x14ac:dyDescent="0.3">
      <c r="B935" s="36"/>
      <c r="H935" s="35"/>
    </row>
    <row r="936" spans="2:8" x14ac:dyDescent="0.3">
      <c r="B936" s="36"/>
      <c r="H936" s="35"/>
    </row>
    <row r="937" spans="2:8" x14ac:dyDescent="0.3">
      <c r="B937" s="36"/>
      <c r="H937" s="35"/>
    </row>
    <row r="938" spans="2:8" x14ac:dyDescent="0.3">
      <c r="B938" s="36"/>
      <c r="H938" s="35"/>
    </row>
    <row r="939" spans="2:8" x14ac:dyDescent="0.3">
      <c r="B939" s="36"/>
      <c r="H939" s="35"/>
    </row>
    <row r="940" spans="2:8" x14ac:dyDescent="0.3">
      <c r="B940" s="36"/>
      <c r="H940" s="35"/>
    </row>
    <row r="941" spans="2:8" x14ac:dyDescent="0.3">
      <c r="B941" s="36"/>
      <c r="H941" s="35"/>
    </row>
    <row r="942" spans="2:8" x14ac:dyDescent="0.3">
      <c r="B942" s="36"/>
      <c r="H942" s="35"/>
    </row>
    <row r="943" spans="2:8" x14ac:dyDescent="0.3">
      <c r="B943" s="36"/>
      <c r="H943" s="35"/>
    </row>
    <row r="944" spans="2:8" x14ac:dyDescent="0.3">
      <c r="B944" s="36"/>
      <c r="H944" s="35"/>
    </row>
    <row r="945" spans="2:8" x14ac:dyDescent="0.3">
      <c r="B945" s="36"/>
      <c r="H945" s="35"/>
    </row>
    <row r="946" spans="2:8" x14ac:dyDescent="0.3">
      <c r="B946" s="36"/>
      <c r="H946" s="35"/>
    </row>
    <row r="947" spans="2:8" x14ac:dyDescent="0.3">
      <c r="B947" s="36"/>
      <c r="H947" s="35"/>
    </row>
    <row r="948" spans="2:8" x14ac:dyDescent="0.3">
      <c r="B948" s="36"/>
      <c r="H948" s="35"/>
    </row>
    <row r="949" spans="2:8" x14ac:dyDescent="0.3">
      <c r="B949" s="36"/>
      <c r="H949" s="35"/>
    </row>
    <row r="950" spans="2:8" x14ac:dyDescent="0.3">
      <c r="B950" s="36"/>
      <c r="H950" s="35"/>
    </row>
    <row r="951" spans="2:8" x14ac:dyDescent="0.3">
      <c r="B951" s="36"/>
      <c r="H951" s="35"/>
    </row>
    <row r="952" spans="2:8" x14ac:dyDescent="0.3">
      <c r="B952" s="36"/>
      <c r="H952" s="35"/>
    </row>
    <row r="953" spans="2:8" x14ac:dyDescent="0.3">
      <c r="B953" s="36"/>
      <c r="H953" s="35"/>
    </row>
    <row r="954" spans="2:8" x14ac:dyDescent="0.3">
      <c r="B954" s="36"/>
      <c r="H954" s="35"/>
    </row>
    <row r="955" spans="2:8" x14ac:dyDescent="0.3">
      <c r="B955" s="36"/>
      <c r="H955" s="35"/>
    </row>
    <row r="956" spans="2:8" x14ac:dyDescent="0.3">
      <c r="B956" s="36"/>
      <c r="H956" s="35"/>
    </row>
    <row r="957" spans="2:8" x14ac:dyDescent="0.3">
      <c r="B957" s="36"/>
      <c r="H957" s="35"/>
    </row>
    <row r="958" spans="2:8" x14ac:dyDescent="0.3">
      <c r="B958" s="36"/>
      <c r="H958" s="35"/>
    </row>
    <row r="959" spans="2:8" x14ac:dyDescent="0.3">
      <c r="B959" s="36"/>
      <c r="H959" s="35"/>
    </row>
    <row r="960" spans="2:8" x14ac:dyDescent="0.3">
      <c r="B960" s="36"/>
      <c r="H960" s="35"/>
    </row>
    <row r="961" spans="2:8" x14ac:dyDescent="0.3">
      <c r="B961" s="36"/>
      <c r="H961" s="35"/>
    </row>
    <row r="962" spans="2:8" x14ac:dyDescent="0.3">
      <c r="B962" s="36"/>
      <c r="H962" s="35"/>
    </row>
    <row r="963" spans="2:8" x14ac:dyDescent="0.3">
      <c r="B963" s="36"/>
      <c r="H963" s="35"/>
    </row>
    <row r="964" spans="2:8" x14ac:dyDescent="0.3">
      <c r="B964" s="36"/>
      <c r="H964" s="35"/>
    </row>
    <row r="965" spans="2:8" x14ac:dyDescent="0.3">
      <c r="B965" s="36"/>
      <c r="H965" s="35"/>
    </row>
    <row r="966" spans="2:8" x14ac:dyDescent="0.3">
      <c r="B966" s="36"/>
      <c r="H966" s="35"/>
    </row>
    <row r="967" spans="2:8" x14ac:dyDescent="0.3">
      <c r="B967" s="36"/>
      <c r="H967" s="35"/>
    </row>
    <row r="968" spans="2:8" x14ac:dyDescent="0.3">
      <c r="B968" s="36"/>
      <c r="H968" s="35"/>
    </row>
    <row r="969" spans="2:8" x14ac:dyDescent="0.3">
      <c r="B969" s="36"/>
      <c r="H969" s="35"/>
    </row>
    <row r="970" spans="2:8" x14ac:dyDescent="0.3">
      <c r="B970" s="36"/>
      <c r="H970" s="35"/>
    </row>
    <row r="971" spans="2:8" x14ac:dyDescent="0.3">
      <c r="B971" s="36"/>
      <c r="H971" s="35"/>
    </row>
    <row r="972" spans="2:8" x14ac:dyDescent="0.3">
      <c r="B972" s="36"/>
      <c r="H972" s="35"/>
    </row>
    <row r="973" spans="2:8" x14ac:dyDescent="0.3">
      <c r="B973" s="36"/>
      <c r="H973" s="35"/>
    </row>
    <row r="974" spans="2:8" x14ac:dyDescent="0.3">
      <c r="B974" s="36"/>
      <c r="H974" s="35"/>
    </row>
    <row r="975" spans="2:8" x14ac:dyDescent="0.3">
      <c r="B975" s="36"/>
      <c r="H975" s="35"/>
    </row>
    <row r="976" spans="2:8" x14ac:dyDescent="0.3">
      <c r="B976" s="36"/>
      <c r="H976" s="35"/>
    </row>
    <row r="977" spans="2:8" x14ac:dyDescent="0.3">
      <c r="B977" s="36"/>
      <c r="H977" s="35"/>
    </row>
    <row r="978" spans="2:8" x14ac:dyDescent="0.3">
      <c r="B978" s="36"/>
      <c r="H978" s="35"/>
    </row>
    <row r="979" spans="2:8" x14ac:dyDescent="0.3">
      <c r="B979" s="36"/>
      <c r="H979" s="35"/>
    </row>
    <row r="980" spans="2:8" x14ac:dyDescent="0.3">
      <c r="B980" s="36"/>
      <c r="H980" s="35"/>
    </row>
    <row r="981" spans="2:8" x14ac:dyDescent="0.3">
      <c r="B981" s="36"/>
      <c r="H981" s="35"/>
    </row>
    <row r="982" spans="2:8" x14ac:dyDescent="0.3">
      <c r="B982" s="36"/>
      <c r="H982" s="35"/>
    </row>
    <row r="983" spans="2:8" x14ac:dyDescent="0.3">
      <c r="B983" s="36"/>
      <c r="H983" s="35"/>
    </row>
    <row r="984" spans="2:8" x14ac:dyDescent="0.3">
      <c r="B984" s="36"/>
      <c r="H984" s="35"/>
    </row>
    <row r="985" spans="2:8" x14ac:dyDescent="0.3">
      <c r="B985" s="36"/>
      <c r="H985" s="35"/>
    </row>
    <row r="986" spans="2:8" x14ac:dyDescent="0.3">
      <c r="B986" s="36"/>
      <c r="H986" s="35"/>
    </row>
    <row r="987" spans="2:8" x14ac:dyDescent="0.3">
      <c r="B987" s="36"/>
      <c r="H987" s="35"/>
    </row>
    <row r="988" spans="2:8" x14ac:dyDescent="0.3">
      <c r="B988" s="36"/>
      <c r="H988" s="35"/>
    </row>
    <row r="989" spans="2:8" x14ac:dyDescent="0.3">
      <c r="B989" s="36"/>
      <c r="H989" s="35"/>
    </row>
    <row r="990" spans="2:8" x14ac:dyDescent="0.3">
      <c r="B990" s="36"/>
      <c r="H990" s="35"/>
    </row>
    <row r="991" spans="2:8" x14ac:dyDescent="0.3">
      <c r="B991" s="36"/>
      <c r="H991" s="35"/>
    </row>
    <row r="992" spans="2:8" x14ac:dyDescent="0.3">
      <c r="B992" s="36"/>
      <c r="H992" s="35"/>
    </row>
    <row r="993" spans="2:8" x14ac:dyDescent="0.3">
      <c r="B993" s="36"/>
      <c r="H993" s="35"/>
    </row>
    <row r="994" spans="2:8" x14ac:dyDescent="0.3">
      <c r="B994" s="36"/>
      <c r="H994" s="35"/>
    </row>
    <row r="995" spans="2:8" x14ac:dyDescent="0.3">
      <c r="B995" s="36"/>
      <c r="H995" s="35"/>
    </row>
    <row r="996" spans="2:8" x14ac:dyDescent="0.3">
      <c r="B996" s="36"/>
      <c r="H996" s="35"/>
    </row>
    <row r="997" spans="2:8" x14ac:dyDescent="0.3">
      <c r="B997" s="36"/>
      <c r="H997" s="35"/>
    </row>
    <row r="998" spans="2:8" x14ac:dyDescent="0.3">
      <c r="B998" s="36"/>
      <c r="H998" s="35"/>
    </row>
    <row r="999" spans="2:8" x14ac:dyDescent="0.3">
      <c r="B999" s="36"/>
      <c r="H999" s="35"/>
    </row>
    <row r="1000" spans="2:8" x14ac:dyDescent="0.3">
      <c r="B1000" s="36"/>
      <c r="H1000" s="35"/>
    </row>
  </sheetData>
  <conditionalFormatting sqref="A2:L500">
    <cfRule type="cellIs" dxfId="0" priority="1" stopIfTrue="1" operator="equal">
      <formula>$L2="ANULADO"</formula>
    </cfRule>
  </conditionalFormatting>
  <dataValidations count="2">
    <dataValidation type="list" allowBlank="1" showInputMessage="1" showErrorMessage="1" sqref="J2:J1000" xr:uid="{E299E41A-85FD-4327-A390-00F6235C45C2}">
      <formula1>"Transferencia,Cheque,Efectivo"</formula1>
    </dataValidation>
    <dataValidation type="list" allowBlank="1" showInputMessage="1" showErrorMessage="1" sqref="L2:L1000" xr:uid="{8C93670F-AE47-497A-9FD2-19FE36F1E14E}">
      <formula1>"PAGADO,ANULADO"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31AA7-BBD5-4EE8-B4B2-2289C41ECEAF}">
  <sheetPr codeName="Hoja10"/>
  <dimension ref="A1:L500"/>
  <sheetViews>
    <sheetView workbookViewId="0">
      <selection activeCell="G10" sqref="G10"/>
    </sheetView>
  </sheetViews>
  <sheetFormatPr baseColWidth="10" defaultRowHeight="14.4" x14ac:dyDescent="0.3"/>
  <cols>
    <col min="1" max="1" width="12.77734375" customWidth="1"/>
    <col min="2" max="2" width="10.77734375" customWidth="1"/>
    <col min="3" max="3" width="12.77734375" customWidth="1"/>
    <col min="4" max="4" width="15.77734375" customWidth="1"/>
    <col min="5" max="5" width="35.77734375" customWidth="1"/>
    <col min="6" max="6" width="40.77734375" customWidth="1"/>
    <col min="7" max="10" width="15.77734375" customWidth="1"/>
    <col min="11" max="12" width="18.77734375" customWidth="1"/>
  </cols>
  <sheetData>
    <row r="1" spans="1:12" ht="18" x14ac:dyDescent="0.35">
      <c r="A1" s="63" t="s">
        <v>410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</row>
    <row r="2" spans="1:12" x14ac:dyDescent="0.3">
      <c r="A2" s="40" t="s">
        <v>365</v>
      </c>
      <c r="B2" s="40" t="str">
        <f>CONFIG!B3</f>
        <v>INSTITUCION EDUCATIVA ALMIRANTE PADILLA</v>
      </c>
      <c r="C2" s="40"/>
      <c r="D2" s="40"/>
      <c r="E2" s="40"/>
      <c r="F2" s="40"/>
      <c r="G2" s="40"/>
      <c r="H2" s="40"/>
      <c r="I2" s="40"/>
      <c r="J2" s="40"/>
      <c r="K2" s="40"/>
      <c r="L2" s="40"/>
    </row>
    <row r="3" spans="1:12" x14ac:dyDescent="0.3">
      <c r="A3" t="s">
        <v>411</v>
      </c>
      <c r="B3" t="s">
        <v>412</v>
      </c>
      <c r="D3" t="s">
        <v>413</v>
      </c>
    </row>
    <row r="4" spans="1:12" x14ac:dyDescent="0.3">
      <c r="A4" s="41" t="s">
        <v>414</v>
      </c>
      <c r="B4" s="41"/>
      <c r="C4" s="41" t="s">
        <v>415</v>
      </c>
      <c r="D4" s="41"/>
      <c r="E4" s="41" t="s">
        <v>416</v>
      </c>
      <c r="F4" s="41"/>
      <c r="G4" s="41" t="s">
        <v>417</v>
      </c>
      <c r="H4" s="41"/>
      <c r="I4" s="41" t="s">
        <v>418</v>
      </c>
      <c r="J4" s="41"/>
      <c r="K4" s="41" t="s">
        <v>419</v>
      </c>
      <c r="L4" s="41"/>
    </row>
    <row r="5" spans="1:12" ht="24.6" x14ac:dyDescent="0.3">
      <c r="A5" s="42" t="s">
        <v>386</v>
      </c>
      <c r="B5" s="42" t="s">
        <v>420</v>
      </c>
      <c r="C5" s="42" t="s">
        <v>421</v>
      </c>
      <c r="D5" s="42" t="s">
        <v>397</v>
      </c>
      <c r="E5" s="42" t="s">
        <v>398</v>
      </c>
      <c r="F5" s="42" t="s">
        <v>422</v>
      </c>
      <c r="G5" s="42" t="s">
        <v>423</v>
      </c>
      <c r="H5" s="42" t="s">
        <v>424</v>
      </c>
      <c r="I5" s="42" t="s">
        <v>425</v>
      </c>
      <c r="J5" s="42" t="s">
        <v>426</v>
      </c>
      <c r="K5" s="42" t="s">
        <v>391</v>
      </c>
      <c r="L5" s="42" t="s">
        <v>427</v>
      </c>
    </row>
    <row r="6" spans="1:12" x14ac:dyDescent="0.3">
      <c r="A6" s="36"/>
      <c r="G6" s="35"/>
      <c r="H6" s="35"/>
      <c r="I6" s="35"/>
      <c r="J6" s="35"/>
      <c r="K6" s="35"/>
      <c r="L6" s="35"/>
    </row>
    <row r="7" spans="1:12" x14ac:dyDescent="0.3">
      <c r="A7" s="36"/>
      <c r="G7" s="35"/>
      <c r="H7" s="35"/>
      <c r="I7" s="35"/>
      <c r="J7" s="35"/>
      <c r="K7" s="35"/>
      <c r="L7" s="35"/>
    </row>
    <row r="8" spans="1:12" x14ac:dyDescent="0.3">
      <c r="A8" s="36"/>
      <c r="G8" s="35"/>
      <c r="H8" s="35"/>
      <c r="I8" s="35"/>
      <c r="J8" s="35"/>
      <c r="K8" s="35"/>
      <c r="L8" s="35"/>
    </row>
    <row r="9" spans="1:12" x14ac:dyDescent="0.3">
      <c r="A9" s="36"/>
      <c r="G9" s="35"/>
      <c r="H9" s="35"/>
      <c r="I9" s="35"/>
      <c r="J9" s="35"/>
      <c r="K9" s="35"/>
      <c r="L9" s="35"/>
    </row>
    <row r="10" spans="1:12" x14ac:dyDescent="0.3">
      <c r="A10" s="36"/>
      <c r="G10" s="35"/>
      <c r="H10" s="35"/>
      <c r="I10" s="35"/>
      <c r="J10" s="35"/>
      <c r="K10" s="35"/>
      <c r="L10" s="35"/>
    </row>
    <row r="11" spans="1:12" x14ac:dyDescent="0.3">
      <c r="A11" s="36"/>
      <c r="G11" s="35"/>
      <c r="H11" s="35"/>
      <c r="I11" s="35"/>
      <c r="J11" s="35"/>
      <c r="K11" s="35"/>
      <c r="L11" s="35"/>
    </row>
    <row r="12" spans="1:12" x14ac:dyDescent="0.3">
      <c r="A12" s="36"/>
      <c r="G12" s="35"/>
      <c r="H12" s="35"/>
      <c r="I12" s="35"/>
      <c r="J12" s="35"/>
      <c r="K12" s="35"/>
      <c r="L12" s="35"/>
    </row>
    <row r="13" spans="1:12" x14ac:dyDescent="0.3">
      <c r="A13" s="36"/>
      <c r="G13" s="35"/>
      <c r="H13" s="35"/>
      <c r="I13" s="35"/>
      <c r="J13" s="35"/>
      <c r="K13" s="35"/>
      <c r="L13" s="35"/>
    </row>
    <row r="14" spans="1:12" x14ac:dyDescent="0.3">
      <c r="A14" s="36"/>
      <c r="G14" s="35"/>
      <c r="H14" s="35"/>
      <c r="I14" s="35"/>
      <c r="J14" s="35"/>
      <c r="K14" s="35"/>
      <c r="L14" s="35"/>
    </row>
    <row r="15" spans="1:12" x14ac:dyDescent="0.3">
      <c r="A15" s="36"/>
      <c r="G15" s="35"/>
      <c r="H15" s="35"/>
      <c r="I15" s="35"/>
      <c r="J15" s="35"/>
      <c r="K15" s="35"/>
      <c r="L15" s="35"/>
    </row>
    <row r="16" spans="1:12" x14ac:dyDescent="0.3">
      <c r="A16" s="36"/>
      <c r="G16" s="35"/>
      <c r="H16" s="35"/>
      <c r="I16" s="35"/>
      <c r="J16" s="35"/>
      <c r="K16" s="35"/>
      <c r="L16" s="35"/>
    </row>
    <row r="17" spans="1:12" x14ac:dyDescent="0.3">
      <c r="A17" s="36"/>
      <c r="G17" s="35"/>
      <c r="H17" s="35"/>
      <c r="I17" s="35"/>
      <c r="J17" s="35"/>
      <c r="K17" s="35"/>
      <c r="L17" s="35"/>
    </row>
    <row r="18" spans="1:12" x14ac:dyDescent="0.3">
      <c r="A18" s="36"/>
      <c r="G18" s="35"/>
      <c r="H18" s="35"/>
      <c r="I18" s="35"/>
      <c r="J18" s="35"/>
      <c r="K18" s="35"/>
      <c r="L18" s="35"/>
    </row>
    <row r="19" spans="1:12" x14ac:dyDescent="0.3">
      <c r="A19" s="36"/>
      <c r="G19" s="35"/>
      <c r="H19" s="35"/>
      <c r="I19" s="35"/>
      <c r="J19" s="35"/>
      <c r="K19" s="35"/>
      <c r="L19" s="35"/>
    </row>
    <row r="20" spans="1:12" x14ac:dyDescent="0.3">
      <c r="A20" s="36"/>
      <c r="G20" s="35"/>
      <c r="H20" s="35"/>
      <c r="I20" s="35"/>
      <c r="J20" s="35"/>
      <c r="K20" s="35"/>
      <c r="L20" s="35"/>
    </row>
    <row r="21" spans="1:12" x14ac:dyDescent="0.3">
      <c r="A21" s="36"/>
      <c r="G21" s="35"/>
      <c r="H21" s="35"/>
      <c r="I21" s="35"/>
      <c r="J21" s="35"/>
      <c r="K21" s="35"/>
      <c r="L21" s="35"/>
    </row>
    <row r="22" spans="1:12" x14ac:dyDescent="0.3">
      <c r="A22" s="36"/>
      <c r="G22" s="35"/>
      <c r="H22" s="35"/>
      <c r="I22" s="35"/>
      <c r="J22" s="35"/>
      <c r="K22" s="35"/>
      <c r="L22" s="35"/>
    </row>
    <row r="23" spans="1:12" x14ac:dyDescent="0.3">
      <c r="A23" s="36"/>
      <c r="G23" s="35"/>
      <c r="H23" s="35"/>
      <c r="I23" s="35"/>
      <c r="J23" s="35"/>
      <c r="K23" s="35"/>
      <c r="L23" s="35"/>
    </row>
    <row r="24" spans="1:12" x14ac:dyDescent="0.3">
      <c r="A24" s="36"/>
      <c r="G24" s="35"/>
      <c r="H24" s="35"/>
      <c r="I24" s="35"/>
      <c r="J24" s="35"/>
      <c r="K24" s="35"/>
      <c r="L24" s="35"/>
    </row>
    <row r="25" spans="1:12" x14ac:dyDescent="0.3">
      <c r="A25" s="36"/>
      <c r="G25" s="35"/>
      <c r="H25" s="35"/>
      <c r="I25" s="35"/>
      <c r="J25" s="35"/>
      <c r="K25" s="35"/>
      <c r="L25" s="35"/>
    </row>
    <row r="26" spans="1:12" x14ac:dyDescent="0.3">
      <c r="A26" s="36"/>
      <c r="G26" s="35"/>
      <c r="H26" s="35"/>
      <c r="I26" s="35"/>
      <c r="J26" s="35"/>
      <c r="K26" s="35"/>
      <c r="L26" s="35"/>
    </row>
    <row r="27" spans="1:12" x14ac:dyDescent="0.3">
      <c r="A27" s="36"/>
      <c r="G27" s="35"/>
      <c r="H27" s="35"/>
      <c r="I27" s="35"/>
      <c r="J27" s="35"/>
      <c r="K27" s="35"/>
      <c r="L27" s="35"/>
    </row>
    <row r="28" spans="1:12" x14ac:dyDescent="0.3">
      <c r="A28" s="36"/>
      <c r="G28" s="35"/>
      <c r="H28" s="35"/>
      <c r="I28" s="35"/>
      <c r="J28" s="35"/>
      <c r="K28" s="35"/>
      <c r="L28" s="35"/>
    </row>
    <row r="29" spans="1:12" x14ac:dyDescent="0.3">
      <c r="A29" s="36"/>
      <c r="G29" s="35"/>
      <c r="H29" s="35"/>
      <c r="I29" s="35"/>
      <c r="J29" s="35"/>
      <c r="K29" s="35"/>
      <c r="L29" s="35"/>
    </row>
    <row r="30" spans="1:12" x14ac:dyDescent="0.3">
      <c r="A30" s="36"/>
      <c r="G30" s="35"/>
      <c r="H30" s="35"/>
      <c r="I30" s="35"/>
      <c r="J30" s="35"/>
      <c r="K30" s="35"/>
      <c r="L30" s="35"/>
    </row>
    <row r="31" spans="1:12" x14ac:dyDescent="0.3">
      <c r="A31" s="36"/>
      <c r="G31" s="35"/>
      <c r="H31" s="35"/>
      <c r="I31" s="35"/>
      <c r="J31" s="35"/>
      <c r="K31" s="35"/>
      <c r="L31" s="35"/>
    </row>
    <row r="32" spans="1:12" x14ac:dyDescent="0.3">
      <c r="A32" s="36"/>
      <c r="G32" s="35"/>
      <c r="H32" s="35"/>
      <c r="I32" s="35"/>
      <c r="J32" s="35"/>
      <c r="K32" s="35"/>
      <c r="L32" s="35"/>
    </row>
    <row r="33" spans="1:12" x14ac:dyDescent="0.3">
      <c r="A33" s="36"/>
      <c r="G33" s="35"/>
      <c r="H33" s="35"/>
      <c r="I33" s="35"/>
      <c r="J33" s="35"/>
      <c r="K33" s="35"/>
      <c r="L33" s="35"/>
    </row>
    <row r="34" spans="1:12" x14ac:dyDescent="0.3">
      <c r="A34" s="36"/>
      <c r="G34" s="35"/>
      <c r="H34" s="35"/>
      <c r="I34" s="35"/>
      <c r="J34" s="35"/>
      <c r="K34" s="35"/>
      <c r="L34" s="35"/>
    </row>
    <row r="35" spans="1:12" x14ac:dyDescent="0.3">
      <c r="A35" s="36"/>
      <c r="G35" s="35"/>
      <c r="H35" s="35"/>
      <c r="I35" s="35"/>
      <c r="J35" s="35"/>
      <c r="K35" s="35"/>
      <c r="L35" s="35"/>
    </row>
    <row r="36" spans="1:12" x14ac:dyDescent="0.3">
      <c r="A36" s="36"/>
      <c r="G36" s="35"/>
      <c r="H36" s="35"/>
      <c r="I36" s="35"/>
      <c r="J36" s="35"/>
      <c r="K36" s="35"/>
      <c r="L36" s="35"/>
    </row>
    <row r="37" spans="1:12" x14ac:dyDescent="0.3">
      <c r="A37" s="36"/>
      <c r="G37" s="35"/>
      <c r="H37" s="35"/>
      <c r="I37" s="35"/>
      <c r="J37" s="35"/>
      <c r="K37" s="35"/>
      <c r="L37" s="35"/>
    </row>
    <row r="38" spans="1:12" x14ac:dyDescent="0.3">
      <c r="A38" s="36"/>
      <c r="G38" s="35"/>
      <c r="H38" s="35"/>
      <c r="I38" s="35"/>
      <c r="J38" s="35"/>
      <c r="K38" s="35"/>
      <c r="L38" s="35"/>
    </row>
    <row r="39" spans="1:12" x14ac:dyDescent="0.3">
      <c r="A39" s="36"/>
      <c r="G39" s="35"/>
      <c r="H39" s="35"/>
      <c r="I39" s="35"/>
      <c r="J39" s="35"/>
      <c r="K39" s="35"/>
      <c r="L39" s="35"/>
    </row>
    <row r="40" spans="1:12" x14ac:dyDescent="0.3">
      <c r="A40" s="36"/>
      <c r="G40" s="35"/>
      <c r="H40" s="35"/>
      <c r="I40" s="35"/>
      <c r="J40" s="35"/>
      <c r="K40" s="35"/>
      <c r="L40" s="35"/>
    </row>
    <row r="41" spans="1:12" x14ac:dyDescent="0.3">
      <c r="A41" s="36"/>
      <c r="G41" s="35"/>
      <c r="H41" s="35"/>
      <c r="I41" s="35"/>
      <c r="J41" s="35"/>
      <c r="K41" s="35"/>
      <c r="L41" s="35"/>
    </row>
    <row r="42" spans="1:12" x14ac:dyDescent="0.3">
      <c r="A42" s="36"/>
      <c r="G42" s="35"/>
      <c r="H42" s="35"/>
      <c r="I42" s="35"/>
      <c r="J42" s="35"/>
      <c r="K42" s="35"/>
      <c r="L42" s="35"/>
    </row>
    <row r="43" spans="1:12" x14ac:dyDescent="0.3">
      <c r="A43" s="36"/>
      <c r="G43" s="35"/>
      <c r="H43" s="35"/>
      <c r="I43" s="35"/>
      <c r="J43" s="35"/>
      <c r="K43" s="35"/>
      <c r="L43" s="35"/>
    </row>
    <row r="44" spans="1:12" x14ac:dyDescent="0.3">
      <c r="A44" s="36"/>
      <c r="G44" s="35"/>
      <c r="H44" s="35"/>
      <c r="I44" s="35"/>
      <c r="J44" s="35"/>
      <c r="K44" s="35"/>
      <c r="L44" s="35"/>
    </row>
    <row r="45" spans="1:12" x14ac:dyDescent="0.3">
      <c r="A45" s="36"/>
      <c r="G45" s="35"/>
      <c r="H45" s="35"/>
      <c r="I45" s="35"/>
      <c r="J45" s="35"/>
      <c r="K45" s="35"/>
      <c r="L45" s="35"/>
    </row>
    <row r="46" spans="1:12" x14ac:dyDescent="0.3">
      <c r="A46" s="36"/>
      <c r="G46" s="35"/>
      <c r="H46" s="35"/>
      <c r="I46" s="35"/>
      <c r="J46" s="35"/>
      <c r="K46" s="35"/>
      <c r="L46" s="35"/>
    </row>
    <row r="47" spans="1:12" x14ac:dyDescent="0.3">
      <c r="A47" s="36"/>
      <c r="G47" s="35"/>
      <c r="H47" s="35"/>
      <c r="I47" s="35"/>
      <c r="J47" s="35"/>
      <c r="K47" s="35"/>
      <c r="L47" s="35"/>
    </row>
    <row r="48" spans="1:12" x14ac:dyDescent="0.3">
      <c r="A48" s="36"/>
      <c r="G48" s="35"/>
      <c r="H48" s="35"/>
      <c r="I48" s="35"/>
      <c r="J48" s="35"/>
      <c r="K48" s="35"/>
      <c r="L48" s="35"/>
    </row>
    <row r="49" spans="1:12" x14ac:dyDescent="0.3">
      <c r="A49" s="36"/>
      <c r="G49" s="35"/>
      <c r="H49" s="35"/>
      <c r="I49" s="35"/>
      <c r="J49" s="35"/>
      <c r="K49" s="35"/>
      <c r="L49" s="35"/>
    </row>
    <row r="50" spans="1:12" x14ac:dyDescent="0.3">
      <c r="A50" s="36"/>
      <c r="G50" s="35"/>
      <c r="H50" s="35"/>
      <c r="I50" s="35"/>
      <c r="J50" s="35"/>
      <c r="K50" s="35"/>
      <c r="L50" s="35"/>
    </row>
    <row r="51" spans="1:12" x14ac:dyDescent="0.3">
      <c r="A51" s="36"/>
      <c r="G51" s="35"/>
      <c r="H51" s="35"/>
      <c r="I51" s="35"/>
      <c r="J51" s="35"/>
      <c r="K51" s="35"/>
      <c r="L51" s="35"/>
    </row>
    <row r="52" spans="1:12" x14ac:dyDescent="0.3">
      <c r="A52" s="36"/>
      <c r="G52" s="35"/>
      <c r="H52" s="35"/>
      <c r="I52" s="35"/>
      <c r="J52" s="35"/>
      <c r="K52" s="35"/>
      <c r="L52" s="35"/>
    </row>
    <row r="53" spans="1:12" x14ac:dyDescent="0.3">
      <c r="A53" s="36"/>
      <c r="G53" s="35"/>
      <c r="H53" s="35"/>
      <c r="I53" s="35"/>
      <c r="J53" s="35"/>
      <c r="K53" s="35"/>
      <c r="L53" s="35"/>
    </row>
    <row r="54" spans="1:12" x14ac:dyDescent="0.3">
      <c r="A54" s="36"/>
      <c r="G54" s="35"/>
      <c r="H54" s="35"/>
      <c r="I54" s="35"/>
      <c r="J54" s="35"/>
      <c r="K54" s="35"/>
      <c r="L54" s="35"/>
    </row>
    <row r="55" spans="1:12" x14ac:dyDescent="0.3">
      <c r="A55" s="36"/>
      <c r="G55" s="35"/>
      <c r="H55" s="35"/>
      <c r="I55" s="35"/>
      <c r="J55" s="35"/>
      <c r="K55" s="35"/>
      <c r="L55" s="35"/>
    </row>
    <row r="56" spans="1:12" x14ac:dyDescent="0.3">
      <c r="A56" s="36"/>
      <c r="G56" s="35"/>
      <c r="H56" s="35"/>
      <c r="I56" s="35"/>
      <c r="J56" s="35"/>
      <c r="K56" s="35"/>
      <c r="L56" s="35"/>
    </row>
    <row r="57" spans="1:12" x14ac:dyDescent="0.3">
      <c r="A57" s="36"/>
      <c r="G57" s="35"/>
      <c r="H57" s="35"/>
      <c r="I57" s="35"/>
      <c r="J57" s="35"/>
      <c r="K57" s="35"/>
      <c r="L57" s="35"/>
    </row>
    <row r="58" spans="1:12" x14ac:dyDescent="0.3">
      <c r="A58" s="36"/>
      <c r="G58" s="35"/>
      <c r="H58" s="35"/>
      <c r="I58" s="35"/>
      <c r="J58" s="35"/>
      <c r="K58" s="35"/>
      <c r="L58" s="35"/>
    </row>
    <row r="59" spans="1:12" x14ac:dyDescent="0.3">
      <c r="A59" s="36"/>
      <c r="G59" s="35"/>
      <c r="H59" s="35"/>
      <c r="I59" s="35"/>
      <c r="J59" s="35"/>
      <c r="K59" s="35"/>
      <c r="L59" s="35"/>
    </row>
    <row r="60" spans="1:12" x14ac:dyDescent="0.3">
      <c r="A60" s="36"/>
      <c r="G60" s="35"/>
      <c r="H60" s="35"/>
      <c r="I60" s="35"/>
      <c r="J60" s="35"/>
      <c r="K60" s="35"/>
      <c r="L60" s="35"/>
    </row>
    <row r="61" spans="1:12" x14ac:dyDescent="0.3">
      <c r="A61" s="36"/>
      <c r="G61" s="35"/>
      <c r="H61" s="35"/>
      <c r="I61" s="35"/>
      <c r="J61" s="35"/>
      <c r="K61" s="35"/>
      <c r="L61" s="35"/>
    </row>
    <row r="62" spans="1:12" x14ac:dyDescent="0.3">
      <c r="A62" s="36"/>
      <c r="G62" s="35"/>
      <c r="H62" s="35"/>
      <c r="I62" s="35"/>
      <c r="J62" s="35"/>
      <c r="K62" s="35"/>
      <c r="L62" s="35"/>
    </row>
    <row r="63" spans="1:12" x14ac:dyDescent="0.3">
      <c r="A63" s="36"/>
      <c r="G63" s="35"/>
      <c r="H63" s="35"/>
      <c r="I63" s="35"/>
      <c r="J63" s="35"/>
      <c r="K63" s="35"/>
      <c r="L63" s="35"/>
    </row>
    <row r="64" spans="1:12" x14ac:dyDescent="0.3">
      <c r="A64" s="36"/>
      <c r="G64" s="35"/>
      <c r="H64" s="35"/>
      <c r="I64" s="35"/>
      <c r="J64" s="35"/>
      <c r="K64" s="35"/>
      <c r="L64" s="35"/>
    </row>
    <row r="65" spans="1:12" x14ac:dyDescent="0.3">
      <c r="A65" s="36"/>
      <c r="G65" s="35"/>
      <c r="H65" s="35"/>
      <c r="I65" s="35"/>
      <c r="J65" s="35"/>
      <c r="K65" s="35"/>
      <c r="L65" s="35"/>
    </row>
    <row r="66" spans="1:12" x14ac:dyDescent="0.3">
      <c r="A66" s="36"/>
      <c r="G66" s="35"/>
      <c r="H66" s="35"/>
      <c r="I66" s="35"/>
      <c r="J66" s="35"/>
      <c r="K66" s="35"/>
      <c r="L66" s="35"/>
    </row>
    <row r="67" spans="1:12" x14ac:dyDescent="0.3">
      <c r="A67" s="36"/>
      <c r="G67" s="35"/>
      <c r="H67" s="35"/>
      <c r="I67" s="35"/>
      <c r="J67" s="35"/>
      <c r="K67" s="35"/>
      <c r="L67" s="35"/>
    </row>
    <row r="68" spans="1:12" x14ac:dyDescent="0.3">
      <c r="A68" s="36"/>
      <c r="G68" s="35"/>
      <c r="H68" s="35"/>
      <c r="I68" s="35"/>
      <c r="J68" s="35"/>
      <c r="K68" s="35"/>
      <c r="L68" s="35"/>
    </row>
    <row r="69" spans="1:12" x14ac:dyDescent="0.3">
      <c r="A69" s="36"/>
      <c r="G69" s="35"/>
      <c r="H69" s="35"/>
      <c r="I69" s="35"/>
      <c r="J69" s="35"/>
      <c r="K69" s="35"/>
      <c r="L69" s="35"/>
    </row>
    <row r="70" spans="1:12" x14ac:dyDescent="0.3">
      <c r="A70" s="36"/>
      <c r="G70" s="35"/>
      <c r="H70" s="35"/>
      <c r="I70" s="35"/>
      <c r="J70" s="35"/>
      <c r="K70" s="35"/>
      <c r="L70" s="35"/>
    </row>
    <row r="71" spans="1:12" x14ac:dyDescent="0.3">
      <c r="A71" s="36"/>
      <c r="G71" s="35"/>
      <c r="H71" s="35"/>
      <c r="I71" s="35"/>
      <c r="J71" s="35"/>
      <c r="K71" s="35"/>
      <c r="L71" s="35"/>
    </row>
    <row r="72" spans="1:12" x14ac:dyDescent="0.3">
      <c r="A72" s="36"/>
      <c r="G72" s="35"/>
      <c r="H72" s="35"/>
      <c r="I72" s="35"/>
      <c r="J72" s="35"/>
      <c r="K72" s="35"/>
      <c r="L72" s="35"/>
    </row>
    <row r="73" spans="1:12" x14ac:dyDescent="0.3">
      <c r="A73" s="36"/>
      <c r="G73" s="35"/>
      <c r="H73" s="35"/>
      <c r="I73" s="35"/>
      <c r="J73" s="35"/>
      <c r="K73" s="35"/>
      <c r="L73" s="35"/>
    </row>
    <row r="74" spans="1:12" x14ac:dyDescent="0.3">
      <c r="A74" s="36"/>
      <c r="G74" s="35"/>
      <c r="H74" s="35"/>
      <c r="I74" s="35"/>
      <c r="J74" s="35"/>
      <c r="K74" s="35"/>
      <c r="L74" s="35"/>
    </row>
    <row r="75" spans="1:12" x14ac:dyDescent="0.3">
      <c r="A75" s="36"/>
      <c r="G75" s="35"/>
      <c r="H75" s="35"/>
      <c r="I75" s="35"/>
      <c r="J75" s="35"/>
      <c r="K75" s="35"/>
      <c r="L75" s="35"/>
    </row>
    <row r="76" spans="1:12" x14ac:dyDescent="0.3">
      <c r="A76" s="36"/>
      <c r="G76" s="35"/>
      <c r="H76" s="35"/>
      <c r="I76" s="35"/>
      <c r="J76" s="35"/>
      <c r="K76" s="35"/>
      <c r="L76" s="35"/>
    </row>
    <row r="77" spans="1:12" x14ac:dyDescent="0.3">
      <c r="A77" s="36"/>
      <c r="G77" s="35"/>
      <c r="H77" s="35"/>
      <c r="I77" s="35"/>
      <c r="J77" s="35"/>
      <c r="K77" s="35"/>
      <c r="L77" s="35"/>
    </row>
    <row r="78" spans="1:12" x14ac:dyDescent="0.3">
      <c r="A78" s="36"/>
      <c r="G78" s="35"/>
      <c r="H78" s="35"/>
      <c r="I78" s="35"/>
      <c r="J78" s="35"/>
      <c r="K78" s="35"/>
      <c r="L78" s="35"/>
    </row>
    <row r="79" spans="1:12" x14ac:dyDescent="0.3">
      <c r="A79" s="36"/>
      <c r="G79" s="35"/>
      <c r="H79" s="35"/>
      <c r="I79" s="35"/>
      <c r="J79" s="35"/>
      <c r="K79" s="35"/>
      <c r="L79" s="35"/>
    </row>
    <row r="80" spans="1:12" x14ac:dyDescent="0.3">
      <c r="A80" s="36"/>
      <c r="G80" s="35"/>
      <c r="H80" s="35"/>
      <c r="I80" s="35"/>
      <c r="J80" s="35"/>
      <c r="K80" s="35"/>
      <c r="L80" s="35"/>
    </row>
    <row r="81" spans="1:12" x14ac:dyDescent="0.3">
      <c r="A81" s="36"/>
      <c r="G81" s="35"/>
      <c r="H81" s="35"/>
      <c r="I81" s="35"/>
      <c r="J81" s="35"/>
      <c r="K81" s="35"/>
      <c r="L81" s="35"/>
    </row>
    <row r="82" spans="1:12" x14ac:dyDescent="0.3">
      <c r="A82" s="36"/>
      <c r="G82" s="35"/>
      <c r="H82" s="35"/>
      <c r="I82" s="35"/>
      <c r="J82" s="35"/>
      <c r="K82" s="35"/>
      <c r="L82" s="35"/>
    </row>
    <row r="83" spans="1:12" x14ac:dyDescent="0.3">
      <c r="A83" s="36"/>
      <c r="G83" s="35"/>
      <c r="H83" s="35"/>
      <c r="I83" s="35"/>
      <c r="J83" s="35"/>
      <c r="K83" s="35"/>
      <c r="L83" s="35"/>
    </row>
    <row r="84" spans="1:12" x14ac:dyDescent="0.3">
      <c r="A84" s="36"/>
      <c r="G84" s="35"/>
      <c r="H84" s="35"/>
      <c r="I84" s="35"/>
      <c r="J84" s="35"/>
      <c r="K84" s="35"/>
      <c r="L84" s="35"/>
    </row>
    <row r="85" spans="1:12" x14ac:dyDescent="0.3">
      <c r="A85" s="36"/>
      <c r="G85" s="35"/>
      <c r="H85" s="35"/>
      <c r="I85" s="35"/>
      <c r="J85" s="35"/>
      <c r="K85" s="35"/>
      <c r="L85" s="35"/>
    </row>
    <row r="86" spans="1:12" x14ac:dyDescent="0.3">
      <c r="A86" s="36"/>
      <c r="G86" s="35"/>
      <c r="H86" s="35"/>
      <c r="I86" s="35"/>
      <c r="J86" s="35"/>
      <c r="K86" s="35"/>
      <c r="L86" s="35"/>
    </row>
    <row r="87" spans="1:12" x14ac:dyDescent="0.3">
      <c r="A87" s="36"/>
      <c r="G87" s="35"/>
      <c r="H87" s="35"/>
      <c r="I87" s="35"/>
      <c r="J87" s="35"/>
      <c r="K87" s="35"/>
      <c r="L87" s="35"/>
    </row>
    <row r="88" spans="1:12" x14ac:dyDescent="0.3">
      <c r="A88" s="36"/>
      <c r="G88" s="35"/>
      <c r="H88" s="35"/>
      <c r="I88" s="35"/>
      <c r="J88" s="35"/>
      <c r="K88" s="35"/>
      <c r="L88" s="35"/>
    </row>
    <row r="89" spans="1:12" x14ac:dyDescent="0.3">
      <c r="A89" s="36"/>
      <c r="G89" s="35"/>
      <c r="H89" s="35"/>
      <c r="I89" s="35"/>
      <c r="J89" s="35"/>
      <c r="K89" s="35"/>
      <c r="L89" s="35"/>
    </row>
    <row r="90" spans="1:12" x14ac:dyDescent="0.3">
      <c r="A90" s="36"/>
      <c r="G90" s="35"/>
      <c r="H90" s="35"/>
      <c r="I90" s="35"/>
      <c r="J90" s="35"/>
      <c r="K90" s="35"/>
      <c r="L90" s="35"/>
    </row>
    <row r="91" spans="1:12" x14ac:dyDescent="0.3">
      <c r="A91" s="36"/>
      <c r="G91" s="35"/>
      <c r="H91" s="35"/>
      <c r="I91" s="35"/>
      <c r="J91" s="35"/>
      <c r="K91" s="35"/>
      <c r="L91" s="35"/>
    </row>
    <row r="92" spans="1:12" x14ac:dyDescent="0.3">
      <c r="A92" s="36"/>
      <c r="G92" s="35"/>
      <c r="H92" s="35"/>
      <c r="I92" s="35"/>
      <c r="J92" s="35"/>
      <c r="K92" s="35"/>
      <c r="L92" s="35"/>
    </row>
    <row r="93" spans="1:12" x14ac:dyDescent="0.3">
      <c r="A93" s="36"/>
      <c r="G93" s="35"/>
      <c r="H93" s="35"/>
      <c r="I93" s="35"/>
      <c r="J93" s="35"/>
      <c r="K93" s="35"/>
      <c r="L93" s="35"/>
    </row>
    <row r="94" spans="1:12" x14ac:dyDescent="0.3">
      <c r="A94" s="36"/>
      <c r="G94" s="35"/>
      <c r="H94" s="35"/>
      <c r="I94" s="35"/>
      <c r="J94" s="35"/>
      <c r="K94" s="35"/>
      <c r="L94" s="35"/>
    </row>
    <row r="95" spans="1:12" x14ac:dyDescent="0.3">
      <c r="A95" s="36"/>
      <c r="G95" s="35"/>
      <c r="H95" s="35"/>
      <c r="I95" s="35"/>
      <c r="J95" s="35"/>
      <c r="K95" s="35"/>
      <c r="L95" s="35"/>
    </row>
    <row r="96" spans="1:12" x14ac:dyDescent="0.3">
      <c r="A96" s="36"/>
      <c r="G96" s="35"/>
      <c r="H96" s="35"/>
      <c r="I96" s="35"/>
      <c r="J96" s="35"/>
      <c r="K96" s="35"/>
      <c r="L96" s="35"/>
    </row>
    <row r="97" spans="1:12" x14ac:dyDescent="0.3">
      <c r="A97" s="36"/>
      <c r="G97" s="35"/>
      <c r="H97" s="35"/>
      <c r="I97" s="35"/>
      <c r="J97" s="35"/>
      <c r="K97" s="35"/>
      <c r="L97" s="35"/>
    </row>
    <row r="98" spans="1:12" x14ac:dyDescent="0.3">
      <c r="A98" s="36"/>
      <c r="G98" s="35"/>
      <c r="H98" s="35"/>
      <c r="I98" s="35"/>
      <c r="J98" s="35"/>
      <c r="K98" s="35"/>
      <c r="L98" s="35"/>
    </row>
    <row r="99" spans="1:12" x14ac:dyDescent="0.3">
      <c r="A99" s="36"/>
      <c r="G99" s="35"/>
      <c r="H99" s="35"/>
      <c r="I99" s="35"/>
      <c r="J99" s="35"/>
      <c r="K99" s="35"/>
      <c r="L99" s="35"/>
    </row>
    <row r="100" spans="1:12" x14ac:dyDescent="0.3">
      <c r="A100" s="36"/>
      <c r="G100" s="35"/>
      <c r="H100" s="35"/>
      <c r="I100" s="35"/>
      <c r="J100" s="35"/>
      <c r="K100" s="35"/>
      <c r="L100" s="35"/>
    </row>
    <row r="101" spans="1:12" x14ac:dyDescent="0.3">
      <c r="A101" s="36"/>
      <c r="G101" s="35"/>
      <c r="H101" s="35"/>
      <c r="I101" s="35"/>
      <c r="J101" s="35"/>
      <c r="K101" s="35"/>
      <c r="L101" s="35"/>
    </row>
    <row r="102" spans="1:12" x14ac:dyDescent="0.3">
      <c r="A102" s="36"/>
      <c r="G102" s="35"/>
      <c r="H102" s="35"/>
      <c r="I102" s="35"/>
      <c r="J102" s="35"/>
      <c r="K102" s="35"/>
      <c r="L102" s="35"/>
    </row>
    <row r="103" spans="1:12" x14ac:dyDescent="0.3">
      <c r="A103" s="36"/>
      <c r="G103" s="35"/>
      <c r="H103" s="35"/>
      <c r="I103" s="35"/>
      <c r="J103" s="35"/>
      <c r="K103" s="35"/>
      <c r="L103" s="35"/>
    </row>
    <row r="104" spans="1:12" x14ac:dyDescent="0.3">
      <c r="A104" s="36"/>
      <c r="G104" s="35"/>
      <c r="H104" s="35"/>
      <c r="I104" s="35"/>
      <c r="J104" s="35"/>
      <c r="K104" s="35"/>
      <c r="L104" s="35"/>
    </row>
    <row r="105" spans="1:12" x14ac:dyDescent="0.3">
      <c r="A105" s="36"/>
      <c r="G105" s="35"/>
      <c r="H105" s="35"/>
      <c r="I105" s="35"/>
      <c r="J105" s="35"/>
      <c r="K105" s="35"/>
      <c r="L105" s="35"/>
    </row>
    <row r="106" spans="1:12" x14ac:dyDescent="0.3">
      <c r="A106" s="36"/>
      <c r="G106" s="35"/>
      <c r="H106" s="35"/>
      <c r="I106" s="35"/>
      <c r="J106" s="35"/>
      <c r="K106" s="35"/>
      <c r="L106" s="35"/>
    </row>
    <row r="107" spans="1:12" x14ac:dyDescent="0.3">
      <c r="A107" s="36"/>
      <c r="G107" s="35"/>
      <c r="H107" s="35"/>
      <c r="I107" s="35"/>
      <c r="J107" s="35"/>
      <c r="K107" s="35"/>
      <c r="L107" s="35"/>
    </row>
    <row r="108" spans="1:12" x14ac:dyDescent="0.3">
      <c r="A108" s="36"/>
      <c r="G108" s="35"/>
      <c r="H108" s="35"/>
      <c r="I108" s="35"/>
      <c r="J108" s="35"/>
      <c r="K108" s="35"/>
      <c r="L108" s="35"/>
    </row>
    <row r="109" spans="1:12" x14ac:dyDescent="0.3">
      <c r="A109" s="36"/>
      <c r="G109" s="35"/>
      <c r="H109" s="35"/>
      <c r="I109" s="35"/>
      <c r="J109" s="35"/>
      <c r="K109" s="35"/>
      <c r="L109" s="35"/>
    </row>
    <row r="110" spans="1:12" x14ac:dyDescent="0.3">
      <c r="A110" s="36"/>
      <c r="G110" s="35"/>
      <c r="H110" s="35"/>
      <c r="I110" s="35"/>
      <c r="J110" s="35"/>
      <c r="K110" s="35"/>
      <c r="L110" s="35"/>
    </row>
    <row r="111" spans="1:12" x14ac:dyDescent="0.3">
      <c r="A111" s="36"/>
      <c r="G111" s="35"/>
      <c r="H111" s="35"/>
      <c r="I111" s="35"/>
      <c r="J111" s="35"/>
      <c r="K111" s="35"/>
      <c r="L111" s="35"/>
    </row>
    <row r="112" spans="1:12" x14ac:dyDescent="0.3">
      <c r="A112" s="36"/>
      <c r="G112" s="35"/>
      <c r="H112" s="35"/>
      <c r="I112" s="35"/>
      <c r="J112" s="35"/>
      <c r="K112" s="35"/>
      <c r="L112" s="35"/>
    </row>
    <row r="113" spans="1:12" x14ac:dyDescent="0.3">
      <c r="A113" s="36"/>
      <c r="G113" s="35"/>
      <c r="H113" s="35"/>
      <c r="I113" s="35"/>
      <c r="J113" s="35"/>
      <c r="K113" s="35"/>
      <c r="L113" s="35"/>
    </row>
    <row r="114" spans="1:12" x14ac:dyDescent="0.3">
      <c r="A114" s="36"/>
      <c r="G114" s="35"/>
      <c r="H114" s="35"/>
      <c r="I114" s="35"/>
      <c r="J114" s="35"/>
      <c r="K114" s="35"/>
      <c r="L114" s="35"/>
    </row>
    <row r="115" spans="1:12" x14ac:dyDescent="0.3">
      <c r="A115" s="36"/>
      <c r="G115" s="35"/>
      <c r="H115" s="35"/>
      <c r="I115" s="35"/>
      <c r="J115" s="35"/>
      <c r="K115" s="35"/>
      <c r="L115" s="35"/>
    </row>
    <row r="116" spans="1:12" x14ac:dyDescent="0.3">
      <c r="A116" s="36"/>
      <c r="G116" s="35"/>
      <c r="H116" s="35"/>
      <c r="I116" s="35"/>
      <c r="J116" s="35"/>
      <c r="K116" s="35"/>
      <c r="L116" s="35"/>
    </row>
    <row r="117" spans="1:12" x14ac:dyDescent="0.3">
      <c r="A117" s="36"/>
      <c r="G117" s="35"/>
      <c r="H117" s="35"/>
      <c r="I117" s="35"/>
      <c r="J117" s="35"/>
      <c r="K117" s="35"/>
      <c r="L117" s="35"/>
    </row>
    <row r="118" spans="1:12" x14ac:dyDescent="0.3">
      <c r="A118" s="36"/>
      <c r="G118" s="35"/>
      <c r="H118" s="35"/>
      <c r="I118" s="35"/>
      <c r="J118" s="35"/>
      <c r="K118" s="35"/>
      <c r="L118" s="35"/>
    </row>
    <row r="119" spans="1:12" x14ac:dyDescent="0.3">
      <c r="A119" s="36"/>
      <c r="G119" s="35"/>
      <c r="H119" s="35"/>
      <c r="I119" s="35"/>
      <c r="J119" s="35"/>
      <c r="K119" s="35"/>
      <c r="L119" s="35"/>
    </row>
    <row r="120" spans="1:12" x14ac:dyDescent="0.3">
      <c r="A120" s="36"/>
      <c r="G120" s="35"/>
      <c r="H120" s="35"/>
      <c r="I120" s="35"/>
      <c r="J120" s="35"/>
      <c r="K120" s="35"/>
      <c r="L120" s="35"/>
    </row>
    <row r="121" spans="1:12" x14ac:dyDescent="0.3">
      <c r="A121" s="36"/>
      <c r="G121" s="35"/>
      <c r="H121" s="35"/>
      <c r="I121" s="35"/>
      <c r="J121" s="35"/>
      <c r="K121" s="35"/>
      <c r="L121" s="35"/>
    </row>
    <row r="122" spans="1:12" x14ac:dyDescent="0.3">
      <c r="A122" s="36"/>
      <c r="G122" s="35"/>
      <c r="H122" s="35"/>
      <c r="I122" s="35"/>
      <c r="J122" s="35"/>
      <c r="K122" s="35"/>
      <c r="L122" s="35"/>
    </row>
    <row r="123" spans="1:12" x14ac:dyDescent="0.3">
      <c r="A123" s="36"/>
      <c r="G123" s="35"/>
      <c r="H123" s="35"/>
      <c r="I123" s="35"/>
      <c r="J123" s="35"/>
      <c r="K123" s="35"/>
      <c r="L123" s="35"/>
    </row>
    <row r="124" spans="1:12" x14ac:dyDescent="0.3">
      <c r="A124" s="36"/>
      <c r="G124" s="35"/>
      <c r="H124" s="35"/>
      <c r="I124" s="35"/>
      <c r="J124" s="35"/>
      <c r="K124" s="35"/>
      <c r="L124" s="35"/>
    </row>
    <row r="125" spans="1:12" x14ac:dyDescent="0.3">
      <c r="A125" s="36"/>
      <c r="G125" s="35"/>
      <c r="H125" s="35"/>
      <c r="I125" s="35"/>
      <c r="J125" s="35"/>
      <c r="K125" s="35"/>
      <c r="L125" s="35"/>
    </row>
    <row r="126" spans="1:12" x14ac:dyDescent="0.3">
      <c r="A126" s="36"/>
      <c r="G126" s="35"/>
      <c r="H126" s="35"/>
      <c r="I126" s="35"/>
      <c r="J126" s="35"/>
      <c r="K126" s="35"/>
      <c r="L126" s="35"/>
    </row>
    <row r="127" spans="1:12" x14ac:dyDescent="0.3">
      <c r="A127" s="36"/>
      <c r="G127" s="35"/>
      <c r="H127" s="35"/>
      <c r="I127" s="35"/>
      <c r="J127" s="35"/>
      <c r="K127" s="35"/>
      <c r="L127" s="35"/>
    </row>
    <row r="128" spans="1:12" x14ac:dyDescent="0.3">
      <c r="A128" s="36"/>
      <c r="G128" s="35"/>
      <c r="H128" s="35"/>
      <c r="I128" s="35"/>
      <c r="J128" s="35"/>
      <c r="K128" s="35"/>
      <c r="L128" s="35"/>
    </row>
    <row r="129" spans="1:12" x14ac:dyDescent="0.3">
      <c r="A129" s="36"/>
      <c r="G129" s="35"/>
      <c r="H129" s="35"/>
      <c r="I129" s="35"/>
      <c r="J129" s="35"/>
      <c r="K129" s="35"/>
      <c r="L129" s="35"/>
    </row>
    <row r="130" spans="1:12" x14ac:dyDescent="0.3">
      <c r="A130" s="36"/>
      <c r="G130" s="35"/>
      <c r="H130" s="35"/>
      <c r="I130" s="35"/>
      <c r="J130" s="35"/>
      <c r="K130" s="35"/>
      <c r="L130" s="35"/>
    </row>
    <row r="131" spans="1:12" x14ac:dyDescent="0.3">
      <c r="A131" s="36"/>
      <c r="G131" s="35"/>
      <c r="H131" s="35"/>
      <c r="I131" s="35"/>
      <c r="J131" s="35"/>
      <c r="K131" s="35"/>
      <c r="L131" s="35"/>
    </row>
    <row r="132" spans="1:12" x14ac:dyDescent="0.3">
      <c r="A132" s="36"/>
      <c r="G132" s="35"/>
      <c r="H132" s="35"/>
      <c r="I132" s="35"/>
      <c r="J132" s="35"/>
      <c r="K132" s="35"/>
      <c r="L132" s="35"/>
    </row>
    <row r="133" spans="1:12" x14ac:dyDescent="0.3">
      <c r="A133" s="36"/>
      <c r="G133" s="35"/>
      <c r="H133" s="35"/>
      <c r="I133" s="35"/>
      <c r="J133" s="35"/>
      <c r="K133" s="35"/>
      <c r="L133" s="35"/>
    </row>
    <row r="134" spans="1:12" x14ac:dyDescent="0.3">
      <c r="A134" s="36"/>
      <c r="G134" s="35"/>
      <c r="H134" s="35"/>
      <c r="I134" s="35"/>
      <c r="J134" s="35"/>
      <c r="K134" s="35"/>
      <c r="L134" s="35"/>
    </row>
    <row r="135" spans="1:12" x14ac:dyDescent="0.3">
      <c r="A135" s="36"/>
      <c r="G135" s="35"/>
      <c r="H135" s="35"/>
      <c r="I135" s="35"/>
      <c r="J135" s="35"/>
      <c r="K135" s="35"/>
      <c r="L135" s="35"/>
    </row>
    <row r="136" spans="1:12" x14ac:dyDescent="0.3">
      <c r="A136" s="36"/>
      <c r="G136" s="35"/>
      <c r="H136" s="35"/>
      <c r="I136" s="35"/>
      <c r="J136" s="35"/>
      <c r="K136" s="35"/>
      <c r="L136" s="35"/>
    </row>
    <row r="137" spans="1:12" x14ac:dyDescent="0.3">
      <c r="A137" s="36"/>
      <c r="G137" s="35"/>
      <c r="H137" s="35"/>
      <c r="I137" s="35"/>
      <c r="J137" s="35"/>
      <c r="K137" s="35"/>
      <c r="L137" s="35"/>
    </row>
    <row r="138" spans="1:12" x14ac:dyDescent="0.3">
      <c r="A138" s="36"/>
      <c r="G138" s="35"/>
      <c r="H138" s="35"/>
      <c r="I138" s="35"/>
      <c r="J138" s="35"/>
      <c r="K138" s="35"/>
      <c r="L138" s="35"/>
    </row>
    <row r="139" spans="1:12" x14ac:dyDescent="0.3">
      <c r="A139" s="36"/>
      <c r="G139" s="35"/>
      <c r="H139" s="35"/>
      <c r="I139" s="35"/>
      <c r="J139" s="35"/>
      <c r="K139" s="35"/>
      <c r="L139" s="35"/>
    </row>
    <row r="140" spans="1:12" x14ac:dyDescent="0.3">
      <c r="A140" s="36"/>
      <c r="G140" s="35"/>
      <c r="H140" s="35"/>
      <c r="I140" s="35"/>
      <c r="J140" s="35"/>
      <c r="K140" s="35"/>
      <c r="L140" s="35"/>
    </row>
    <row r="141" spans="1:12" x14ac:dyDescent="0.3">
      <c r="A141" s="36"/>
      <c r="G141" s="35"/>
      <c r="H141" s="35"/>
      <c r="I141" s="35"/>
      <c r="J141" s="35"/>
      <c r="K141" s="35"/>
      <c r="L141" s="35"/>
    </row>
    <row r="142" spans="1:12" x14ac:dyDescent="0.3">
      <c r="A142" s="36"/>
      <c r="G142" s="35"/>
      <c r="H142" s="35"/>
      <c r="I142" s="35"/>
      <c r="J142" s="35"/>
      <c r="K142" s="35"/>
      <c r="L142" s="35"/>
    </row>
    <row r="143" spans="1:12" x14ac:dyDescent="0.3">
      <c r="A143" s="36"/>
      <c r="G143" s="35"/>
      <c r="H143" s="35"/>
      <c r="I143" s="35"/>
      <c r="J143" s="35"/>
      <c r="K143" s="35"/>
      <c r="L143" s="35"/>
    </row>
    <row r="144" spans="1:12" x14ac:dyDescent="0.3">
      <c r="A144" s="36"/>
      <c r="G144" s="35"/>
      <c r="H144" s="35"/>
      <c r="I144" s="35"/>
      <c r="J144" s="35"/>
      <c r="K144" s="35"/>
      <c r="L144" s="35"/>
    </row>
    <row r="145" spans="1:12" x14ac:dyDescent="0.3">
      <c r="A145" s="36"/>
      <c r="G145" s="35"/>
      <c r="H145" s="35"/>
      <c r="I145" s="35"/>
      <c r="J145" s="35"/>
      <c r="K145" s="35"/>
      <c r="L145" s="35"/>
    </row>
    <row r="146" spans="1:12" x14ac:dyDescent="0.3">
      <c r="A146" s="36"/>
      <c r="G146" s="35"/>
      <c r="H146" s="35"/>
      <c r="I146" s="35"/>
      <c r="J146" s="35"/>
      <c r="K146" s="35"/>
      <c r="L146" s="35"/>
    </row>
    <row r="147" spans="1:12" x14ac:dyDescent="0.3">
      <c r="A147" s="36"/>
      <c r="G147" s="35"/>
      <c r="H147" s="35"/>
      <c r="I147" s="35"/>
      <c r="J147" s="35"/>
      <c r="K147" s="35"/>
      <c r="L147" s="35"/>
    </row>
    <row r="148" spans="1:12" x14ac:dyDescent="0.3">
      <c r="A148" s="36"/>
      <c r="G148" s="35"/>
      <c r="H148" s="35"/>
      <c r="I148" s="35"/>
      <c r="J148" s="35"/>
      <c r="K148" s="35"/>
      <c r="L148" s="35"/>
    </row>
    <row r="149" spans="1:12" x14ac:dyDescent="0.3">
      <c r="A149" s="36"/>
      <c r="G149" s="35"/>
      <c r="H149" s="35"/>
      <c r="I149" s="35"/>
      <c r="J149" s="35"/>
      <c r="K149" s="35"/>
      <c r="L149" s="35"/>
    </row>
    <row r="150" spans="1:12" x14ac:dyDescent="0.3">
      <c r="A150" s="36"/>
      <c r="G150" s="35"/>
      <c r="H150" s="35"/>
      <c r="I150" s="35"/>
      <c r="J150" s="35"/>
      <c r="K150" s="35"/>
      <c r="L150" s="35"/>
    </row>
    <row r="151" spans="1:12" x14ac:dyDescent="0.3">
      <c r="A151" s="36"/>
      <c r="G151" s="35"/>
      <c r="H151" s="35"/>
      <c r="I151" s="35"/>
      <c r="J151" s="35"/>
      <c r="K151" s="35"/>
      <c r="L151" s="35"/>
    </row>
    <row r="152" spans="1:12" x14ac:dyDescent="0.3">
      <c r="A152" s="36"/>
      <c r="G152" s="35"/>
      <c r="H152" s="35"/>
      <c r="I152" s="35"/>
      <c r="J152" s="35"/>
      <c r="K152" s="35"/>
      <c r="L152" s="35"/>
    </row>
    <row r="153" spans="1:12" x14ac:dyDescent="0.3">
      <c r="A153" s="36"/>
      <c r="G153" s="35"/>
      <c r="H153" s="35"/>
      <c r="I153" s="35"/>
      <c r="J153" s="35"/>
      <c r="K153" s="35"/>
      <c r="L153" s="35"/>
    </row>
    <row r="154" spans="1:12" x14ac:dyDescent="0.3">
      <c r="A154" s="36"/>
      <c r="G154" s="35"/>
      <c r="H154" s="35"/>
      <c r="I154" s="35"/>
      <c r="J154" s="35"/>
      <c r="K154" s="35"/>
      <c r="L154" s="35"/>
    </row>
    <row r="155" spans="1:12" x14ac:dyDescent="0.3">
      <c r="A155" s="36"/>
      <c r="G155" s="35"/>
      <c r="H155" s="35"/>
      <c r="I155" s="35"/>
      <c r="J155" s="35"/>
      <c r="K155" s="35"/>
      <c r="L155" s="35"/>
    </row>
    <row r="156" spans="1:12" x14ac:dyDescent="0.3">
      <c r="A156" s="36"/>
      <c r="G156" s="35"/>
      <c r="H156" s="35"/>
      <c r="I156" s="35"/>
      <c r="J156" s="35"/>
      <c r="K156" s="35"/>
      <c r="L156" s="35"/>
    </row>
    <row r="157" spans="1:12" x14ac:dyDescent="0.3">
      <c r="A157" s="36"/>
      <c r="G157" s="35"/>
      <c r="H157" s="35"/>
      <c r="I157" s="35"/>
      <c r="J157" s="35"/>
      <c r="K157" s="35"/>
      <c r="L157" s="35"/>
    </row>
    <row r="158" spans="1:12" x14ac:dyDescent="0.3">
      <c r="A158" s="36"/>
      <c r="G158" s="35"/>
      <c r="H158" s="35"/>
      <c r="I158" s="35"/>
      <c r="J158" s="35"/>
      <c r="K158" s="35"/>
      <c r="L158" s="35"/>
    </row>
    <row r="159" spans="1:12" x14ac:dyDescent="0.3">
      <c r="A159" s="36"/>
      <c r="G159" s="35"/>
      <c r="H159" s="35"/>
      <c r="I159" s="35"/>
      <c r="J159" s="35"/>
      <c r="K159" s="35"/>
      <c r="L159" s="35"/>
    </row>
    <row r="160" spans="1:12" x14ac:dyDescent="0.3">
      <c r="A160" s="36"/>
      <c r="G160" s="35"/>
      <c r="H160" s="35"/>
      <c r="I160" s="35"/>
      <c r="J160" s="35"/>
      <c r="K160" s="35"/>
      <c r="L160" s="35"/>
    </row>
    <row r="161" spans="1:12" x14ac:dyDescent="0.3">
      <c r="A161" s="36"/>
      <c r="G161" s="35"/>
      <c r="H161" s="35"/>
      <c r="I161" s="35"/>
      <c r="J161" s="35"/>
      <c r="K161" s="35"/>
      <c r="L161" s="35"/>
    </row>
    <row r="162" spans="1:12" x14ac:dyDescent="0.3">
      <c r="A162" s="36"/>
      <c r="G162" s="35"/>
      <c r="H162" s="35"/>
      <c r="I162" s="35"/>
      <c r="J162" s="35"/>
      <c r="K162" s="35"/>
      <c r="L162" s="35"/>
    </row>
    <row r="163" spans="1:12" x14ac:dyDescent="0.3">
      <c r="A163" s="36"/>
      <c r="G163" s="35"/>
      <c r="H163" s="35"/>
      <c r="I163" s="35"/>
      <c r="J163" s="35"/>
      <c r="K163" s="35"/>
      <c r="L163" s="35"/>
    </row>
    <row r="164" spans="1:12" x14ac:dyDescent="0.3">
      <c r="A164" s="36"/>
      <c r="G164" s="35"/>
      <c r="H164" s="35"/>
      <c r="I164" s="35"/>
      <c r="J164" s="35"/>
      <c r="K164" s="35"/>
      <c r="L164" s="35"/>
    </row>
    <row r="165" spans="1:12" x14ac:dyDescent="0.3">
      <c r="A165" s="36"/>
      <c r="G165" s="35"/>
      <c r="H165" s="35"/>
      <c r="I165" s="35"/>
      <c r="J165" s="35"/>
      <c r="K165" s="35"/>
      <c r="L165" s="35"/>
    </row>
    <row r="166" spans="1:12" x14ac:dyDescent="0.3">
      <c r="A166" s="36"/>
      <c r="G166" s="35"/>
      <c r="H166" s="35"/>
      <c r="I166" s="35"/>
      <c r="J166" s="35"/>
      <c r="K166" s="35"/>
      <c r="L166" s="35"/>
    </row>
    <row r="167" spans="1:12" x14ac:dyDescent="0.3">
      <c r="A167" s="36"/>
      <c r="G167" s="35"/>
      <c r="H167" s="35"/>
      <c r="I167" s="35"/>
      <c r="J167" s="35"/>
      <c r="K167" s="35"/>
      <c r="L167" s="35"/>
    </row>
    <row r="168" spans="1:12" x14ac:dyDescent="0.3">
      <c r="A168" s="36"/>
      <c r="G168" s="35"/>
      <c r="H168" s="35"/>
      <c r="I168" s="35"/>
      <c r="J168" s="35"/>
      <c r="K168" s="35"/>
      <c r="L168" s="35"/>
    </row>
    <row r="169" spans="1:12" x14ac:dyDescent="0.3">
      <c r="A169" s="36"/>
      <c r="G169" s="35"/>
      <c r="H169" s="35"/>
      <c r="I169" s="35"/>
      <c r="J169" s="35"/>
      <c r="K169" s="35"/>
      <c r="L169" s="35"/>
    </row>
    <row r="170" spans="1:12" x14ac:dyDescent="0.3">
      <c r="A170" s="36"/>
      <c r="G170" s="35"/>
      <c r="H170" s="35"/>
      <c r="I170" s="35"/>
      <c r="J170" s="35"/>
      <c r="K170" s="35"/>
      <c r="L170" s="35"/>
    </row>
    <row r="171" spans="1:12" x14ac:dyDescent="0.3">
      <c r="A171" s="36"/>
      <c r="G171" s="35"/>
      <c r="H171" s="35"/>
      <c r="I171" s="35"/>
      <c r="J171" s="35"/>
      <c r="K171" s="35"/>
      <c r="L171" s="35"/>
    </row>
    <row r="172" spans="1:12" x14ac:dyDescent="0.3">
      <c r="A172" s="36"/>
      <c r="G172" s="35"/>
      <c r="H172" s="35"/>
      <c r="I172" s="35"/>
      <c r="J172" s="35"/>
      <c r="K172" s="35"/>
      <c r="L172" s="35"/>
    </row>
    <row r="173" spans="1:12" x14ac:dyDescent="0.3">
      <c r="A173" s="36"/>
      <c r="G173" s="35"/>
      <c r="H173" s="35"/>
      <c r="I173" s="35"/>
      <c r="J173" s="35"/>
      <c r="K173" s="35"/>
      <c r="L173" s="35"/>
    </row>
    <row r="174" spans="1:12" x14ac:dyDescent="0.3">
      <c r="A174" s="36"/>
      <c r="G174" s="35"/>
      <c r="H174" s="35"/>
      <c r="I174" s="35"/>
      <c r="J174" s="35"/>
      <c r="K174" s="35"/>
      <c r="L174" s="35"/>
    </row>
    <row r="175" spans="1:12" x14ac:dyDescent="0.3">
      <c r="A175" s="36"/>
      <c r="G175" s="35"/>
      <c r="H175" s="35"/>
      <c r="I175" s="35"/>
      <c r="J175" s="35"/>
      <c r="K175" s="35"/>
      <c r="L175" s="35"/>
    </row>
    <row r="176" spans="1:12" x14ac:dyDescent="0.3">
      <c r="A176" s="36"/>
      <c r="G176" s="35"/>
      <c r="H176" s="35"/>
      <c r="I176" s="35"/>
      <c r="J176" s="35"/>
      <c r="K176" s="35"/>
      <c r="L176" s="35"/>
    </row>
    <row r="177" spans="1:12" x14ac:dyDescent="0.3">
      <c r="A177" s="36"/>
      <c r="G177" s="35"/>
      <c r="H177" s="35"/>
      <c r="I177" s="35"/>
      <c r="J177" s="35"/>
      <c r="K177" s="35"/>
      <c r="L177" s="35"/>
    </row>
    <row r="178" spans="1:12" x14ac:dyDescent="0.3">
      <c r="A178" s="36"/>
      <c r="G178" s="35"/>
      <c r="H178" s="35"/>
      <c r="I178" s="35"/>
      <c r="J178" s="35"/>
      <c r="K178" s="35"/>
      <c r="L178" s="35"/>
    </row>
    <row r="179" spans="1:12" x14ac:dyDescent="0.3">
      <c r="A179" s="36"/>
      <c r="G179" s="35"/>
      <c r="H179" s="35"/>
      <c r="I179" s="35"/>
      <c r="J179" s="35"/>
      <c r="K179" s="35"/>
      <c r="L179" s="35"/>
    </row>
    <row r="180" spans="1:12" x14ac:dyDescent="0.3">
      <c r="A180" s="36"/>
      <c r="G180" s="35"/>
      <c r="H180" s="35"/>
      <c r="I180" s="35"/>
      <c r="J180" s="35"/>
      <c r="K180" s="35"/>
      <c r="L180" s="35"/>
    </row>
    <row r="181" spans="1:12" x14ac:dyDescent="0.3">
      <c r="A181" s="36"/>
      <c r="G181" s="35"/>
      <c r="H181" s="35"/>
      <c r="I181" s="35"/>
      <c r="J181" s="35"/>
      <c r="K181" s="35"/>
      <c r="L181" s="35"/>
    </row>
    <row r="182" spans="1:12" x14ac:dyDescent="0.3">
      <c r="A182" s="36"/>
      <c r="G182" s="35"/>
      <c r="H182" s="35"/>
      <c r="I182" s="35"/>
      <c r="J182" s="35"/>
      <c r="K182" s="35"/>
      <c r="L182" s="35"/>
    </row>
    <row r="183" spans="1:12" x14ac:dyDescent="0.3">
      <c r="A183" s="36"/>
      <c r="G183" s="35"/>
      <c r="H183" s="35"/>
      <c r="I183" s="35"/>
      <c r="J183" s="35"/>
      <c r="K183" s="35"/>
      <c r="L183" s="35"/>
    </row>
    <row r="184" spans="1:12" x14ac:dyDescent="0.3">
      <c r="A184" s="36"/>
      <c r="G184" s="35"/>
      <c r="H184" s="35"/>
      <c r="I184" s="35"/>
      <c r="J184" s="35"/>
      <c r="K184" s="35"/>
      <c r="L184" s="35"/>
    </row>
    <row r="185" spans="1:12" x14ac:dyDescent="0.3">
      <c r="A185" s="36"/>
      <c r="G185" s="35"/>
      <c r="H185" s="35"/>
      <c r="I185" s="35"/>
      <c r="J185" s="35"/>
      <c r="K185" s="35"/>
      <c r="L185" s="35"/>
    </row>
    <row r="186" spans="1:12" x14ac:dyDescent="0.3">
      <c r="A186" s="36"/>
      <c r="G186" s="35"/>
      <c r="H186" s="35"/>
      <c r="I186" s="35"/>
      <c r="J186" s="35"/>
      <c r="K186" s="35"/>
      <c r="L186" s="35"/>
    </row>
    <row r="187" spans="1:12" x14ac:dyDescent="0.3">
      <c r="A187" s="36"/>
      <c r="G187" s="35"/>
      <c r="H187" s="35"/>
      <c r="I187" s="35"/>
      <c r="J187" s="35"/>
      <c r="K187" s="35"/>
      <c r="L187" s="35"/>
    </row>
    <row r="188" spans="1:12" x14ac:dyDescent="0.3">
      <c r="A188" s="36"/>
      <c r="G188" s="35"/>
      <c r="H188" s="35"/>
      <c r="I188" s="35"/>
      <c r="J188" s="35"/>
      <c r="K188" s="35"/>
      <c r="L188" s="35"/>
    </row>
    <row r="189" spans="1:12" x14ac:dyDescent="0.3">
      <c r="A189" s="36"/>
      <c r="G189" s="35"/>
      <c r="H189" s="35"/>
      <c r="I189" s="35"/>
      <c r="J189" s="35"/>
      <c r="K189" s="35"/>
      <c r="L189" s="35"/>
    </row>
    <row r="190" spans="1:12" x14ac:dyDescent="0.3">
      <c r="A190" s="36"/>
      <c r="G190" s="35"/>
      <c r="H190" s="35"/>
      <c r="I190" s="35"/>
      <c r="J190" s="35"/>
      <c r="K190" s="35"/>
      <c r="L190" s="35"/>
    </row>
    <row r="191" spans="1:12" x14ac:dyDescent="0.3">
      <c r="A191" s="36"/>
      <c r="G191" s="35"/>
      <c r="H191" s="35"/>
      <c r="I191" s="35"/>
      <c r="J191" s="35"/>
      <c r="K191" s="35"/>
      <c r="L191" s="35"/>
    </row>
    <row r="192" spans="1:12" x14ac:dyDescent="0.3">
      <c r="A192" s="36"/>
      <c r="G192" s="35"/>
      <c r="H192" s="35"/>
      <c r="I192" s="35"/>
      <c r="J192" s="35"/>
      <c r="K192" s="35"/>
      <c r="L192" s="35"/>
    </row>
    <row r="193" spans="1:12" x14ac:dyDescent="0.3">
      <c r="A193" s="36"/>
      <c r="G193" s="35"/>
      <c r="H193" s="35"/>
      <c r="I193" s="35"/>
      <c r="J193" s="35"/>
      <c r="K193" s="35"/>
      <c r="L193" s="35"/>
    </row>
    <row r="194" spans="1:12" x14ac:dyDescent="0.3">
      <c r="A194" s="36"/>
      <c r="G194" s="35"/>
      <c r="H194" s="35"/>
      <c r="I194" s="35"/>
      <c r="J194" s="35"/>
      <c r="K194" s="35"/>
      <c r="L194" s="35"/>
    </row>
    <row r="195" spans="1:12" x14ac:dyDescent="0.3">
      <c r="A195" s="36"/>
      <c r="G195" s="35"/>
      <c r="H195" s="35"/>
      <c r="I195" s="35"/>
      <c r="J195" s="35"/>
      <c r="K195" s="35"/>
      <c r="L195" s="35"/>
    </row>
    <row r="196" spans="1:12" x14ac:dyDescent="0.3">
      <c r="A196" s="36"/>
      <c r="G196" s="35"/>
      <c r="H196" s="35"/>
      <c r="I196" s="35"/>
      <c r="J196" s="35"/>
      <c r="K196" s="35"/>
      <c r="L196" s="35"/>
    </row>
    <row r="197" spans="1:12" x14ac:dyDescent="0.3">
      <c r="A197" s="36"/>
      <c r="G197" s="35"/>
      <c r="H197" s="35"/>
      <c r="I197" s="35"/>
      <c r="J197" s="35"/>
      <c r="K197" s="35"/>
      <c r="L197" s="35"/>
    </row>
    <row r="198" spans="1:12" x14ac:dyDescent="0.3">
      <c r="A198" s="36"/>
      <c r="G198" s="35"/>
      <c r="H198" s="35"/>
      <c r="I198" s="35"/>
      <c r="J198" s="35"/>
      <c r="K198" s="35"/>
      <c r="L198" s="35"/>
    </row>
    <row r="199" spans="1:12" x14ac:dyDescent="0.3">
      <c r="A199" s="36"/>
      <c r="G199" s="35"/>
      <c r="H199" s="35"/>
      <c r="I199" s="35"/>
      <c r="J199" s="35"/>
      <c r="K199" s="35"/>
      <c r="L199" s="35"/>
    </row>
    <row r="200" spans="1:12" x14ac:dyDescent="0.3">
      <c r="A200" s="36"/>
      <c r="G200" s="35"/>
      <c r="H200" s="35"/>
      <c r="I200" s="35"/>
      <c r="J200" s="35"/>
      <c r="K200" s="35"/>
      <c r="L200" s="35"/>
    </row>
    <row r="201" spans="1:12" x14ac:dyDescent="0.3">
      <c r="A201" s="36"/>
      <c r="G201" s="35"/>
      <c r="H201" s="35"/>
      <c r="I201" s="35"/>
      <c r="J201" s="35"/>
      <c r="K201" s="35"/>
      <c r="L201" s="35"/>
    </row>
    <row r="202" spans="1:12" x14ac:dyDescent="0.3">
      <c r="A202" s="36"/>
      <c r="G202" s="35"/>
      <c r="H202" s="35"/>
      <c r="I202" s="35"/>
      <c r="J202" s="35"/>
      <c r="K202" s="35"/>
      <c r="L202" s="35"/>
    </row>
    <row r="203" spans="1:12" x14ac:dyDescent="0.3">
      <c r="A203" s="36"/>
      <c r="G203" s="35"/>
      <c r="H203" s="35"/>
      <c r="I203" s="35"/>
      <c r="J203" s="35"/>
      <c r="K203" s="35"/>
      <c r="L203" s="35"/>
    </row>
    <row r="204" spans="1:12" x14ac:dyDescent="0.3">
      <c r="A204" s="36"/>
      <c r="G204" s="35"/>
      <c r="H204" s="35"/>
      <c r="I204" s="35"/>
      <c r="J204" s="35"/>
      <c r="K204" s="35"/>
      <c r="L204" s="35"/>
    </row>
    <row r="205" spans="1:12" x14ac:dyDescent="0.3">
      <c r="A205" s="36"/>
      <c r="G205" s="35"/>
      <c r="H205" s="35"/>
      <c r="I205" s="35"/>
      <c r="J205" s="35"/>
      <c r="K205" s="35"/>
      <c r="L205" s="35"/>
    </row>
    <row r="206" spans="1:12" x14ac:dyDescent="0.3">
      <c r="A206" s="36"/>
      <c r="G206" s="35"/>
      <c r="H206" s="35"/>
      <c r="I206" s="35"/>
      <c r="J206" s="35"/>
      <c r="K206" s="35"/>
      <c r="L206" s="35"/>
    </row>
    <row r="207" spans="1:12" x14ac:dyDescent="0.3">
      <c r="A207" s="36"/>
      <c r="G207" s="35"/>
      <c r="H207" s="35"/>
      <c r="I207" s="35"/>
      <c r="J207" s="35"/>
      <c r="K207" s="35"/>
      <c r="L207" s="35"/>
    </row>
    <row r="208" spans="1:12" x14ac:dyDescent="0.3">
      <c r="A208" s="36"/>
      <c r="G208" s="35"/>
      <c r="H208" s="35"/>
      <c r="I208" s="35"/>
      <c r="J208" s="35"/>
      <c r="K208" s="35"/>
      <c r="L208" s="35"/>
    </row>
    <row r="209" spans="1:12" x14ac:dyDescent="0.3">
      <c r="A209" s="36"/>
      <c r="G209" s="35"/>
      <c r="H209" s="35"/>
      <c r="I209" s="35"/>
      <c r="J209" s="35"/>
      <c r="K209" s="35"/>
      <c r="L209" s="35"/>
    </row>
    <row r="210" spans="1:12" x14ac:dyDescent="0.3">
      <c r="A210" s="36"/>
      <c r="G210" s="35"/>
      <c r="H210" s="35"/>
      <c r="I210" s="35"/>
      <c r="J210" s="35"/>
      <c r="K210" s="35"/>
      <c r="L210" s="35"/>
    </row>
    <row r="211" spans="1:12" x14ac:dyDescent="0.3">
      <c r="A211" s="36"/>
      <c r="G211" s="35"/>
      <c r="H211" s="35"/>
      <c r="I211" s="35"/>
      <c r="J211" s="35"/>
      <c r="K211" s="35"/>
      <c r="L211" s="35"/>
    </row>
    <row r="212" spans="1:12" x14ac:dyDescent="0.3">
      <c r="A212" s="36"/>
      <c r="G212" s="35"/>
      <c r="H212" s="35"/>
      <c r="I212" s="35"/>
      <c r="J212" s="35"/>
      <c r="K212" s="35"/>
      <c r="L212" s="35"/>
    </row>
    <row r="213" spans="1:12" x14ac:dyDescent="0.3">
      <c r="A213" s="36"/>
      <c r="G213" s="35"/>
      <c r="H213" s="35"/>
      <c r="I213" s="35"/>
      <c r="J213" s="35"/>
      <c r="K213" s="35"/>
      <c r="L213" s="35"/>
    </row>
    <row r="214" spans="1:12" x14ac:dyDescent="0.3">
      <c r="A214" s="36"/>
      <c r="G214" s="35"/>
      <c r="H214" s="35"/>
      <c r="I214" s="35"/>
      <c r="J214" s="35"/>
      <c r="K214" s="35"/>
      <c r="L214" s="35"/>
    </row>
    <row r="215" spans="1:12" x14ac:dyDescent="0.3">
      <c r="A215" s="36"/>
      <c r="G215" s="35"/>
      <c r="H215" s="35"/>
      <c r="I215" s="35"/>
      <c r="J215" s="35"/>
      <c r="K215" s="35"/>
      <c r="L215" s="35"/>
    </row>
    <row r="216" spans="1:12" x14ac:dyDescent="0.3">
      <c r="A216" s="36"/>
      <c r="G216" s="35"/>
      <c r="H216" s="35"/>
      <c r="I216" s="35"/>
      <c r="J216" s="35"/>
      <c r="K216" s="35"/>
      <c r="L216" s="35"/>
    </row>
    <row r="217" spans="1:12" x14ac:dyDescent="0.3">
      <c r="A217" s="36"/>
      <c r="G217" s="35"/>
      <c r="H217" s="35"/>
      <c r="I217" s="35"/>
      <c r="J217" s="35"/>
      <c r="K217" s="35"/>
      <c r="L217" s="35"/>
    </row>
    <row r="218" spans="1:12" x14ac:dyDescent="0.3">
      <c r="A218" s="36"/>
      <c r="G218" s="35"/>
      <c r="H218" s="35"/>
      <c r="I218" s="35"/>
      <c r="J218" s="35"/>
      <c r="K218" s="35"/>
      <c r="L218" s="35"/>
    </row>
    <row r="219" spans="1:12" x14ac:dyDescent="0.3">
      <c r="A219" s="36"/>
      <c r="G219" s="35"/>
      <c r="H219" s="35"/>
      <c r="I219" s="35"/>
      <c r="J219" s="35"/>
      <c r="K219" s="35"/>
      <c r="L219" s="35"/>
    </row>
    <row r="220" spans="1:12" x14ac:dyDescent="0.3">
      <c r="A220" s="36"/>
      <c r="G220" s="35"/>
      <c r="H220" s="35"/>
      <c r="I220" s="35"/>
      <c r="J220" s="35"/>
      <c r="K220" s="35"/>
      <c r="L220" s="35"/>
    </row>
    <row r="221" spans="1:12" x14ac:dyDescent="0.3">
      <c r="A221" s="36"/>
      <c r="G221" s="35"/>
      <c r="H221" s="35"/>
      <c r="I221" s="35"/>
      <c r="J221" s="35"/>
      <c r="K221" s="35"/>
      <c r="L221" s="35"/>
    </row>
    <row r="222" spans="1:12" x14ac:dyDescent="0.3">
      <c r="A222" s="36"/>
      <c r="G222" s="35"/>
      <c r="H222" s="35"/>
      <c r="I222" s="35"/>
      <c r="J222" s="35"/>
      <c r="K222" s="35"/>
      <c r="L222" s="35"/>
    </row>
    <row r="223" spans="1:12" x14ac:dyDescent="0.3">
      <c r="A223" s="36"/>
      <c r="G223" s="35"/>
      <c r="H223" s="35"/>
      <c r="I223" s="35"/>
      <c r="J223" s="35"/>
      <c r="K223" s="35"/>
      <c r="L223" s="35"/>
    </row>
    <row r="224" spans="1:12" x14ac:dyDescent="0.3">
      <c r="A224" s="36"/>
      <c r="G224" s="35"/>
      <c r="H224" s="35"/>
      <c r="I224" s="35"/>
      <c r="J224" s="35"/>
      <c r="K224" s="35"/>
      <c r="L224" s="35"/>
    </row>
    <row r="225" spans="1:12" x14ac:dyDescent="0.3">
      <c r="A225" s="36"/>
      <c r="G225" s="35"/>
      <c r="H225" s="35"/>
      <c r="I225" s="35"/>
      <c r="J225" s="35"/>
      <c r="K225" s="35"/>
      <c r="L225" s="35"/>
    </row>
    <row r="226" spans="1:12" x14ac:dyDescent="0.3">
      <c r="A226" s="36"/>
      <c r="G226" s="35"/>
      <c r="H226" s="35"/>
      <c r="I226" s="35"/>
      <c r="J226" s="35"/>
      <c r="K226" s="35"/>
      <c r="L226" s="35"/>
    </row>
    <row r="227" spans="1:12" x14ac:dyDescent="0.3">
      <c r="A227" s="36"/>
      <c r="G227" s="35"/>
      <c r="H227" s="35"/>
      <c r="I227" s="35"/>
      <c r="J227" s="35"/>
      <c r="K227" s="35"/>
      <c r="L227" s="35"/>
    </row>
    <row r="228" spans="1:12" x14ac:dyDescent="0.3">
      <c r="A228" s="36"/>
      <c r="G228" s="35"/>
      <c r="H228" s="35"/>
      <c r="I228" s="35"/>
      <c r="J228" s="35"/>
      <c r="K228" s="35"/>
      <c r="L228" s="35"/>
    </row>
    <row r="229" spans="1:12" x14ac:dyDescent="0.3">
      <c r="A229" s="36"/>
      <c r="G229" s="35"/>
      <c r="H229" s="35"/>
      <c r="I229" s="35"/>
      <c r="J229" s="35"/>
      <c r="K229" s="35"/>
      <c r="L229" s="35"/>
    </row>
    <row r="230" spans="1:12" x14ac:dyDescent="0.3">
      <c r="A230" s="36"/>
      <c r="G230" s="35"/>
      <c r="H230" s="35"/>
      <c r="I230" s="35"/>
      <c r="J230" s="35"/>
      <c r="K230" s="35"/>
      <c r="L230" s="35"/>
    </row>
    <row r="231" spans="1:12" x14ac:dyDescent="0.3">
      <c r="A231" s="36"/>
      <c r="G231" s="35"/>
      <c r="H231" s="35"/>
      <c r="I231" s="35"/>
      <c r="J231" s="35"/>
      <c r="K231" s="35"/>
      <c r="L231" s="35"/>
    </row>
    <row r="232" spans="1:12" x14ac:dyDescent="0.3">
      <c r="A232" s="36"/>
      <c r="G232" s="35"/>
      <c r="H232" s="35"/>
      <c r="I232" s="35"/>
      <c r="J232" s="35"/>
      <c r="K232" s="35"/>
      <c r="L232" s="35"/>
    </row>
    <row r="233" spans="1:12" x14ac:dyDescent="0.3">
      <c r="A233" s="36"/>
      <c r="G233" s="35"/>
      <c r="H233" s="35"/>
      <c r="I233" s="35"/>
      <c r="J233" s="35"/>
      <c r="K233" s="35"/>
      <c r="L233" s="35"/>
    </row>
    <row r="234" spans="1:12" x14ac:dyDescent="0.3">
      <c r="A234" s="36"/>
      <c r="G234" s="35"/>
      <c r="H234" s="35"/>
      <c r="I234" s="35"/>
      <c r="J234" s="35"/>
      <c r="K234" s="35"/>
      <c r="L234" s="35"/>
    </row>
    <row r="235" spans="1:12" x14ac:dyDescent="0.3">
      <c r="A235" s="36"/>
      <c r="G235" s="35"/>
      <c r="H235" s="35"/>
      <c r="I235" s="35"/>
      <c r="J235" s="35"/>
      <c r="K235" s="35"/>
      <c r="L235" s="35"/>
    </row>
    <row r="236" spans="1:12" x14ac:dyDescent="0.3">
      <c r="A236" s="36"/>
      <c r="G236" s="35"/>
      <c r="H236" s="35"/>
      <c r="I236" s="35"/>
      <c r="J236" s="35"/>
      <c r="K236" s="35"/>
      <c r="L236" s="35"/>
    </row>
    <row r="237" spans="1:12" x14ac:dyDescent="0.3">
      <c r="A237" s="36"/>
      <c r="G237" s="35"/>
      <c r="H237" s="35"/>
      <c r="I237" s="35"/>
      <c r="J237" s="35"/>
      <c r="K237" s="35"/>
      <c r="L237" s="35"/>
    </row>
    <row r="238" spans="1:12" x14ac:dyDescent="0.3">
      <c r="A238" s="36"/>
      <c r="G238" s="35"/>
      <c r="H238" s="35"/>
      <c r="I238" s="35"/>
      <c r="J238" s="35"/>
      <c r="K238" s="35"/>
      <c r="L238" s="35"/>
    </row>
    <row r="239" spans="1:12" x14ac:dyDescent="0.3">
      <c r="A239" s="36"/>
      <c r="G239" s="35"/>
      <c r="H239" s="35"/>
      <c r="I239" s="35"/>
      <c r="J239" s="35"/>
      <c r="K239" s="35"/>
      <c r="L239" s="35"/>
    </row>
    <row r="240" spans="1:12" x14ac:dyDescent="0.3">
      <c r="A240" s="36"/>
      <c r="G240" s="35"/>
      <c r="H240" s="35"/>
      <c r="I240" s="35"/>
      <c r="J240" s="35"/>
      <c r="K240" s="35"/>
      <c r="L240" s="35"/>
    </row>
    <row r="241" spans="1:12" x14ac:dyDescent="0.3">
      <c r="A241" s="36"/>
      <c r="G241" s="35"/>
      <c r="H241" s="35"/>
      <c r="I241" s="35"/>
      <c r="J241" s="35"/>
      <c r="K241" s="35"/>
      <c r="L241" s="35"/>
    </row>
    <row r="242" spans="1:12" x14ac:dyDescent="0.3">
      <c r="A242" s="36"/>
      <c r="G242" s="35"/>
      <c r="H242" s="35"/>
      <c r="I242" s="35"/>
      <c r="J242" s="35"/>
      <c r="K242" s="35"/>
      <c r="L242" s="35"/>
    </row>
    <row r="243" spans="1:12" x14ac:dyDescent="0.3">
      <c r="A243" s="36"/>
      <c r="G243" s="35"/>
      <c r="H243" s="35"/>
      <c r="I243" s="35"/>
      <c r="J243" s="35"/>
      <c r="K243" s="35"/>
      <c r="L243" s="35"/>
    </row>
    <row r="244" spans="1:12" x14ac:dyDescent="0.3">
      <c r="A244" s="36"/>
      <c r="G244" s="35"/>
      <c r="H244" s="35"/>
      <c r="I244" s="35"/>
      <c r="J244" s="35"/>
      <c r="K244" s="35"/>
      <c r="L244" s="35"/>
    </row>
    <row r="245" spans="1:12" x14ac:dyDescent="0.3">
      <c r="A245" s="36"/>
      <c r="G245" s="35"/>
      <c r="H245" s="35"/>
      <c r="I245" s="35"/>
      <c r="J245" s="35"/>
      <c r="K245" s="35"/>
      <c r="L245" s="35"/>
    </row>
    <row r="246" spans="1:12" x14ac:dyDescent="0.3">
      <c r="A246" s="36"/>
      <c r="G246" s="35"/>
      <c r="H246" s="35"/>
      <c r="I246" s="35"/>
      <c r="J246" s="35"/>
      <c r="K246" s="35"/>
      <c r="L246" s="35"/>
    </row>
    <row r="247" spans="1:12" x14ac:dyDescent="0.3">
      <c r="A247" s="36"/>
      <c r="G247" s="35"/>
      <c r="H247" s="35"/>
      <c r="I247" s="35"/>
      <c r="J247" s="35"/>
      <c r="K247" s="35"/>
      <c r="L247" s="35"/>
    </row>
    <row r="248" spans="1:12" x14ac:dyDescent="0.3">
      <c r="A248" s="36"/>
      <c r="G248" s="35"/>
      <c r="H248" s="35"/>
      <c r="I248" s="35"/>
      <c r="J248" s="35"/>
      <c r="K248" s="35"/>
      <c r="L248" s="35"/>
    </row>
    <row r="249" spans="1:12" x14ac:dyDescent="0.3">
      <c r="A249" s="36"/>
      <c r="G249" s="35"/>
      <c r="H249" s="35"/>
      <c r="I249" s="35"/>
      <c r="J249" s="35"/>
      <c r="K249" s="35"/>
      <c r="L249" s="35"/>
    </row>
    <row r="250" spans="1:12" x14ac:dyDescent="0.3">
      <c r="A250" s="36"/>
      <c r="G250" s="35"/>
      <c r="H250" s="35"/>
      <c r="I250" s="35"/>
      <c r="J250" s="35"/>
      <c r="K250" s="35"/>
      <c r="L250" s="35"/>
    </row>
    <row r="251" spans="1:12" x14ac:dyDescent="0.3">
      <c r="A251" s="36"/>
      <c r="G251" s="35"/>
      <c r="H251" s="35"/>
      <c r="I251" s="35"/>
      <c r="J251" s="35"/>
      <c r="K251" s="35"/>
      <c r="L251" s="35"/>
    </row>
    <row r="252" spans="1:12" x14ac:dyDescent="0.3">
      <c r="A252" s="36"/>
      <c r="G252" s="35"/>
      <c r="H252" s="35"/>
      <c r="I252" s="35"/>
      <c r="J252" s="35"/>
      <c r="K252" s="35"/>
      <c r="L252" s="35"/>
    </row>
    <row r="253" spans="1:12" x14ac:dyDescent="0.3">
      <c r="A253" s="36"/>
      <c r="G253" s="35"/>
      <c r="H253" s="35"/>
      <c r="I253" s="35"/>
      <c r="J253" s="35"/>
      <c r="K253" s="35"/>
      <c r="L253" s="35"/>
    </row>
    <row r="254" spans="1:12" x14ac:dyDescent="0.3">
      <c r="A254" s="36"/>
      <c r="G254" s="35"/>
      <c r="H254" s="35"/>
      <c r="I254" s="35"/>
      <c r="J254" s="35"/>
      <c r="K254" s="35"/>
      <c r="L254" s="35"/>
    </row>
    <row r="255" spans="1:12" x14ac:dyDescent="0.3">
      <c r="A255" s="36"/>
      <c r="G255" s="35"/>
      <c r="H255" s="35"/>
      <c r="I255" s="35"/>
      <c r="J255" s="35"/>
      <c r="K255" s="35"/>
      <c r="L255" s="35"/>
    </row>
    <row r="256" spans="1:12" x14ac:dyDescent="0.3">
      <c r="A256" s="36"/>
      <c r="G256" s="35"/>
      <c r="H256" s="35"/>
      <c r="I256" s="35"/>
      <c r="J256" s="35"/>
      <c r="K256" s="35"/>
      <c r="L256" s="35"/>
    </row>
    <row r="257" spans="1:12" x14ac:dyDescent="0.3">
      <c r="A257" s="36"/>
      <c r="G257" s="35"/>
      <c r="H257" s="35"/>
      <c r="I257" s="35"/>
      <c r="J257" s="35"/>
      <c r="K257" s="35"/>
      <c r="L257" s="35"/>
    </row>
    <row r="258" spans="1:12" x14ac:dyDescent="0.3">
      <c r="A258" s="36"/>
      <c r="G258" s="35"/>
      <c r="H258" s="35"/>
      <c r="I258" s="35"/>
      <c r="J258" s="35"/>
      <c r="K258" s="35"/>
      <c r="L258" s="35"/>
    </row>
    <row r="259" spans="1:12" x14ac:dyDescent="0.3">
      <c r="A259" s="36"/>
      <c r="G259" s="35"/>
      <c r="H259" s="35"/>
      <c r="I259" s="35"/>
      <c r="J259" s="35"/>
      <c r="K259" s="35"/>
      <c r="L259" s="35"/>
    </row>
    <row r="260" spans="1:12" x14ac:dyDescent="0.3">
      <c r="A260" s="36"/>
      <c r="G260" s="35"/>
      <c r="H260" s="35"/>
      <c r="I260" s="35"/>
      <c r="J260" s="35"/>
      <c r="K260" s="35"/>
      <c r="L260" s="35"/>
    </row>
    <row r="261" spans="1:12" x14ac:dyDescent="0.3">
      <c r="A261" s="36"/>
      <c r="G261" s="35"/>
      <c r="H261" s="35"/>
      <c r="I261" s="35"/>
      <c r="J261" s="35"/>
      <c r="K261" s="35"/>
      <c r="L261" s="35"/>
    </row>
    <row r="262" spans="1:12" x14ac:dyDescent="0.3">
      <c r="A262" s="36"/>
      <c r="G262" s="35"/>
      <c r="H262" s="35"/>
      <c r="I262" s="35"/>
      <c r="J262" s="35"/>
      <c r="K262" s="35"/>
      <c r="L262" s="35"/>
    </row>
    <row r="263" spans="1:12" x14ac:dyDescent="0.3">
      <c r="A263" s="36"/>
      <c r="G263" s="35"/>
      <c r="H263" s="35"/>
      <c r="I263" s="35"/>
      <c r="J263" s="35"/>
      <c r="K263" s="35"/>
      <c r="L263" s="35"/>
    </row>
    <row r="264" spans="1:12" x14ac:dyDescent="0.3">
      <c r="A264" s="36"/>
      <c r="G264" s="35"/>
      <c r="H264" s="35"/>
      <c r="I264" s="35"/>
      <c r="J264" s="35"/>
      <c r="K264" s="35"/>
      <c r="L264" s="35"/>
    </row>
    <row r="265" spans="1:12" x14ac:dyDescent="0.3">
      <c r="A265" s="36"/>
      <c r="G265" s="35"/>
      <c r="H265" s="35"/>
      <c r="I265" s="35"/>
      <c r="J265" s="35"/>
      <c r="K265" s="35"/>
      <c r="L265" s="35"/>
    </row>
    <row r="266" spans="1:12" x14ac:dyDescent="0.3">
      <c r="A266" s="36"/>
      <c r="G266" s="35"/>
      <c r="H266" s="35"/>
      <c r="I266" s="35"/>
      <c r="J266" s="35"/>
      <c r="K266" s="35"/>
      <c r="L266" s="35"/>
    </row>
    <row r="267" spans="1:12" x14ac:dyDescent="0.3">
      <c r="A267" s="36"/>
      <c r="G267" s="35"/>
      <c r="H267" s="35"/>
      <c r="I267" s="35"/>
      <c r="J267" s="35"/>
      <c r="K267" s="35"/>
      <c r="L267" s="35"/>
    </row>
    <row r="268" spans="1:12" x14ac:dyDescent="0.3">
      <c r="A268" s="36"/>
      <c r="G268" s="35"/>
      <c r="H268" s="35"/>
      <c r="I268" s="35"/>
      <c r="J268" s="35"/>
      <c r="K268" s="35"/>
      <c r="L268" s="35"/>
    </row>
    <row r="269" spans="1:12" x14ac:dyDescent="0.3">
      <c r="A269" s="36"/>
      <c r="G269" s="35"/>
      <c r="H269" s="35"/>
      <c r="I269" s="35"/>
      <c r="J269" s="35"/>
      <c r="K269" s="35"/>
      <c r="L269" s="35"/>
    </row>
    <row r="270" spans="1:12" x14ac:dyDescent="0.3">
      <c r="A270" s="36"/>
      <c r="G270" s="35"/>
      <c r="H270" s="35"/>
      <c r="I270" s="35"/>
      <c r="J270" s="35"/>
      <c r="K270" s="35"/>
      <c r="L270" s="35"/>
    </row>
    <row r="271" spans="1:12" x14ac:dyDescent="0.3">
      <c r="A271" s="36"/>
      <c r="G271" s="35"/>
      <c r="H271" s="35"/>
      <c r="I271" s="35"/>
      <c r="J271" s="35"/>
      <c r="K271" s="35"/>
      <c r="L271" s="35"/>
    </row>
    <row r="272" spans="1:12" x14ac:dyDescent="0.3">
      <c r="A272" s="36"/>
      <c r="G272" s="35"/>
      <c r="H272" s="35"/>
      <c r="I272" s="35"/>
      <c r="J272" s="35"/>
      <c r="K272" s="35"/>
      <c r="L272" s="35"/>
    </row>
    <row r="273" spans="1:12" x14ac:dyDescent="0.3">
      <c r="A273" s="36"/>
      <c r="G273" s="35"/>
      <c r="H273" s="35"/>
      <c r="I273" s="35"/>
      <c r="J273" s="35"/>
      <c r="K273" s="35"/>
      <c r="L273" s="35"/>
    </row>
    <row r="274" spans="1:12" x14ac:dyDescent="0.3">
      <c r="A274" s="36"/>
      <c r="G274" s="35"/>
      <c r="H274" s="35"/>
      <c r="I274" s="35"/>
      <c r="J274" s="35"/>
      <c r="K274" s="35"/>
      <c r="L274" s="35"/>
    </row>
    <row r="275" spans="1:12" x14ac:dyDescent="0.3">
      <c r="A275" s="36"/>
      <c r="G275" s="35"/>
      <c r="H275" s="35"/>
      <c r="I275" s="35"/>
      <c r="J275" s="35"/>
      <c r="K275" s="35"/>
      <c r="L275" s="35"/>
    </row>
    <row r="276" spans="1:12" x14ac:dyDescent="0.3">
      <c r="A276" s="36"/>
      <c r="G276" s="35"/>
      <c r="H276" s="35"/>
      <c r="I276" s="35"/>
      <c r="J276" s="35"/>
      <c r="K276" s="35"/>
      <c r="L276" s="35"/>
    </row>
    <row r="277" spans="1:12" x14ac:dyDescent="0.3">
      <c r="A277" s="36"/>
      <c r="G277" s="35"/>
      <c r="H277" s="35"/>
      <c r="I277" s="35"/>
      <c r="J277" s="35"/>
      <c r="K277" s="35"/>
      <c r="L277" s="35"/>
    </row>
    <row r="278" spans="1:12" x14ac:dyDescent="0.3">
      <c r="A278" s="36"/>
      <c r="G278" s="35"/>
      <c r="H278" s="35"/>
      <c r="I278" s="35"/>
      <c r="J278" s="35"/>
      <c r="K278" s="35"/>
      <c r="L278" s="35"/>
    </row>
    <row r="279" spans="1:12" x14ac:dyDescent="0.3">
      <c r="A279" s="36"/>
      <c r="G279" s="35"/>
      <c r="H279" s="35"/>
      <c r="I279" s="35"/>
      <c r="J279" s="35"/>
      <c r="K279" s="35"/>
      <c r="L279" s="35"/>
    </row>
    <row r="280" spans="1:12" x14ac:dyDescent="0.3">
      <c r="A280" s="36"/>
      <c r="G280" s="35"/>
      <c r="H280" s="35"/>
      <c r="I280" s="35"/>
      <c r="J280" s="35"/>
      <c r="K280" s="35"/>
      <c r="L280" s="35"/>
    </row>
    <row r="281" spans="1:12" x14ac:dyDescent="0.3">
      <c r="A281" s="36"/>
      <c r="G281" s="35"/>
      <c r="H281" s="35"/>
      <c r="I281" s="35"/>
      <c r="J281" s="35"/>
      <c r="K281" s="35"/>
      <c r="L281" s="35"/>
    </row>
    <row r="282" spans="1:12" x14ac:dyDescent="0.3">
      <c r="A282" s="36"/>
      <c r="G282" s="35"/>
      <c r="H282" s="35"/>
      <c r="I282" s="35"/>
      <c r="J282" s="35"/>
      <c r="K282" s="35"/>
      <c r="L282" s="35"/>
    </row>
    <row r="283" spans="1:12" x14ac:dyDescent="0.3">
      <c r="A283" s="36"/>
      <c r="G283" s="35"/>
      <c r="H283" s="35"/>
      <c r="I283" s="35"/>
      <c r="J283" s="35"/>
      <c r="K283" s="35"/>
      <c r="L283" s="35"/>
    </row>
    <row r="284" spans="1:12" x14ac:dyDescent="0.3">
      <c r="A284" s="36"/>
      <c r="G284" s="35"/>
      <c r="H284" s="35"/>
      <c r="I284" s="35"/>
      <c r="J284" s="35"/>
      <c r="K284" s="35"/>
      <c r="L284" s="35"/>
    </row>
    <row r="285" spans="1:12" x14ac:dyDescent="0.3">
      <c r="A285" s="36"/>
      <c r="G285" s="35"/>
      <c r="H285" s="35"/>
      <c r="I285" s="35"/>
      <c r="J285" s="35"/>
      <c r="K285" s="35"/>
      <c r="L285" s="35"/>
    </row>
    <row r="286" spans="1:12" x14ac:dyDescent="0.3">
      <c r="A286" s="36"/>
      <c r="G286" s="35"/>
      <c r="H286" s="35"/>
      <c r="I286" s="35"/>
      <c r="J286" s="35"/>
      <c r="K286" s="35"/>
      <c r="L286" s="35"/>
    </row>
    <row r="287" spans="1:12" x14ac:dyDescent="0.3">
      <c r="A287" s="36"/>
      <c r="G287" s="35"/>
      <c r="H287" s="35"/>
      <c r="I287" s="35"/>
      <c r="J287" s="35"/>
      <c r="K287" s="35"/>
      <c r="L287" s="35"/>
    </row>
    <row r="288" spans="1:12" x14ac:dyDescent="0.3">
      <c r="A288" s="36"/>
      <c r="G288" s="35"/>
      <c r="H288" s="35"/>
      <c r="I288" s="35"/>
      <c r="J288" s="35"/>
      <c r="K288" s="35"/>
      <c r="L288" s="35"/>
    </row>
    <row r="289" spans="1:12" x14ac:dyDescent="0.3">
      <c r="A289" s="36"/>
      <c r="G289" s="35"/>
      <c r="H289" s="35"/>
      <c r="I289" s="35"/>
      <c r="J289" s="35"/>
      <c r="K289" s="35"/>
      <c r="L289" s="35"/>
    </row>
    <row r="290" spans="1:12" x14ac:dyDescent="0.3">
      <c r="A290" s="36"/>
      <c r="G290" s="35"/>
      <c r="H290" s="35"/>
      <c r="I290" s="35"/>
      <c r="J290" s="35"/>
      <c r="K290" s="35"/>
      <c r="L290" s="35"/>
    </row>
    <row r="291" spans="1:12" x14ac:dyDescent="0.3">
      <c r="A291" s="36"/>
      <c r="G291" s="35"/>
      <c r="H291" s="35"/>
      <c r="I291" s="35"/>
      <c r="J291" s="35"/>
      <c r="K291" s="35"/>
      <c r="L291" s="35"/>
    </row>
    <row r="292" spans="1:12" x14ac:dyDescent="0.3">
      <c r="A292" s="36"/>
      <c r="G292" s="35"/>
      <c r="H292" s="35"/>
      <c r="I292" s="35"/>
      <c r="J292" s="35"/>
      <c r="K292" s="35"/>
      <c r="L292" s="35"/>
    </row>
    <row r="293" spans="1:12" x14ac:dyDescent="0.3">
      <c r="A293" s="36"/>
      <c r="G293" s="35"/>
      <c r="H293" s="35"/>
      <c r="I293" s="35"/>
      <c r="J293" s="35"/>
      <c r="K293" s="35"/>
      <c r="L293" s="35"/>
    </row>
    <row r="294" spans="1:12" x14ac:dyDescent="0.3">
      <c r="A294" s="36"/>
      <c r="G294" s="35"/>
      <c r="H294" s="35"/>
      <c r="I294" s="35"/>
      <c r="J294" s="35"/>
      <c r="K294" s="35"/>
      <c r="L294" s="35"/>
    </row>
    <row r="295" spans="1:12" x14ac:dyDescent="0.3">
      <c r="A295" s="36"/>
      <c r="G295" s="35"/>
      <c r="H295" s="35"/>
      <c r="I295" s="35"/>
      <c r="J295" s="35"/>
      <c r="K295" s="35"/>
      <c r="L295" s="35"/>
    </row>
    <row r="296" spans="1:12" x14ac:dyDescent="0.3">
      <c r="A296" s="36"/>
      <c r="G296" s="35"/>
      <c r="H296" s="35"/>
      <c r="I296" s="35"/>
      <c r="J296" s="35"/>
      <c r="K296" s="35"/>
      <c r="L296" s="35"/>
    </row>
    <row r="297" spans="1:12" x14ac:dyDescent="0.3">
      <c r="A297" s="36"/>
      <c r="G297" s="35"/>
      <c r="H297" s="35"/>
      <c r="I297" s="35"/>
      <c r="J297" s="35"/>
      <c r="K297" s="35"/>
      <c r="L297" s="35"/>
    </row>
    <row r="298" spans="1:12" x14ac:dyDescent="0.3">
      <c r="A298" s="36"/>
      <c r="G298" s="35"/>
      <c r="H298" s="35"/>
      <c r="I298" s="35"/>
      <c r="J298" s="35"/>
      <c r="K298" s="35"/>
      <c r="L298" s="35"/>
    </row>
    <row r="299" spans="1:12" x14ac:dyDescent="0.3">
      <c r="A299" s="36"/>
      <c r="G299" s="35"/>
      <c r="H299" s="35"/>
      <c r="I299" s="35"/>
      <c r="J299" s="35"/>
      <c r="K299" s="35"/>
      <c r="L299" s="35"/>
    </row>
    <row r="300" spans="1:12" x14ac:dyDescent="0.3">
      <c r="A300" s="36"/>
      <c r="G300" s="35"/>
      <c r="H300" s="35"/>
      <c r="I300" s="35"/>
      <c r="J300" s="35"/>
      <c r="K300" s="35"/>
      <c r="L300" s="35"/>
    </row>
    <row r="301" spans="1:12" x14ac:dyDescent="0.3">
      <c r="A301" s="36"/>
      <c r="G301" s="35"/>
      <c r="H301" s="35"/>
      <c r="I301" s="35"/>
      <c r="J301" s="35"/>
      <c r="K301" s="35"/>
      <c r="L301" s="35"/>
    </row>
    <row r="302" spans="1:12" x14ac:dyDescent="0.3">
      <c r="A302" s="36"/>
      <c r="G302" s="35"/>
      <c r="H302" s="35"/>
      <c r="I302" s="35"/>
      <c r="J302" s="35"/>
      <c r="K302" s="35"/>
      <c r="L302" s="35"/>
    </row>
    <row r="303" spans="1:12" x14ac:dyDescent="0.3">
      <c r="A303" s="36"/>
      <c r="G303" s="35"/>
      <c r="H303" s="35"/>
      <c r="I303" s="35"/>
      <c r="J303" s="35"/>
      <c r="K303" s="35"/>
      <c r="L303" s="35"/>
    </row>
    <row r="304" spans="1:12" x14ac:dyDescent="0.3">
      <c r="A304" s="36"/>
      <c r="G304" s="35"/>
      <c r="H304" s="35"/>
      <c r="I304" s="35"/>
      <c r="J304" s="35"/>
      <c r="K304" s="35"/>
      <c r="L304" s="35"/>
    </row>
    <row r="305" spans="1:12" x14ac:dyDescent="0.3">
      <c r="A305" s="36"/>
      <c r="G305" s="35"/>
      <c r="H305" s="35"/>
      <c r="I305" s="35"/>
      <c r="J305" s="35"/>
      <c r="K305" s="35"/>
      <c r="L305" s="35"/>
    </row>
    <row r="306" spans="1:12" x14ac:dyDescent="0.3">
      <c r="A306" s="36"/>
      <c r="G306" s="35"/>
      <c r="H306" s="35"/>
      <c r="I306" s="35"/>
      <c r="J306" s="35"/>
      <c r="K306" s="35"/>
      <c r="L306" s="35"/>
    </row>
    <row r="307" spans="1:12" x14ac:dyDescent="0.3">
      <c r="A307" s="36"/>
      <c r="G307" s="35"/>
      <c r="H307" s="35"/>
      <c r="I307" s="35"/>
      <c r="J307" s="35"/>
      <c r="K307" s="35"/>
      <c r="L307" s="35"/>
    </row>
    <row r="308" spans="1:12" x14ac:dyDescent="0.3">
      <c r="A308" s="36"/>
      <c r="G308" s="35"/>
      <c r="H308" s="35"/>
      <c r="I308" s="35"/>
      <c r="J308" s="35"/>
      <c r="K308" s="35"/>
      <c r="L308" s="35"/>
    </row>
    <row r="309" spans="1:12" x14ac:dyDescent="0.3">
      <c r="A309" s="36"/>
      <c r="G309" s="35"/>
      <c r="H309" s="35"/>
      <c r="I309" s="35"/>
      <c r="J309" s="35"/>
      <c r="K309" s="35"/>
      <c r="L309" s="35"/>
    </row>
    <row r="310" spans="1:12" x14ac:dyDescent="0.3">
      <c r="A310" s="36"/>
      <c r="G310" s="35"/>
      <c r="H310" s="35"/>
      <c r="I310" s="35"/>
      <c r="J310" s="35"/>
      <c r="K310" s="35"/>
      <c r="L310" s="35"/>
    </row>
    <row r="311" spans="1:12" x14ac:dyDescent="0.3">
      <c r="A311" s="36"/>
      <c r="G311" s="35"/>
      <c r="H311" s="35"/>
      <c r="I311" s="35"/>
      <c r="J311" s="35"/>
      <c r="K311" s="35"/>
      <c r="L311" s="35"/>
    </row>
    <row r="312" spans="1:12" x14ac:dyDescent="0.3">
      <c r="A312" s="36"/>
      <c r="G312" s="35"/>
      <c r="H312" s="35"/>
      <c r="I312" s="35"/>
      <c r="J312" s="35"/>
      <c r="K312" s="35"/>
      <c r="L312" s="35"/>
    </row>
    <row r="313" spans="1:12" x14ac:dyDescent="0.3">
      <c r="A313" s="36"/>
      <c r="G313" s="35"/>
      <c r="H313" s="35"/>
      <c r="I313" s="35"/>
      <c r="J313" s="35"/>
      <c r="K313" s="35"/>
      <c r="L313" s="35"/>
    </row>
    <row r="314" spans="1:12" x14ac:dyDescent="0.3">
      <c r="A314" s="36"/>
      <c r="G314" s="35"/>
      <c r="H314" s="35"/>
      <c r="I314" s="35"/>
      <c r="J314" s="35"/>
      <c r="K314" s="35"/>
      <c r="L314" s="35"/>
    </row>
    <row r="315" spans="1:12" x14ac:dyDescent="0.3">
      <c r="A315" s="36"/>
      <c r="G315" s="35"/>
      <c r="H315" s="35"/>
      <c r="I315" s="35"/>
      <c r="J315" s="35"/>
      <c r="K315" s="35"/>
      <c r="L315" s="35"/>
    </row>
    <row r="316" spans="1:12" x14ac:dyDescent="0.3">
      <c r="A316" s="36"/>
      <c r="G316" s="35"/>
      <c r="H316" s="35"/>
      <c r="I316" s="35"/>
      <c r="J316" s="35"/>
      <c r="K316" s="35"/>
      <c r="L316" s="35"/>
    </row>
    <row r="317" spans="1:12" x14ac:dyDescent="0.3">
      <c r="A317" s="36"/>
      <c r="G317" s="35"/>
      <c r="H317" s="35"/>
      <c r="I317" s="35"/>
      <c r="J317" s="35"/>
      <c r="K317" s="35"/>
      <c r="L317" s="35"/>
    </row>
    <row r="318" spans="1:12" x14ac:dyDescent="0.3">
      <c r="A318" s="36"/>
      <c r="G318" s="35"/>
      <c r="H318" s="35"/>
      <c r="I318" s="35"/>
      <c r="J318" s="35"/>
      <c r="K318" s="35"/>
      <c r="L318" s="35"/>
    </row>
    <row r="319" spans="1:12" x14ac:dyDescent="0.3">
      <c r="A319" s="36"/>
      <c r="G319" s="35"/>
      <c r="H319" s="35"/>
      <c r="I319" s="35"/>
      <c r="J319" s="35"/>
      <c r="K319" s="35"/>
      <c r="L319" s="35"/>
    </row>
    <row r="320" spans="1:12" x14ac:dyDescent="0.3">
      <c r="A320" s="36"/>
      <c r="G320" s="35"/>
      <c r="H320" s="35"/>
      <c r="I320" s="35"/>
      <c r="J320" s="35"/>
      <c r="K320" s="35"/>
      <c r="L320" s="35"/>
    </row>
    <row r="321" spans="1:12" x14ac:dyDescent="0.3">
      <c r="A321" s="36"/>
      <c r="G321" s="35"/>
      <c r="H321" s="35"/>
      <c r="I321" s="35"/>
      <c r="J321" s="35"/>
      <c r="K321" s="35"/>
      <c r="L321" s="35"/>
    </row>
    <row r="322" spans="1:12" x14ac:dyDescent="0.3">
      <c r="A322" s="36"/>
      <c r="G322" s="35"/>
      <c r="H322" s="35"/>
      <c r="I322" s="35"/>
      <c r="J322" s="35"/>
      <c r="K322" s="35"/>
      <c r="L322" s="35"/>
    </row>
    <row r="323" spans="1:12" x14ac:dyDescent="0.3">
      <c r="A323" s="36"/>
      <c r="G323" s="35"/>
      <c r="H323" s="35"/>
      <c r="I323" s="35"/>
      <c r="J323" s="35"/>
      <c r="K323" s="35"/>
      <c r="L323" s="35"/>
    </row>
    <row r="324" spans="1:12" x14ac:dyDescent="0.3">
      <c r="A324" s="36"/>
      <c r="G324" s="35"/>
      <c r="H324" s="35"/>
      <c r="I324" s="35"/>
      <c r="J324" s="35"/>
      <c r="K324" s="35"/>
      <c r="L324" s="35"/>
    </row>
    <row r="325" spans="1:12" x14ac:dyDescent="0.3">
      <c r="A325" s="36"/>
      <c r="G325" s="35"/>
      <c r="H325" s="35"/>
      <c r="I325" s="35"/>
      <c r="J325" s="35"/>
      <c r="K325" s="35"/>
      <c r="L325" s="35"/>
    </row>
    <row r="326" spans="1:12" x14ac:dyDescent="0.3">
      <c r="A326" s="36"/>
      <c r="G326" s="35"/>
      <c r="H326" s="35"/>
      <c r="I326" s="35"/>
      <c r="J326" s="35"/>
      <c r="K326" s="35"/>
      <c r="L326" s="35"/>
    </row>
    <row r="327" spans="1:12" x14ac:dyDescent="0.3">
      <c r="A327" s="36"/>
      <c r="G327" s="35"/>
      <c r="H327" s="35"/>
      <c r="I327" s="35"/>
      <c r="J327" s="35"/>
      <c r="K327" s="35"/>
      <c r="L327" s="35"/>
    </row>
    <row r="328" spans="1:12" x14ac:dyDescent="0.3">
      <c r="A328" s="36"/>
      <c r="G328" s="35"/>
      <c r="H328" s="35"/>
      <c r="I328" s="35"/>
      <c r="J328" s="35"/>
      <c r="K328" s="35"/>
      <c r="L328" s="35"/>
    </row>
    <row r="329" spans="1:12" x14ac:dyDescent="0.3">
      <c r="A329" s="36"/>
      <c r="G329" s="35"/>
      <c r="H329" s="35"/>
      <c r="I329" s="35"/>
      <c r="J329" s="35"/>
      <c r="K329" s="35"/>
      <c r="L329" s="35"/>
    </row>
    <row r="330" spans="1:12" x14ac:dyDescent="0.3">
      <c r="A330" s="36"/>
      <c r="G330" s="35"/>
      <c r="H330" s="35"/>
      <c r="I330" s="35"/>
      <c r="J330" s="35"/>
      <c r="K330" s="35"/>
      <c r="L330" s="35"/>
    </row>
    <row r="331" spans="1:12" x14ac:dyDescent="0.3">
      <c r="A331" s="36"/>
      <c r="G331" s="35"/>
      <c r="H331" s="35"/>
      <c r="I331" s="35"/>
      <c r="J331" s="35"/>
      <c r="K331" s="35"/>
      <c r="L331" s="35"/>
    </row>
    <row r="332" spans="1:12" x14ac:dyDescent="0.3">
      <c r="A332" s="36"/>
      <c r="G332" s="35"/>
      <c r="H332" s="35"/>
      <c r="I332" s="35"/>
      <c r="J332" s="35"/>
      <c r="K332" s="35"/>
      <c r="L332" s="35"/>
    </row>
    <row r="333" spans="1:12" x14ac:dyDescent="0.3">
      <c r="A333" s="36"/>
      <c r="G333" s="35"/>
      <c r="H333" s="35"/>
      <c r="I333" s="35"/>
      <c r="J333" s="35"/>
      <c r="K333" s="35"/>
      <c r="L333" s="35"/>
    </row>
    <row r="334" spans="1:12" x14ac:dyDescent="0.3">
      <c r="A334" s="36"/>
      <c r="G334" s="35"/>
      <c r="H334" s="35"/>
      <c r="I334" s="35"/>
      <c r="J334" s="35"/>
      <c r="K334" s="35"/>
      <c r="L334" s="35"/>
    </row>
    <row r="335" spans="1:12" x14ac:dyDescent="0.3">
      <c r="A335" s="36"/>
      <c r="G335" s="35"/>
      <c r="H335" s="35"/>
      <c r="I335" s="35"/>
      <c r="J335" s="35"/>
      <c r="K335" s="35"/>
      <c r="L335" s="35"/>
    </row>
    <row r="336" spans="1:12" x14ac:dyDescent="0.3">
      <c r="A336" s="36"/>
      <c r="G336" s="35"/>
      <c r="H336" s="35"/>
      <c r="I336" s="35"/>
      <c r="J336" s="35"/>
      <c r="K336" s="35"/>
      <c r="L336" s="35"/>
    </row>
    <row r="337" spans="1:12" x14ac:dyDescent="0.3">
      <c r="A337" s="36"/>
      <c r="G337" s="35"/>
      <c r="H337" s="35"/>
      <c r="I337" s="35"/>
      <c r="J337" s="35"/>
      <c r="K337" s="35"/>
      <c r="L337" s="35"/>
    </row>
    <row r="338" spans="1:12" x14ac:dyDescent="0.3">
      <c r="A338" s="36"/>
      <c r="G338" s="35"/>
      <c r="H338" s="35"/>
      <c r="I338" s="35"/>
      <c r="J338" s="35"/>
      <c r="K338" s="35"/>
      <c r="L338" s="35"/>
    </row>
    <row r="339" spans="1:12" x14ac:dyDescent="0.3">
      <c r="A339" s="36"/>
      <c r="G339" s="35"/>
      <c r="H339" s="35"/>
      <c r="I339" s="35"/>
      <c r="J339" s="35"/>
      <c r="K339" s="35"/>
      <c r="L339" s="35"/>
    </row>
    <row r="340" spans="1:12" x14ac:dyDescent="0.3">
      <c r="A340" s="36"/>
      <c r="G340" s="35"/>
      <c r="H340" s="35"/>
      <c r="I340" s="35"/>
      <c r="J340" s="35"/>
      <c r="K340" s="35"/>
      <c r="L340" s="35"/>
    </row>
    <row r="341" spans="1:12" x14ac:dyDescent="0.3">
      <c r="A341" s="36"/>
      <c r="G341" s="35"/>
      <c r="H341" s="35"/>
      <c r="I341" s="35"/>
      <c r="J341" s="35"/>
      <c r="K341" s="35"/>
      <c r="L341" s="35"/>
    </row>
    <row r="342" spans="1:12" x14ac:dyDescent="0.3">
      <c r="A342" s="36"/>
      <c r="G342" s="35"/>
      <c r="H342" s="35"/>
      <c r="I342" s="35"/>
      <c r="J342" s="35"/>
      <c r="K342" s="35"/>
      <c r="L342" s="35"/>
    </row>
    <row r="343" spans="1:12" x14ac:dyDescent="0.3">
      <c r="A343" s="36"/>
      <c r="G343" s="35"/>
      <c r="H343" s="35"/>
      <c r="I343" s="35"/>
      <c r="J343" s="35"/>
      <c r="K343" s="35"/>
      <c r="L343" s="35"/>
    </row>
    <row r="344" spans="1:12" x14ac:dyDescent="0.3">
      <c r="A344" s="36"/>
      <c r="G344" s="35"/>
      <c r="H344" s="35"/>
      <c r="I344" s="35"/>
      <c r="J344" s="35"/>
      <c r="K344" s="35"/>
      <c r="L344" s="35"/>
    </row>
    <row r="345" spans="1:12" x14ac:dyDescent="0.3">
      <c r="A345" s="36"/>
      <c r="G345" s="35"/>
      <c r="H345" s="35"/>
      <c r="I345" s="35"/>
      <c r="J345" s="35"/>
      <c r="K345" s="35"/>
      <c r="L345" s="35"/>
    </row>
    <row r="346" spans="1:12" x14ac:dyDescent="0.3">
      <c r="A346" s="36"/>
      <c r="G346" s="35"/>
      <c r="H346" s="35"/>
      <c r="I346" s="35"/>
      <c r="J346" s="35"/>
      <c r="K346" s="35"/>
      <c r="L346" s="35"/>
    </row>
    <row r="347" spans="1:12" x14ac:dyDescent="0.3">
      <c r="A347" s="36"/>
      <c r="G347" s="35"/>
      <c r="H347" s="35"/>
      <c r="I347" s="35"/>
      <c r="J347" s="35"/>
      <c r="K347" s="35"/>
      <c r="L347" s="35"/>
    </row>
    <row r="348" spans="1:12" x14ac:dyDescent="0.3">
      <c r="A348" s="36"/>
      <c r="G348" s="35"/>
      <c r="H348" s="35"/>
      <c r="I348" s="35"/>
      <c r="J348" s="35"/>
      <c r="K348" s="35"/>
      <c r="L348" s="35"/>
    </row>
    <row r="349" spans="1:12" x14ac:dyDescent="0.3">
      <c r="A349" s="36"/>
      <c r="G349" s="35"/>
      <c r="H349" s="35"/>
      <c r="I349" s="35"/>
      <c r="J349" s="35"/>
      <c r="K349" s="35"/>
      <c r="L349" s="35"/>
    </row>
    <row r="350" spans="1:12" x14ac:dyDescent="0.3">
      <c r="A350" s="36"/>
      <c r="G350" s="35"/>
      <c r="H350" s="35"/>
      <c r="I350" s="35"/>
      <c r="J350" s="35"/>
      <c r="K350" s="35"/>
      <c r="L350" s="35"/>
    </row>
    <row r="351" spans="1:12" x14ac:dyDescent="0.3">
      <c r="A351" s="36"/>
      <c r="G351" s="35"/>
      <c r="H351" s="35"/>
      <c r="I351" s="35"/>
      <c r="J351" s="35"/>
      <c r="K351" s="35"/>
      <c r="L351" s="35"/>
    </row>
    <row r="352" spans="1:12" x14ac:dyDescent="0.3">
      <c r="A352" s="36"/>
      <c r="G352" s="35"/>
      <c r="H352" s="35"/>
      <c r="I352" s="35"/>
      <c r="J352" s="35"/>
      <c r="K352" s="35"/>
      <c r="L352" s="35"/>
    </row>
    <row r="353" spans="1:12" x14ac:dyDescent="0.3">
      <c r="A353" s="36"/>
      <c r="G353" s="35"/>
      <c r="H353" s="35"/>
      <c r="I353" s="35"/>
      <c r="J353" s="35"/>
      <c r="K353" s="35"/>
      <c r="L353" s="35"/>
    </row>
    <row r="354" spans="1:12" x14ac:dyDescent="0.3">
      <c r="A354" s="36"/>
      <c r="G354" s="35"/>
      <c r="H354" s="35"/>
      <c r="I354" s="35"/>
      <c r="J354" s="35"/>
      <c r="K354" s="35"/>
      <c r="L354" s="35"/>
    </row>
    <row r="355" spans="1:12" x14ac:dyDescent="0.3">
      <c r="A355" s="36"/>
      <c r="G355" s="35"/>
      <c r="H355" s="35"/>
      <c r="I355" s="35"/>
      <c r="J355" s="35"/>
      <c r="K355" s="35"/>
      <c r="L355" s="35"/>
    </row>
    <row r="356" spans="1:12" x14ac:dyDescent="0.3">
      <c r="A356" s="36"/>
      <c r="G356" s="35"/>
      <c r="H356" s="35"/>
      <c r="I356" s="35"/>
      <c r="J356" s="35"/>
      <c r="K356" s="35"/>
      <c r="L356" s="35"/>
    </row>
    <row r="357" spans="1:12" x14ac:dyDescent="0.3">
      <c r="A357" s="36"/>
      <c r="G357" s="35"/>
      <c r="H357" s="35"/>
      <c r="I357" s="35"/>
      <c r="J357" s="35"/>
      <c r="K357" s="35"/>
      <c r="L357" s="35"/>
    </row>
    <row r="358" spans="1:12" x14ac:dyDescent="0.3">
      <c r="A358" s="36"/>
      <c r="G358" s="35"/>
      <c r="H358" s="35"/>
      <c r="I358" s="35"/>
      <c r="J358" s="35"/>
      <c r="K358" s="35"/>
      <c r="L358" s="35"/>
    </row>
    <row r="359" spans="1:12" x14ac:dyDescent="0.3">
      <c r="A359" s="36"/>
      <c r="G359" s="35"/>
      <c r="H359" s="35"/>
      <c r="I359" s="35"/>
      <c r="J359" s="35"/>
      <c r="K359" s="35"/>
      <c r="L359" s="35"/>
    </row>
    <row r="360" spans="1:12" x14ac:dyDescent="0.3">
      <c r="A360" s="36"/>
      <c r="G360" s="35"/>
      <c r="H360" s="35"/>
      <c r="I360" s="35"/>
      <c r="J360" s="35"/>
      <c r="K360" s="35"/>
      <c r="L360" s="35"/>
    </row>
    <row r="361" spans="1:12" x14ac:dyDescent="0.3">
      <c r="A361" s="36"/>
      <c r="G361" s="35"/>
      <c r="H361" s="35"/>
      <c r="I361" s="35"/>
      <c r="J361" s="35"/>
      <c r="K361" s="35"/>
      <c r="L361" s="35"/>
    </row>
    <row r="362" spans="1:12" x14ac:dyDescent="0.3">
      <c r="A362" s="36"/>
      <c r="G362" s="35"/>
      <c r="H362" s="35"/>
      <c r="I362" s="35"/>
      <c r="J362" s="35"/>
      <c r="K362" s="35"/>
      <c r="L362" s="35"/>
    </row>
    <row r="363" spans="1:12" x14ac:dyDescent="0.3">
      <c r="A363" s="36"/>
      <c r="G363" s="35"/>
      <c r="H363" s="35"/>
      <c r="I363" s="35"/>
      <c r="J363" s="35"/>
      <c r="K363" s="35"/>
      <c r="L363" s="35"/>
    </row>
    <row r="364" spans="1:12" x14ac:dyDescent="0.3">
      <c r="A364" s="36"/>
      <c r="G364" s="35"/>
      <c r="H364" s="35"/>
      <c r="I364" s="35"/>
      <c r="J364" s="35"/>
      <c r="K364" s="35"/>
      <c r="L364" s="35"/>
    </row>
    <row r="365" spans="1:12" x14ac:dyDescent="0.3">
      <c r="A365" s="36"/>
      <c r="G365" s="35"/>
      <c r="H365" s="35"/>
      <c r="I365" s="35"/>
      <c r="J365" s="35"/>
      <c r="K365" s="35"/>
      <c r="L365" s="35"/>
    </row>
    <row r="366" spans="1:12" x14ac:dyDescent="0.3">
      <c r="A366" s="36"/>
      <c r="G366" s="35"/>
      <c r="H366" s="35"/>
      <c r="I366" s="35"/>
      <c r="J366" s="35"/>
      <c r="K366" s="35"/>
      <c r="L366" s="35"/>
    </row>
    <row r="367" spans="1:12" x14ac:dyDescent="0.3">
      <c r="A367" s="36"/>
      <c r="G367" s="35"/>
      <c r="H367" s="35"/>
      <c r="I367" s="35"/>
      <c r="J367" s="35"/>
      <c r="K367" s="35"/>
      <c r="L367" s="35"/>
    </row>
    <row r="368" spans="1:12" x14ac:dyDescent="0.3">
      <c r="A368" s="36"/>
      <c r="G368" s="35"/>
      <c r="H368" s="35"/>
      <c r="I368" s="35"/>
      <c r="J368" s="35"/>
      <c r="K368" s="35"/>
      <c r="L368" s="35"/>
    </row>
    <row r="369" spans="1:12" x14ac:dyDescent="0.3">
      <c r="A369" s="36"/>
      <c r="G369" s="35"/>
      <c r="H369" s="35"/>
      <c r="I369" s="35"/>
      <c r="J369" s="35"/>
      <c r="K369" s="35"/>
      <c r="L369" s="35"/>
    </row>
    <row r="370" spans="1:12" x14ac:dyDescent="0.3">
      <c r="A370" s="36"/>
      <c r="G370" s="35"/>
      <c r="H370" s="35"/>
      <c r="I370" s="35"/>
      <c r="J370" s="35"/>
      <c r="K370" s="35"/>
      <c r="L370" s="35"/>
    </row>
    <row r="371" spans="1:12" x14ac:dyDescent="0.3">
      <c r="A371" s="36"/>
      <c r="G371" s="35"/>
      <c r="H371" s="35"/>
      <c r="I371" s="35"/>
      <c r="J371" s="35"/>
      <c r="K371" s="35"/>
      <c r="L371" s="35"/>
    </row>
    <row r="372" spans="1:12" x14ac:dyDescent="0.3">
      <c r="A372" s="36"/>
      <c r="G372" s="35"/>
      <c r="H372" s="35"/>
      <c r="I372" s="35"/>
      <c r="J372" s="35"/>
      <c r="K372" s="35"/>
      <c r="L372" s="35"/>
    </row>
    <row r="373" spans="1:12" x14ac:dyDescent="0.3">
      <c r="A373" s="36"/>
      <c r="G373" s="35"/>
      <c r="H373" s="35"/>
      <c r="I373" s="35"/>
      <c r="J373" s="35"/>
      <c r="K373" s="35"/>
      <c r="L373" s="35"/>
    </row>
    <row r="374" spans="1:12" x14ac:dyDescent="0.3">
      <c r="A374" s="36"/>
      <c r="G374" s="35"/>
      <c r="H374" s="35"/>
      <c r="I374" s="35"/>
      <c r="J374" s="35"/>
      <c r="K374" s="35"/>
      <c r="L374" s="35"/>
    </row>
    <row r="375" spans="1:12" x14ac:dyDescent="0.3">
      <c r="A375" s="36"/>
      <c r="G375" s="35"/>
      <c r="H375" s="35"/>
      <c r="I375" s="35"/>
      <c r="J375" s="35"/>
      <c r="K375" s="35"/>
      <c r="L375" s="35"/>
    </row>
    <row r="376" spans="1:12" x14ac:dyDescent="0.3">
      <c r="A376" s="36"/>
      <c r="G376" s="35"/>
      <c r="H376" s="35"/>
      <c r="I376" s="35"/>
      <c r="J376" s="35"/>
      <c r="K376" s="35"/>
      <c r="L376" s="35"/>
    </row>
    <row r="377" spans="1:12" x14ac:dyDescent="0.3">
      <c r="A377" s="36"/>
      <c r="G377" s="35"/>
      <c r="H377" s="35"/>
      <c r="I377" s="35"/>
      <c r="J377" s="35"/>
      <c r="K377" s="35"/>
      <c r="L377" s="35"/>
    </row>
    <row r="378" spans="1:12" x14ac:dyDescent="0.3">
      <c r="A378" s="36"/>
      <c r="G378" s="35"/>
      <c r="H378" s="35"/>
      <c r="I378" s="35"/>
      <c r="J378" s="35"/>
      <c r="K378" s="35"/>
      <c r="L378" s="35"/>
    </row>
    <row r="379" spans="1:12" x14ac:dyDescent="0.3">
      <c r="A379" s="36"/>
      <c r="G379" s="35"/>
      <c r="H379" s="35"/>
      <c r="I379" s="35"/>
      <c r="J379" s="35"/>
      <c r="K379" s="35"/>
      <c r="L379" s="35"/>
    </row>
    <row r="380" spans="1:12" x14ac:dyDescent="0.3">
      <c r="A380" s="36"/>
      <c r="G380" s="35"/>
      <c r="H380" s="35"/>
      <c r="I380" s="35"/>
      <c r="J380" s="35"/>
      <c r="K380" s="35"/>
      <c r="L380" s="35"/>
    </row>
    <row r="381" spans="1:12" x14ac:dyDescent="0.3">
      <c r="A381" s="36"/>
      <c r="G381" s="35"/>
      <c r="H381" s="35"/>
      <c r="I381" s="35"/>
      <c r="J381" s="35"/>
      <c r="K381" s="35"/>
      <c r="L381" s="35"/>
    </row>
    <row r="382" spans="1:12" x14ac:dyDescent="0.3">
      <c r="A382" s="36"/>
      <c r="G382" s="35"/>
      <c r="H382" s="35"/>
      <c r="I382" s="35"/>
      <c r="J382" s="35"/>
      <c r="K382" s="35"/>
      <c r="L382" s="35"/>
    </row>
    <row r="383" spans="1:12" x14ac:dyDescent="0.3">
      <c r="A383" s="36"/>
      <c r="G383" s="35"/>
      <c r="H383" s="35"/>
      <c r="I383" s="35"/>
      <c r="J383" s="35"/>
      <c r="K383" s="35"/>
      <c r="L383" s="35"/>
    </row>
    <row r="384" spans="1:12" x14ac:dyDescent="0.3">
      <c r="A384" s="36"/>
      <c r="G384" s="35"/>
      <c r="H384" s="35"/>
      <c r="I384" s="35"/>
      <c r="J384" s="35"/>
      <c r="K384" s="35"/>
      <c r="L384" s="35"/>
    </row>
    <row r="385" spans="1:12" x14ac:dyDescent="0.3">
      <c r="A385" s="36"/>
      <c r="G385" s="35"/>
      <c r="H385" s="35"/>
      <c r="I385" s="35"/>
      <c r="J385" s="35"/>
      <c r="K385" s="35"/>
      <c r="L385" s="35"/>
    </row>
    <row r="386" spans="1:12" x14ac:dyDescent="0.3">
      <c r="A386" s="36"/>
      <c r="G386" s="35"/>
      <c r="H386" s="35"/>
      <c r="I386" s="35"/>
      <c r="J386" s="35"/>
      <c r="K386" s="35"/>
      <c r="L386" s="35"/>
    </row>
    <row r="387" spans="1:12" x14ac:dyDescent="0.3">
      <c r="A387" s="36"/>
      <c r="G387" s="35"/>
      <c r="H387" s="35"/>
      <c r="I387" s="35"/>
      <c r="J387" s="35"/>
      <c r="K387" s="35"/>
      <c r="L387" s="35"/>
    </row>
    <row r="388" spans="1:12" x14ac:dyDescent="0.3">
      <c r="A388" s="36"/>
      <c r="G388" s="35"/>
      <c r="H388" s="35"/>
      <c r="I388" s="35"/>
      <c r="J388" s="35"/>
      <c r="K388" s="35"/>
      <c r="L388" s="35"/>
    </row>
    <row r="389" spans="1:12" x14ac:dyDescent="0.3">
      <c r="A389" s="36"/>
      <c r="G389" s="35"/>
      <c r="H389" s="35"/>
      <c r="I389" s="35"/>
      <c r="J389" s="35"/>
      <c r="K389" s="35"/>
      <c r="L389" s="35"/>
    </row>
    <row r="390" spans="1:12" x14ac:dyDescent="0.3">
      <c r="A390" s="36"/>
      <c r="G390" s="35"/>
      <c r="H390" s="35"/>
      <c r="I390" s="35"/>
      <c r="J390" s="35"/>
      <c r="K390" s="35"/>
      <c r="L390" s="35"/>
    </row>
    <row r="391" spans="1:12" x14ac:dyDescent="0.3">
      <c r="A391" s="36"/>
      <c r="G391" s="35"/>
      <c r="H391" s="35"/>
      <c r="I391" s="35"/>
      <c r="J391" s="35"/>
      <c r="K391" s="35"/>
      <c r="L391" s="35"/>
    </row>
    <row r="392" spans="1:12" x14ac:dyDescent="0.3">
      <c r="A392" s="36"/>
      <c r="G392" s="35"/>
      <c r="H392" s="35"/>
      <c r="I392" s="35"/>
      <c r="J392" s="35"/>
      <c r="K392" s="35"/>
      <c r="L392" s="35"/>
    </row>
    <row r="393" spans="1:12" x14ac:dyDescent="0.3">
      <c r="A393" s="36"/>
      <c r="G393" s="35"/>
      <c r="H393" s="35"/>
      <c r="I393" s="35"/>
      <c r="J393" s="35"/>
      <c r="K393" s="35"/>
      <c r="L393" s="35"/>
    </row>
    <row r="394" spans="1:12" x14ac:dyDescent="0.3">
      <c r="A394" s="36"/>
      <c r="G394" s="35"/>
      <c r="H394" s="35"/>
      <c r="I394" s="35"/>
      <c r="J394" s="35"/>
      <c r="K394" s="35"/>
      <c r="L394" s="35"/>
    </row>
    <row r="395" spans="1:12" x14ac:dyDescent="0.3">
      <c r="A395" s="36"/>
      <c r="G395" s="35"/>
      <c r="H395" s="35"/>
      <c r="I395" s="35"/>
      <c r="J395" s="35"/>
      <c r="K395" s="35"/>
      <c r="L395" s="35"/>
    </row>
    <row r="396" spans="1:12" x14ac:dyDescent="0.3">
      <c r="A396" s="36"/>
      <c r="G396" s="35"/>
      <c r="H396" s="35"/>
      <c r="I396" s="35"/>
      <c r="J396" s="35"/>
      <c r="K396" s="35"/>
      <c r="L396" s="35"/>
    </row>
    <row r="397" spans="1:12" x14ac:dyDescent="0.3">
      <c r="A397" s="36"/>
      <c r="G397" s="35"/>
      <c r="H397" s="35"/>
      <c r="I397" s="35"/>
      <c r="J397" s="35"/>
      <c r="K397" s="35"/>
      <c r="L397" s="35"/>
    </row>
    <row r="398" spans="1:12" x14ac:dyDescent="0.3">
      <c r="A398" s="36"/>
      <c r="G398" s="35"/>
      <c r="H398" s="35"/>
      <c r="I398" s="35"/>
      <c r="J398" s="35"/>
      <c r="K398" s="35"/>
      <c r="L398" s="35"/>
    </row>
    <row r="399" spans="1:12" x14ac:dyDescent="0.3">
      <c r="A399" s="36"/>
      <c r="G399" s="35"/>
      <c r="H399" s="35"/>
      <c r="I399" s="35"/>
      <c r="J399" s="35"/>
      <c r="K399" s="35"/>
      <c r="L399" s="35"/>
    </row>
    <row r="400" spans="1:12" x14ac:dyDescent="0.3">
      <c r="A400" s="36"/>
      <c r="G400" s="35"/>
      <c r="H400" s="35"/>
      <c r="I400" s="35"/>
      <c r="J400" s="35"/>
      <c r="K400" s="35"/>
      <c r="L400" s="35"/>
    </row>
    <row r="401" spans="1:12" x14ac:dyDescent="0.3">
      <c r="A401" s="36"/>
      <c r="G401" s="35"/>
      <c r="H401" s="35"/>
      <c r="I401" s="35"/>
      <c r="J401" s="35"/>
      <c r="K401" s="35"/>
      <c r="L401" s="35"/>
    </row>
    <row r="402" spans="1:12" x14ac:dyDescent="0.3">
      <c r="A402" s="36"/>
      <c r="G402" s="35"/>
      <c r="H402" s="35"/>
      <c r="I402" s="35"/>
      <c r="J402" s="35"/>
      <c r="K402" s="35"/>
      <c r="L402" s="35"/>
    </row>
    <row r="403" spans="1:12" x14ac:dyDescent="0.3">
      <c r="A403" s="36"/>
      <c r="G403" s="35"/>
      <c r="H403" s="35"/>
      <c r="I403" s="35"/>
      <c r="J403" s="35"/>
      <c r="K403" s="35"/>
      <c r="L403" s="35"/>
    </row>
    <row r="404" spans="1:12" x14ac:dyDescent="0.3">
      <c r="A404" s="36"/>
      <c r="G404" s="35"/>
      <c r="H404" s="35"/>
      <c r="I404" s="35"/>
      <c r="J404" s="35"/>
      <c r="K404" s="35"/>
      <c r="L404" s="35"/>
    </row>
    <row r="405" spans="1:12" x14ac:dyDescent="0.3">
      <c r="A405" s="36"/>
      <c r="G405" s="35"/>
      <c r="H405" s="35"/>
      <c r="I405" s="35"/>
      <c r="J405" s="35"/>
      <c r="K405" s="35"/>
      <c r="L405" s="35"/>
    </row>
    <row r="406" spans="1:12" x14ac:dyDescent="0.3">
      <c r="A406" s="36"/>
      <c r="G406" s="35"/>
      <c r="H406" s="35"/>
      <c r="I406" s="35"/>
      <c r="J406" s="35"/>
      <c r="K406" s="35"/>
      <c r="L406" s="35"/>
    </row>
    <row r="407" spans="1:12" x14ac:dyDescent="0.3">
      <c r="A407" s="36"/>
      <c r="G407" s="35"/>
      <c r="H407" s="35"/>
      <c r="I407" s="35"/>
      <c r="J407" s="35"/>
      <c r="K407" s="35"/>
      <c r="L407" s="35"/>
    </row>
    <row r="408" spans="1:12" x14ac:dyDescent="0.3">
      <c r="A408" s="36"/>
      <c r="G408" s="35"/>
      <c r="H408" s="35"/>
      <c r="I408" s="35"/>
      <c r="J408" s="35"/>
      <c r="K408" s="35"/>
      <c r="L408" s="35"/>
    </row>
    <row r="409" spans="1:12" x14ac:dyDescent="0.3">
      <c r="A409" s="36"/>
      <c r="G409" s="35"/>
      <c r="H409" s="35"/>
      <c r="I409" s="35"/>
      <c r="J409" s="35"/>
      <c r="K409" s="35"/>
      <c r="L409" s="35"/>
    </row>
    <row r="410" spans="1:12" x14ac:dyDescent="0.3">
      <c r="A410" s="36"/>
      <c r="G410" s="35"/>
      <c r="H410" s="35"/>
      <c r="I410" s="35"/>
      <c r="J410" s="35"/>
      <c r="K410" s="35"/>
      <c r="L410" s="35"/>
    </row>
    <row r="411" spans="1:12" x14ac:dyDescent="0.3">
      <c r="A411" s="36"/>
      <c r="G411" s="35"/>
      <c r="H411" s="35"/>
      <c r="I411" s="35"/>
      <c r="J411" s="35"/>
      <c r="K411" s="35"/>
      <c r="L411" s="35"/>
    </row>
    <row r="412" spans="1:12" x14ac:dyDescent="0.3">
      <c r="A412" s="36"/>
      <c r="G412" s="35"/>
      <c r="H412" s="35"/>
      <c r="I412" s="35"/>
      <c r="J412" s="35"/>
      <c r="K412" s="35"/>
      <c r="L412" s="35"/>
    </row>
    <row r="413" spans="1:12" x14ac:dyDescent="0.3">
      <c r="A413" s="36"/>
      <c r="G413" s="35"/>
      <c r="H413" s="35"/>
      <c r="I413" s="35"/>
      <c r="J413" s="35"/>
      <c r="K413" s="35"/>
      <c r="L413" s="35"/>
    </row>
    <row r="414" spans="1:12" x14ac:dyDescent="0.3">
      <c r="A414" s="36"/>
      <c r="G414" s="35"/>
      <c r="H414" s="35"/>
      <c r="I414" s="35"/>
      <c r="J414" s="35"/>
      <c r="K414" s="35"/>
      <c r="L414" s="35"/>
    </row>
    <row r="415" spans="1:12" x14ac:dyDescent="0.3">
      <c r="A415" s="36"/>
      <c r="G415" s="35"/>
      <c r="H415" s="35"/>
      <c r="I415" s="35"/>
      <c r="J415" s="35"/>
      <c r="K415" s="35"/>
      <c r="L415" s="35"/>
    </row>
    <row r="416" spans="1:12" x14ac:dyDescent="0.3">
      <c r="A416" s="36"/>
      <c r="G416" s="35"/>
      <c r="H416" s="35"/>
      <c r="I416" s="35"/>
      <c r="J416" s="35"/>
      <c r="K416" s="35"/>
      <c r="L416" s="35"/>
    </row>
    <row r="417" spans="1:12" x14ac:dyDescent="0.3">
      <c r="A417" s="36"/>
      <c r="G417" s="35"/>
      <c r="H417" s="35"/>
      <c r="I417" s="35"/>
      <c r="J417" s="35"/>
      <c r="K417" s="35"/>
      <c r="L417" s="35"/>
    </row>
    <row r="418" spans="1:12" x14ac:dyDescent="0.3">
      <c r="A418" s="36"/>
      <c r="G418" s="35"/>
      <c r="H418" s="35"/>
      <c r="I418" s="35"/>
      <c r="J418" s="35"/>
      <c r="K418" s="35"/>
      <c r="L418" s="35"/>
    </row>
    <row r="419" spans="1:12" x14ac:dyDescent="0.3">
      <c r="A419" s="36"/>
      <c r="G419" s="35"/>
      <c r="H419" s="35"/>
      <c r="I419" s="35"/>
      <c r="J419" s="35"/>
      <c r="K419" s="35"/>
      <c r="L419" s="35"/>
    </row>
    <row r="420" spans="1:12" x14ac:dyDescent="0.3">
      <c r="A420" s="36"/>
      <c r="G420" s="35"/>
      <c r="H420" s="35"/>
      <c r="I420" s="35"/>
      <c r="J420" s="35"/>
      <c r="K420" s="35"/>
      <c r="L420" s="35"/>
    </row>
    <row r="421" spans="1:12" x14ac:dyDescent="0.3">
      <c r="A421" s="36"/>
      <c r="G421" s="35"/>
      <c r="H421" s="35"/>
      <c r="I421" s="35"/>
      <c r="J421" s="35"/>
      <c r="K421" s="35"/>
      <c r="L421" s="35"/>
    </row>
    <row r="422" spans="1:12" x14ac:dyDescent="0.3">
      <c r="A422" s="36"/>
      <c r="G422" s="35"/>
      <c r="H422" s="35"/>
      <c r="I422" s="35"/>
      <c r="J422" s="35"/>
      <c r="K422" s="35"/>
      <c r="L422" s="35"/>
    </row>
    <row r="423" spans="1:12" x14ac:dyDescent="0.3">
      <c r="A423" s="36"/>
      <c r="G423" s="35"/>
      <c r="H423" s="35"/>
      <c r="I423" s="35"/>
      <c r="J423" s="35"/>
      <c r="K423" s="35"/>
      <c r="L423" s="35"/>
    </row>
    <row r="424" spans="1:12" x14ac:dyDescent="0.3">
      <c r="A424" s="36"/>
      <c r="G424" s="35"/>
      <c r="H424" s="35"/>
      <c r="I424" s="35"/>
      <c r="J424" s="35"/>
      <c r="K424" s="35"/>
      <c r="L424" s="35"/>
    </row>
    <row r="425" spans="1:12" x14ac:dyDescent="0.3">
      <c r="A425" s="36"/>
      <c r="G425" s="35"/>
      <c r="H425" s="35"/>
      <c r="I425" s="35"/>
      <c r="J425" s="35"/>
      <c r="K425" s="35"/>
      <c r="L425" s="35"/>
    </row>
    <row r="426" spans="1:12" x14ac:dyDescent="0.3">
      <c r="A426" s="36"/>
      <c r="G426" s="35"/>
      <c r="H426" s="35"/>
      <c r="I426" s="35"/>
      <c r="J426" s="35"/>
      <c r="K426" s="35"/>
      <c r="L426" s="35"/>
    </row>
    <row r="427" spans="1:12" x14ac:dyDescent="0.3">
      <c r="A427" s="36"/>
      <c r="G427" s="35"/>
      <c r="H427" s="35"/>
      <c r="I427" s="35"/>
      <c r="J427" s="35"/>
      <c r="K427" s="35"/>
      <c r="L427" s="35"/>
    </row>
    <row r="428" spans="1:12" x14ac:dyDescent="0.3">
      <c r="A428" s="36"/>
      <c r="G428" s="35"/>
      <c r="H428" s="35"/>
      <c r="I428" s="35"/>
      <c r="J428" s="35"/>
      <c r="K428" s="35"/>
      <c r="L428" s="35"/>
    </row>
    <row r="429" spans="1:12" x14ac:dyDescent="0.3">
      <c r="A429" s="36"/>
      <c r="G429" s="35"/>
      <c r="H429" s="35"/>
      <c r="I429" s="35"/>
      <c r="J429" s="35"/>
      <c r="K429" s="35"/>
      <c r="L429" s="35"/>
    </row>
    <row r="430" spans="1:12" x14ac:dyDescent="0.3">
      <c r="A430" s="36"/>
      <c r="G430" s="35"/>
      <c r="H430" s="35"/>
      <c r="I430" s="35"/>
      <c r="J430" s="35"/>
      <c r="K430" s="35"/>
      <c r="L430" s="35"/>
    </row>
    <row r="431" spans="1:12" x14ac:dyDescent="0.3">
      <c r="A431" s="36"/>
      <c r="G431" s="35"/>
      <c r="H431" s="35"/>
      <c r="I431" s="35"/>
      <c r="J431" s="35"/>
      <c r="K431" s="35"/>
      <c r="L431" s="35"/>
    </row>
    <row r="432" spans="1:12" x14ac:dyDescent="0.3">
      <c r="A432" s="36"/>
      <c r="G432" s="35"/>
      <c r="H432" s="35"/>
      <c r="I432" s="35"/>
      <c r="J432" s="35"/>
      <c r="K432" s="35"/>
      <c r="L432" s="35"/>
    </row>
    <row r="433" spans="1:12" x14ac:dyDescent="0.3">
      <c r="A433" s="36"/>
      <c r="G433" s="35"/>
      <c r="H433" s="35"/>
      <c r="I433" s="35"/>
      <c r="J433" s="35"/>
      <c r="K433" s="35"/>
      <c r="L433" s="35"/>
    </row>
    <row r="434" spans="1:12" x14ac:dyDescent="0.3">
      <c r="A434" s="36"/>
      <c r="G434" s="35"/>
      <c r="H434" s="35"/>
      <c r="I434" s="35"/>
      <c r="J434" s="35"/>
      <c r="K434" s="35"/>
      <c r="L434" s="35"/>
    </row>
    <row r="435" spans="1:12" x14ac:dyDescent="0.3">
      <c r="A435" s="36"/>
      <c r="G435" s="35"/>
      <c r="H435" s="35"/>
      <c r="I435" s="35"/>
      <c r="J435" s="35"/>
      <c r="K435" s="35"/>
      <c r="L435" s="35"/>
    </row>
    <row r="436" spans="1:12" x14ac:dyDescent="0.3">
      <c r="A436" s="36"/>
      <c r="G436" s="35"/>
      <c r="H436" s="35"/>
      <c r="I436" s="35"/>
      <c r="J436" s="35"/>
      <c r="K436" s="35"/>
      <c r="L436" s="35"/>
    </row>
    <row r="437" spans="1:12" x14ac:dyDescent="0.3">
      <c r="A437" s="36"/>
      <c r="G437" s="35"/>
      <c r="H437" s="35"/>
      <c r="I437" s="35"/>
      <c r="J437" s="35"/>
      <c r="K437" s="35"/>
      <c r="L437" s="35"/>
    </row>
    <row r="438" spans="1:12" x14ac:dyDescent="0.3">
      <c r="A438" s="36"/>
      <c r="G438" s="35"/>
      <c r="H438" s="35"/>
      <c r="I438" s="35"/>
      <c r="J438" s="35"/>
      <c r="K438" s="35"/>
      <c r="L438" s="35"/>
    </row>
    <row r="439" spans="1:12" x14ac:dyDescent="0.3">
      <c r="A439" s="36"/>
      <c r="G439" s="35"/>
      <c r="H439" s="35"/>
      <c r="I439" s="35"/>
      <c r="J439" s="35"/>
      <c r="K439" s="35"/>
      <c r="L439" s="35"/>
    </row>
    <row r="440" spans="1:12" x14ac:dyDescent="0.3">
      <c r="A440" s="36"/>
      <c r="G440" s="35"/>
      <c r="H440" s="35"/>
      <c r="I440" s="35"/>
      <c r="J440" s="35"/>
      <c r="K440" s="35"/>
      <c r="L440" s="35"/>
    </row>
    <row r="441" spans="1:12" x14ac:dyDescent="0.3">
      <c r="A441" s="36"/>
      <c r="G441" s="35"/>
      <c r="H441" s="35"/>
      <c r="I441" s="35"/>
      <c r="J441" s="35"/>
      <c r="K441" s="35"/>
      <c r="L441" s="35"/>
    </row>
    <row r="442" spans="1:12" x14ac:dyDescent="0.3">
      <c r="A442" s="36"/>
      <c r="G442" s="35"/>
      <c r="H442" s="35"/>
      <c r="I442" s="35"/>
      <c r="J442" s="35"/>
      <c r="K442" s="35"/>
      <c r="L442" s="35"/>
    </row>
    <row r="443" spans="1:12" x14ac:dyDescent="0.3">
      <c r="A443" s="36"/>
      <c r="G443" s="35"/>
      <c r="H443" s="35"/>
      <c r="I443" s="35"/>
      <c r="J443" s="35"/>
      <c r="K443" s="35"/>
      <c r="L443" s="35"/>
    </row>
    <row r="444" spans="1:12" x14ac:dyDescent="0.3">
      <c r="A444" s="36"/>
      <c r="G444" s="35"/>
      <c r="H444" s="35"/>
      <c r="I444" s="35"/>
      <c r="J444" s="35"/>
      <c r="K444" s="35"/>
      <c r="L444" s="35"/>
    </row>
    <row r="445" spans="1:12" x14ac:dyDescent="0.3">
      <c r="A445" s="36"/>
      <c r="G445" s="35"/>
      <c r="H445" s="35"/>
      <c r="I445" s="35"/>
      <c r="J445" s="35"/>
      <c r="K445" s="35"/>
      <c r="L445" s="35"/>
    </row>
    <row r="446" spans="1:12" x14ac:dyDescent="0.3">
      <c r="A446" s="36"/>
      <c r="G446" s="35"/>
      <c r="H446" s="35"/>
      <c r="I446" s="35"/>
      <c r="J446" s="35"/>
      <c r="K446" s="35"/>
      <c r="L446" s="35"/>
    </row>
    <row r="447" spans="1:12" x14ac:dyDescent="0.3">
      <c r="A447" s="36"/>
      <c r="G447" s="35"/>
      <c r="H447" s="35"/>
      <c r="I447" s="35"/>
      <c r="J447" s="35"/>
      <c r="K447" s="35"/>
      <c r="L447" s="35"/>
    </row>
    <row r="448" spans="1:12" x14ac:dyDescent="0.3">
      <c r="A448" s="36"/>
      <c r="G448" s="35"/>
      <c r="H448" s="35"/>
      <c r="I448" s="35"/>
      <c r="J448" s="35"/>
      <c r="K448" s="35"/>
      <c r="L448" s="35"/>
    </row>
    <row r="449" spans="1:12" x14ac:dyDescent="0.3">
      <c r="A449" s="36"/>
      <c r="G449" s="35"/>
      <c r="H449" s="35"/>
      <c r="I449" s="35"/>
      <c r="J449" s="35"/>
      <c r="K449" s="35"/>
      <c r="L449" s="35"/>
    </row>
    <row r="450" spans="1:12" x14ac:dyDescent="0.3">
      <c r="A450" s="36"/>
      <c r="G450" s="35"/>
      <c r="H450" s="35"/>
      <c r="I450" s="35"/>
      <c r="J450" s="35"/>
      <c r="K450" s="35"/>
      <c r="L450" s="35"/>
    </row>
    <row r="451" spans="1:12" x14ac:dyDescent="0.3">
      <c r="A451" s="36"/>
      <c r="G451" s="35"/>
      <c r="H451" s="35"/>
      <c r="I451" s="35"/>
      <c r="J451" s="35"/>
      <c r="K451" s="35"/>
      <c r="L451" s="35"/>
    </row>
    <row r="452" spans="1:12" x14ac:dyDescent="0.3">
      <c r="A452" s="36"/>
      <c r="G452" s="35"/>
      <c r="H452" s="35"/>
      <c r="I452" s="35"/>
      <c r="J452" s="35"/>
      <c r="K452" s="35"/>
      <c r="L452" s="35"/>
    </row>
    <row r="453" spans="1:12" x14ac:dyDescent="0.3">
      <c r="A453" s="36"/>
      <c r="G453" s="35"/>
      <c r="H453" s="35"/>
      <c r="I453" s="35"/>
      <c r="J453" s="35"/>
      <c r="K453" s="35"/>
      <c r="L453" s="35"/>
    </row>
    <row r="454" spans="1:12" x14ac:dyDescent="0.3">
      <c r="A454" s="36"/>
      <c r="G454" s="35"/>
      <c r="H454" s="35"/>
      <c r="I454" s="35"/>
      <c r="J454" s="35"/>
      <c r="K454" s="35"/>
      <c r="L454" s="35"/>
    </row>
    <row r="455" spans="1:12" x14ac:dyDescent="0.3">
      <c r="A455" s="36"/>
      <c r="G455" s="35"/>
      <c r="H455" s="35"/>
      <c r="I455" s="35"/>
      <c r="J455" s="35"/>
      <c r="K455" s="35"/>
      <c r="L455" s="35"/>
    </row>
    <row r="456" spans="1:12" x14ac:dyDescent="0.3">
      <c r="A456" s="36"/>
      <c r="G456" s="35"/>
      <c r="H456" s="35"/>
      <c r="I456" s="35"/>
      <c r="J456" s="35"/>
      <c r="K456" s="35"/>
      <c r="L456" s="35"/>
    </row>
    <row r="457" spans="1:12" x14ac:dyDescent="0.3">
      <c r="A457" s="36"/>
      <c r="G457" s="35"/>
      <c r="H457" s="35"/>
      <c r="I457" s="35"/>
      <c r="J457" s="35"/>
      <c r="K457" s="35"/>
      <c r="L457" s="35"/>
    </row>
    <row r="458" spans="1:12" x14ac:dyDescent="0.3">
      <c r="A458" s="36"/>
      <c r="G458" s="35"/>
      <c r="H458" s="35"/>
      <c r="I458" s="35"/>
      <c r="J458" s="35"/>
      <c r="K458" s="35"/>
      <c r="L458" s="35"/>
    </row>
    <row r="459" spans="1:12" x14ac:dyDescent="0.3">
      <c r="A459" s="36"/>
      <c r="G459" s="35"/>
      <c r="H459" s="35"/>
      <c r="I459" s="35"/>
      <c r="J459" s="35"/>
      <c r="K459" s="35"/>
      <c r="L459" s="35"/>
    </row>
    <row r="460" spans="1:12" x14ac:dyDescent="0.3">
      <c r="A460" s="36"/>
      <c r="G460" s="35"/>
      <c r="H460" s="35"/>
      <c r="I460" s="35"/>
      <c r="J460" s="35"/>
      <c r="K460" s="35"/>
      <c r="L460" s="35"/>
    </row>
    <row r="461" spans="1:12" x14ac:dyDescent="0.3">
      <c r="A461" s="36"/>
      <c r="G461" s="35"/>
      <c r="H461" s="35"/>
      <c r="I461" s="35"/>
      <c r="J461" s="35"/>
      <c r="K461" s="35"/>
      <c r="L461" s="35"/>
    </row>
    <row r="462" spans="1:12" x14ac:dyDescent="0.3">
      <c r="A462" s="36"/>
      <c r="G462" s="35"/>
      <c r="H462" s="35"/>
      <c r="I462" s="35"/>
      <c r="J462" s="35"/>
      <c r="K462" s="35"/>
      <c r="L462" s="35"/>
    </row>
    <row r="463" spans="1:12" x14ac:dyDescent="0.3">
      <c r="A463" s="36"/>
      <c r="G463" s="35"/>
      <c r="H463" s="35"/>
      <c r="I463" s="35"/>
      <c r="J463" s="35"/>
      <c r="K463" s="35"/>
      <c r="L463" s="35"/>
    </row>
    <row r="464" spans="1:12" x14ac:dyDescent="0.3">
      <c r="A464" s="36"/>
      <c r="G464" s="35"/>
      <c r="H464" s="35"/>
      <c r="I464" s="35"/>
      <c r="J464" s="35"/>
      <c r="K464" s="35"/>
      <c r="L464" s="35"/>
    </row>
    <row r="465" spans="1:12" x14ac:dyDescent="0.3">
      <c r="A465" s="36"/>
      <c r="G465" s="35"/>
      <c r="H465" s="35"/>
      <c r="I465" s="35"/>
      <c r="J465" s="35"/>
      <c r="K465" s="35"/>
      <c r="L465" s="35"/>
    </row>
    <row r="466" spans="1:12" x14ac:dyDescent="0.3">
      <c r="A466" s="36"/>
      <c r="G466" s="35"/>
      <c r="H466" s="35"/>
      <c r="I466" s="35"/>
      <c r="J466" s="35"/>
      <c r="K466" s="35"/>
      <c r="L466" s="35"/>
    </row>
    <row r="467" spans="1:12" x14ac:dyDescent="0.3">
      <c r="A467" s="36"/>
      <c r="G467" s="35"/>
      <c r="H467" s="35"/>
      <c r="I467" s="35"/>
      <c r="J467" s="35"/>
      <c r="K467" s="35"/>
      <c r="L467" s="35"/>
    </row>
    <row r="468" spans="1:12" x14ac:dyDescent="0.3">
      <c r="A468" s="36"/>
      <c r="G468" s="35"/>
      <c r="H468" s="35"/>
      <c r="I468" s="35"/>
      <c r="J468" s="35"/>
      <c r="K468" s="35"/>
      <c r="L468" s="35"/>
    </row>
    <row r="469" spans="1:12" x14ac:dyDescent="0.3">
      <c r="A469" s="36"/>
      <c r="G469" s="35"/>
      <c r="H469" s="35"/>
      <c r="I469" s="35"/>
      <c r="J469" s="35"/>
      <c r="K469" s="35"/>
      <c r="L469" s="35"/>
    </row>
    <row r="470" spans="1:12" x14ac:dyDescent="0.3">
      <c r="A470" s="36"/>
      <c r="G470" s="35"/>
      <c r="H470" s="35"/>
      <c r="I470" s="35"/>
      <c r="J470" s="35"/>
      <c r="K470" s="35"/>
      <c r="L470" s="35"/>
    </row>
    <row r="471" spans="1:12" x14ac:dyDescent="0.3">
      <c r="A471" s="36"/>
      <c r="G471" s="35"/>
      <c r="H471" s="35"/>
      <c r="I471" s="35"/>
      <c r="J471" s="35"/>
      <c r="K471" s="35"/>
      <c r="L471" s="35"/>
    </row>
    <row r="472" spans="1:12" x14ac:dyDescent="0.3">
      <c r="A472" s="36"/>
      <c r="G472" s="35"/>
      <c r="H472" s="35"/>
      <c r="I472" s="35"/>
      <c r="J472" s="35"/>
      <c r="K472" s="35"/>
      <c r="L472" s="35"/>
    </row>
    <row r="473" spans="1:12" x14ac:dyDescent="0.3">
      <c r="A473" s="36"/>
      <c r="G473" s="35"/>
      <c r="H473" s="35"/>
      <c r="I473" s="35"/>
      <c r="J473" s="35"/>
      <c r="K473" s="35"/>
      <c r="L473" s="35"/>
    </row>
    <row r="474" spans="1:12" x14ac:dyDescent="0.3">
      <c r="A474" s="36"/>
      <c r="G474" s="35"/>
      <c r="H474" s="35"/>
      <c r="I474" s="35"/>
      <c r="J474" s="35"/>
      <c r="K474" s="35"/>
      <c r="L474" s="35"/>
    </row>
    <row r="475" spans="1:12" x14ac:dyDescent="0.3">
      <c r="A475" s="36"/>
      <c r="G475" s="35"/>
      <c r="H475" s="35"/>
      <c r="I475" s="35"/>
      <c r="J475" s="35"/>
      <c r="K475" s="35"/>
      <c r="L475" s="35"/>
    </row>
    <row r="476" spans="1:12" x14ac:dyDescent="0.3">
      <c r="A476" s="36"/>
      <c r="G476" s="35"/>
      <c r="H476" s="35"/>
      <c r="I476" s="35"/>
      <c r="J476" s="35"/>
      <c r="K476" s="35"/>
      <c r="L476" s="35"/>
    </row>
    <row r="477" spans="1:12" x14ac:dyDescent="0.3">
      <c r="A477" s="36"/>
      <c r="G477" s="35"/>
      <c r="H477" s="35"/>
      <c r="I477" s="35"/>
      <c r="J477" s="35"/>
      <c r="K477" s="35"/>
      <c r="L477" s="35"/>
    </row>
    <row r="478" spans="1:12" x14ac:dyDescent="0.3">
      <c r="A478" s="36"/>
      <c r="G478" s="35"/>
      <c r="H478" s="35"/>
      <c r="I478" s="35"/>
      <c r="J478" s="35"/>
      <c r="K478" s="35"/>
      <c r="L478" s="35"/>
    </row>
    <row r="479" spans="1:12" x14ac:dyDescent="0.3">
      <c r="A479" s="36"/>
      <c r="G479" s="35"/>
      <c r="H479" s="35"/>
      <c r="I479" s="35"/>
      <c r="J479" s="35"/>
      <c r="K479" s="35"/>
      <c r="L479" s="35"/>
    </row>
    <row r="480" spans="1:12" x14ac:dyDescent="0.3">
      <c r="A480" s="36"/>
      <c r="G480" s="35"/>
      <c r="H480" s="35"/>
      <c r="I480" s="35"/>
      <c r="J480" s="35"/>
      <c r="K480" s="35"/>
      <c r="L480" s="35"/>
    </row>
    <row r="481" spans="1:12" x14ac:dyDescent="0.3">
      <c r="A481" s="36"/>
      <c r="G481" s="35"/>
      <c r="H481" s="35"/>
      <c r="I481" s="35"/>
      <c r="J481" s="35"/>
      <c r="K481" s="35"/>
      <c r="L481" s="35"/>
    </row>
    <row r="482" spans="1:12" x14ac:dyDescent="0.3">
      <c r="A482" s="36"/>
      <c r="G482" s="35"/>
      <c r="H482" s="35"/>
      <c r="I482" s="35"/>
      <c r="J482" s="35"/>
      <c r="K482" s="35"/>
      <c r="L482" s="35"/>
    </row>
    <row r="483" spans="1:12" x14ac:dyDescent="0.3">
      <c r="A483" s="36"/>
      <c r="G483" s="35"/>
      <c r="H483" s="35"/>
      <c r="I483" s="35"/>
      <c r="J483" s="35"/>
      <c r="K483" s="35"/>
      <c r="L483" s="35"/>
    </row>
    <row r="484" spans="1:12" x14ac:dyDescent="0.3">
      <c r="A484" s="36"/>
      <c r="G484" s="35"/>
      <c r="H484" s="35"/>
      <c r="I484" s="35"/>
      <c r="J484" s="35"/>
      <c r="K484" s="35"/>
      <c r="L484" s="35"/>
    </row>
    <row r="485" spans="1:12" x14ac:dyDescent="0.3">
      <c r="A485" s="36"/>
      <c r="G485" s="35"/>
      <c r="H485" s="35"/>
      <c r="I485" s="35"/>
      <c r="J485" s="35"/>
      <c r="K485" s="35"/>
      <c r="L485" s="35"/>
    </row>
    <row r="486" spans="1:12" x14ac:dyDescent="0.3">
      <c r="A486" s="36"/>
      <c r="G486" s="35"/>
      <c r="H486" s="35"/>
      <c r="I486" s="35"/>
      <c r="J486" s="35"/>
      <c r="K486" s="35"/>
      <c r="L486" s="35"/>
    </row>
    <row r="487" spans="1:12" x14ac:dyDescent="0.3">
      <c r="A487" s="36"/>
      <c r="G487" s="35"/>
      <c r="H487" s="35"/>
      <c r="I487" s="35"/>
      <c r="J487" s="35"/>
      <c r="K487" s="35"/>
      <c r="L487" s="35"/>
    </row>
    <row r="488" spans="1:12" x14ac:dyDescent="0.3">
      <c r="A488" s="36"/>
      <c r="G488" s="35"/>
      <c r="H488" s="35"/>
      <c r="I488" s="35"/>
      <c r="J488" s="35"/>
      <c r="K488" s="35"/>
      <c r="L488" s="35"/>
    </row>
    <row r="489" spans="1:12" x14ac:dyDescent="0.3">
      <c r="A489" s="36"/>
      <c r="G489" s="35"/>
      <c r="H489" s="35"/>
      <c r="I489" s="35"/>
      <c r="J489" s="35"/>
      <c r="K489" s="35"/>
      <c r="L489" s="35"/>
    </row>
    <row r="490" spans="1:12" x14ac:dyDescent="0.3">
      <c r="A490" s="36"/>
      <c r="G490" s="35"/>
      <c r="H490" s="35"/>
      <c r="I490" s="35"/>
      <c r="J490" s="35"/>
      <c r="K490" s="35"/>
      <c r="L490" s="35"/>
    </row>
    <row r="491" spans="1:12" x14ac:dyDescent="0.3">
      <c r="A491" s="36"/>
      <c r="G491" s="35"/>
      <c r="H491" s="35"/>
      <c r="I491" s="35"/>
      <c r="J491" s="35"/>
      <c r="K491" s="35"/>
      <c r="L491" s="35"/>
    </row>
    <row r="492" spans="1:12" x14ac:dyDescent="0.3">
      <c r="A492" s="36"/>
      <c r="G492" s="35"/>
      <c r="H492" s="35"/>
      <c r="I492" s="35"/>
      <c r="J492" s="35"/>
      <c r="K492" s="35"/>
      <c r="L492" s="35"/>
    </row>
    <row r="493" spans="1:12" x14ac:dyDescent="0.3">
      <c r="A493" s="36"/>
      <c r="G493" s="35"/>
      <c r="H493" s="35"/>
      <c r="I493" s="35"/>
      <c r="J493" s="35"/>
      <c r="K493" s="35"/>
      <c r="L493" s="35"/>
    </row>
    <row r="494" spans="1:12" x14ac:dyDescent="0.3">
      <c r="A494" s="36"/>
      <c r="G494" s="35"/>
      <c r="H494" s="35"/>
      <c r="I494" s="35"/>
      <c r="J494" s="35"/>
      <c r="K494" s="35"/>
      <c r="L494" s="35"/>
    </row>
    <row r="495" spans="1:12" x14ac:dyDescent="0.3">
      <c r="A495" s="36"/>
      <c r="G495" s="35"/>
      <c r="H495" s="35"/>
      <c r="I495" s="35"/>
      <c r="J495" s="35"/>
      <c r="K495" s="35"/>
      <c r="L495" s="35"/>
    </row>
    <row r="496" spans="1:12" x14ac:dyDescent="0.3">
      <c r="A496" s="36"/>
      <c r="G496" s="35"/>
      <c r="H496" s="35"/>
      <c r="I496" s="35"/>
      <c r="J496" s="35"/>
      <c r="K496" s="35"/>
      <c r="L496" s="35"/>
    </row>
    <row r="497" spans="1:12" x14ac:dyDescent="0.3">
      <c r="A497" s="36"/>
      <c r="G497" s="35"/>
      <c r="H497" s="35"/>
      <c r="I497" s="35"/>
      <c r="J497" s="35"/>
      <c r="K497" s="35"/>
      <c r="L497" s="35"/>
    </row>
    <row r="498" spans="1:12" x14ac:dyDescent="0.3">
      <c r="A498" s="36"/>
      <c r="G498" s="35"/>
      <c r="H498" s="35"/>
      <c r="I498" s="35"/>
      <c r="J498" s="35"/>
      <c r="K498" s="35"/>
      <c r="L498" s="35"/>
    </row>
    <row r="499" spans="1:12" x14ac:dyDescent="0.3">
      <c r="A499" s="36"/>
      <c r="G499" s="35"/>
      <c r="H499" s="35"/>
      <c r="I499" s="35"/>
      <c r="J499" s="35"/>
      <c r="K499" s="35"/>
      <c r="L499" s="35"/>
    </row>
    <row r="500" spans="1:12" x14ac:dyDescent="0.3">
      <c r="A500" s="36"/>
      <c r="G500" s="35"/>
      <c r="H500" s="35"/>
      <c r="I500" s="35"/>
      <c r="J500" s="35"/>
      <c r="K500" s="35"/>
      <c r="L500" s="35"/>
    </row>
  </sheetData>
  <mergeCells count="1">
    <mergeCell ref="A1:L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2:K65"/>
  <sheetViews>
    <sheetView topLeftCell="A19" workbookViewId="0"/>
  </sheetViews>
  <sheetFormatPr baseColWidth="10" defaultColWidth="9.109375" defaultRowHeight="14.4" x14ac:dyDescent="0.3"/>
  <cols>
    <col min="2" max="2" width="22.33203125" customWidth="1"/>
    <col min="3" max="3" width="65.88671875" customWidth="1"/>
    <col min="4" max="4" width="19.6640625" customWidth="1"/>
    <col min="5" max="5" width="16.88671875" customWidth="1"/>
    <col min="6" max="6" width="15.5546875" customWidth="1"/>
    <col min="7" max="7" width="19.109375" customWidth="1"/>
    <col min="8" max="8" width="18.5546875" customWidth="1"/>
    <col min="9" max="10" width="16.5546875" customWidth="1"/>
    <col min="11" max="11" width="20.5546875" customWidth="1"/>
  </cols>
  <sheetData>
    <row r="2" spans="2:11" x14ac:dyDescent="0.3">
      <c r="B2" s="65" t="s">
        <v>315</v>
      </c>
      <c r="C2" s="65" t="s">
        <v>316</v>
      </c>
      <c r="D2" s="65" t="s">
        <v>317</v>
      </c>
      <c r="E2" s="65" t="s">
        <v>319</v>
      </c>
      <c r="F2" s="65" t="s">
        <v>320</v>
      </c>
      <c r="G2" s="65" t="s">
        <v>321</v>
      </c>
      <c r="H2" s="66" t="s">
        <v>343</v>
      </c>
      <c r="I2" s="66"/>
      <c r="J2" s="66"/>
      <c r="K2" s="66"/>
    </row>
    <row r="3" spans="2:11" ht="39" customHeight="1" x14ac:dyDescent="0.3">
      <c r="B3" s="65"/>
      <c r="C3" s="65"/>
      <c r="D3" s="65"/>
      <c r="E3" s="65"/>
      <c r="F3" s="65"/>
      <c r="G3" s="65"/>
      <c r="H3" s="21" t="s">
        <v>342</v>
      </c>
      <c r="I3" s="21" t="s">
        <v>344</v>
      </c>
      <c r="J3" s="21" t="s">
        <v>322</v>
      </c>
      <c r="K3" s="21" t="s">
        <v>323</v>
      </c>
    </row>
    <row r="4" spans="2:11" ht="15" customHeight="1" x14ac:dyDescent="0.3">
      <c r="B4" s="13">
        <v>1</v>
      </c>
      <c r="C4" s="14" t="s">
        <v>54</v>
      </c>
      <c r="D4" s="15">
        <f t="shared" ref="D4:I4" si="0">+D5+D32</f>
        <v>83021300</v>
      </c>
      <c r="E4" s="15">
        <f t="shared" si="0"/>
        <v>19575184</v>
      </c>
      <c r="F4" s="15">
        <f t="shared" si="0"/>
        <v>0</v>
      </c>
      <c r="G4" s="15">
        <f t="shared" si="0"/>
        <v>102596484</v>
      </c>
      <c r="H4" s="15">
        <f t="shared" si="0"/>
        <v>0</v>
      </c>
      <c r="I4" s="15">
        <f t="shared" si="0"/>
        <v>102596484</v>
      </c>
      <c r="J4" s="15">
        <f>+H4+I4</f>
        <v>102596484</v>
      </c>
      <c r="K4" s="15">
        <f>+G4-J4</f>
        <v>0</v>
      </c>
    </row>
    <row r="5" spans="2:11" x14ac:dyDescent="0.3">
      <c r="B5" s="3" t="s">
        <v>0</v>
      </c>
      <c r="C5" s="4" t="s">
        <v>55</v>
      </c>
      <c r="D5" s="5">
        <f t="shared" ref="D5:I5" si="1">+D6</f>
        <v>83021300</v>
      </c>
      <c r="E5" s="5">
        <f t="shared" si="1"/>
        <v>17886039</v>
      </c>
      <c r="F5" s="5">
        <f t="shared" si="1"/>
        <v>0</v>
      </c>
      <c r="G5" s="5">
        <f t="shared" si="1"/>
        <v>100907339</v>
      </c>
      <c r="H5" s="5">
        <f t="shared" si="1"/>
        <v>0</v>
      </c>
      <c r="I5" s="5">
        <f t="shared" si="1"/>
        <v>100907339</v>
      </c>
      <c r="J5" s="5">
        <f t="shared" ref="J5:J62" si="2">+H5+I5</f>
        <v>100907339</v>
      </c>
      <c r="K5" s="5">
        <f t="shared" ref="K5:K62" si="3">+G5-J5</f>
        <v>0</v>
      </c>
    </row>
    <row r="6" spans="2:11" x14ac:dyDescent="0.3">
      <c r="B6" s="3" t="s">
        <v>1</v>
      </c>
      <c r="C6" s="4" t="s">
        <v>56</v>
      </c>
      <c r="D6" s="5">
        <f t="shared" ref="D6:I6" si="4">+D7+D17</f>
        <v>83021300</v>
      </c>
      <c r="E6" s="5">
        <f t="shared" si="4"/>
        <v>17886039</v>
      </c>
      <c r="F6" s="5">
        <f t="shared" si="4"/>
        <v>0</v>
      </c>
      <c r="G6" s="5">
        <f t="shared" si="4"/>
        <v>100907339</v>
      </c>
      <c r="H6" s="5">
        <f t="shared" si="4"/>
        <v>0</v>
      </c>
      <c r="I6" s="5">
        <f t="shared" si="4"/>
        <v>100907339</v>
      </c>
      <c r="J6" s="5">
        <f t="shared" si="2"/>
        <v>100907339</v>
      </c>
      <c r="K6" s="5">
        <f t="shared" si="3"/>
        <v>0</v>
      </c>
    </row>
    <row r="7" spans="2:11" x14ac:dyDescent="0.3">
      <c r="B7" s="10" t="s">
        <v>2</v>
      </c>
      <c r="C7" s="8" t="s">
        <v>57</v>
      </c>
      <c r="D7" s="9">
        <f t="shared" ref="D7:I7" si="5">+D8</f>
        <v>0</v>
      </c>
      <c r="E7" s="9">
        <f t="shared" si="5"/>
        <v>0</v>
      </c>
      <c r="F7" s="9">
        <f t="shared" si="5"/>
        <v>0</v>
      </c>
      <c r="G7" s="9">
        <f t="shared" si="5"/>
        <v>0</v>
      </c>
      <c r="H7" s="9">
        <f t="shared" si="5"/>
        <v>0</v>
      </c>
      <c r="I7" s="9">
        <f t="shared" si="5"/>
        <v>0</v>
      </c>
      <c r="J7" s="9">
        <f t="shared" si="2"/>
        <v>0</v>
      </c>
      <c r="K7" s="9">
        <f t="shared" si="3"/>
        <v>0</v>
      </c>
    </row>
    <row r="8" spans="2:11" x14ac:dyDescent="0.3">
      <c r="B8" s="3" t="s">
        <v>3</v>
      </c>
      <c r="C8" s="4" t="s">
        <v>58</v>
      </c>
      <c r="D8" s="5">
        <f t="shared" ref="D8:I8" si="6">+D9+D11</f>
        <v>0</v>
      </c>
      <c r="E8" s="5">
        <f t="shared" si="6"/>
        <v>0</v>
      </c>
      <c r="F8" s="5">
        <f t="shared" si="6"/>
        <v>0</v>
      </c>
      <c r="G8" s="5">
        <f t="shared" si="6"/>
        <v>0</v>
      </c>
      <c r="H8" s="5">
        <f t="shared" si="6"/>
        <v>0</v>
      </c>
      <c r="I8" s="5">
        <f t="shared" si="6"/>
        <v>0</v>
      </c>
      <c r="J8" s="5">
        <f t="shared" si="2"/>
        <v>0</v>
      </c>
      <c r="K8" s="5">
        <f t="shared" si="3"/>
        <v>0</v>
      </c>
    </row>
    <row r="9" spans="2:11" ht="17.25" customHeight="1" x14ac:dyDescent="0.3">
      <c r="B9" s="3" t="s">
        <v>4</v>
      </c>
      <c r="C9" s="4" t="s">
        <v>95</v>
      </c>
      <c r="D9" s="5">
        <f t="shared" ref="D9:I9" si="7">+D10</f>
        <v>0</v>
      </c>
      <c r="E9" s="5">
        <f t="shared" si="7"/>
        <v>0</v>
      </c>
      <c r="F9" s="5">
        <f t="shared" si="7"/>
        <v>0</v>
      </c>
      <c r="G9" s="5">
        <f t="shared" si="7"/>
        <v>0</v>
      </c>
      <c r="H9" s="5">
        <f t="shared" si="7"/>
        <v>0</v>
      </c>
      <c r="I9" s="5">
        <f t="shared" si="7"/>
        <v>0</v>
      </c>
      <c r="J9" s="5">
        <f t="shared" si="2"/>
        <v>0</v>
      </c>
      <c r="K9" s="5">
        <f t="shared" si="3"/>
        <v>0</v>
      </c>
    </row>
    <row r="10" spans="2:11" ht="15.75" customHeight="1" x14ac:dyDescent="0.3">
      <c r="B10" s="2" t="s">
        <v>7</v>
      </c>
      <c r="C10" s="11" t="s">
        <v>96</v>
      </c>
      <c r="D10" s="1">
        <v>0</v>
      </c>
      <c r="E10" s="1">
        <v>0</v>
      </c>
      <c r="F10" s="1">
        <v>0</v>
      </c>
      <c r="G10" s="1">
        <f>+D10+E10-F10</f>
        <v>0</v>
      </c>
      <c r="H10" s="1">
        <v>0</v>
      </c>
      <c r="I10" s="1">
        <v>0</v>
      </c>
      <c r="J10" s="1">
        <f t="shared" si="2"/>
        <v>0</v>
      </c>
      <c r="K10" s="1">
        <f t="shared" si="3"/>
        <v>0</v>
      </c>
    </row>
    <row r="11" spans="2:11" x14ac:dyDescent="0.3">
      <c r="B11" s="3" t="s">
        <v>5</v>
      </c>
      <c r="C11" s="4" t="s">
        <v>59</v>
      </c>
      <c r="D11" s="5">
        <f t="shared" ref="D11:I11" si="8">+D12+D13+D14+D15+D16</f>
        <v>0</v>
      </c>
      <c r="E11" s="5">
        <f t="shared" si="8"/>
        <v>0</v>
      </c>
      <c r="F11" s="5">
        <f t="shared" si="8"/>
        <v>0</v>
      </c>
      <c r="G11" s="5">
        <f t="shared" si="8"/>
        <v>0</v>
      </c>
      <c r="H11" s="5">
        <f t="shared" si="8"/>
        <v>0</v>
      </c>
      <c r="I11" s="5">
        <f t="shared" si="8"/>
        <v>0</v>
      </c>
      <c r="J11" s="5">
        <f t="shared" si="2"/>
        <v>0</v>
      </c>
      <c r="K11" s="5">
        <f>+G11-J11</f>
        <v>0</v>
      </c>
    </row>
    <row r="12" spans="2:11" x14ac:dyDescent="0.3">
      <c r="B12" s="2" t="s">
        <v>6</v>
      </c>
      <c r="C12" s="11" t="s">
        <v>60</v>
      </c>
      <c r="D12" s="1">
        <v>0</v>
      </c>
      <c r="E12" s="1">
        <v>0</v>
      </c>
      <c r="F12" s="1">
        <v>0</v>
      </c>
      <c r="G12" s="1">
        <f>+D12+E12-F12</f>
        <v>0</v>
      </c>
      <c r="H12" s="1">
        <f>+E12+F12-G12</f>
        <v>0</v>
      </c>
      <c r="I12" s="1">
        <f>+F12+G12-H12</f>
        <v>0</v>
      </c>
      <c r="J12" s="1">
        <f t="shared" si="2"/>
        <v>0</v>
      </c>
      <c r="K12" s="1">
        <f>+G12-J12</f>
        <v>0</v>
      </c>
    </row>
    <row r="13" spans="2:11" x14ac:dyDescent="0.3">
      <c r="B13" s="2" t="s">
        <v>8</v>
      </c>
      <c r="C13" s="11" t="s">
        <v>61</v>
      </c>
      <c r="D13" s="1">
        <v>0</v>
      </c>
      <c r="E13" s="1">
        <v>0</v>
      </c>
      <c r="F13" s="1">
        <v>0</v>
      </c>
      <c r="G13" s="1">
        <f t="shared" ref="G13:I16" si="9">+D13+E13-F13</f>
        <v>0</v>
      </c>
      <c r="H13" s="1">
        <f t="shared" si="9"/>
        <v>0</v>
      </c>
      <c r="I13" s="1">
        <f t="shared" si="9"/>
        <v>0</v>
      </c>
      <c r="J13" s="1">
        <f t="shared" si="2"/>
        <v>0</v>
      </c>
      <c r="K13" s="1">
        <f t="shared" si="3"/>
        <v>0</v>
      </c>
    </row>
    <row r="14" spans="2:11" x14ac:dyDescent="0.3">
      <c r="B14" s="2" t="s">
        <v>9</v>
      </c>
      <c r="C14" s="11" t="s">
        <v>62</v>
      </c>
      <c r="D14" s="1">
        <v>0</v>
      </c>
      <c r="E14" s="1">
        <v>0</v>
      </c>
      <c r="F14" s="1">
        <v>0</v>
      </c>
      <c r="G14" s="1">
        <f t="shared" si="9"/>
        <v>0</v>
      </c>
      <c r="H14" s="1">
        <f t="shared" si="9"/>
        <v>0</v>
      </c>
      <c r="I14" s="1">
        <f t="shared" si="9"/>
        <v>0</v>
      </c>
      <c r="J14" s="1">
        <f>+H14+I14</f>
        <v>0</v>
      </c>
      <c r="K14" s="1">
        <f t="shared" si="3"/>
        <v>0</v>
      </c>
    </row>
    <row r="15" spans="2:11" x14ac:dyDescent="0.3">
      <c r="B15" s="2" t="s">
        <v>345</v>
      </c>
      <c r="C15" s="11" t="s">
        <v>347</v>
      </c>
      <c r="D15" s="1">
        <v>0</v>
      </c>
      <c r="E15" s="1">
        <v>0</v>
      </c>
      <c r="F15" s="1">
        <v>0</v>
      </c>
      <c r="G15" s="1">
        <f t="shared" si="9"/>
        <v>0</v>
      </c>
      <c r="H15" s="1">
        <f t="shared" si="9"/>
        <v>0</v>
      </c>
      <c r="I15" s="1">
        <f t="shared" si="9"/>
        <v>0</v>
      </c>
      <c r="J15" s="1">
        <f>+H15+I15</f>
        <v>0</v>
      </c>
      <c r="K15" s="1">
        <f t="shared" si="3"/>
        <v>0</v>
      </c>
    </row>
    <row r="16" spans="2:11" x14ac:dyDescent="0.3">
      <c r="B16" s="2" t="s">
        <v>346</v>
      </c>
      <c r="C16" s="11" t="s">
        <v>348</v>
      </c>
      <c r="D16" s="1">
        <v>0</v>
      </c>
      <c r="E16" s="1">
        <v>0</v>
      </c>
      <c r="F16" s="1">
        <v>0</v>
      </c>
      <c r="G16" s="1">
        <f t="shared" si="9"/>
        <v>0</v>
      </c>
      <c r="H16" s="1">
        <f t="shared" si="9"/>
        <v>0</v>
      </c>
      <c r="I16" s="1">
        <f t="shared" si="9"/>
        <v>0</v>
      </c>
      <c r="J16" s="1">
        <f>+H16+I16</f>
        <v>0</v>
      </c>
      <c r="K16" s="1">
        <f t="shared" si="3"/>
        <v>0</v>
      </c>
    </row>
    <row r="17" spans="2:11" x14ac:dyDescent="0.3">
      <c r="B17" s="10" t="s">
        <v>10</v>
      </c>
      <c r="C17" s="8" t="s">
        <v>63</v>
      </c>
      <c r="D17" s="9">
        <f t="shared" ref="D17:I17" si="10">+D18+D22</f>
        <v>83021300</v>
      </c>
      <c r="E17" s="9">
        <f t="shared" si="10"/>
        <v>17886039</v>
      </c>
      <c r="F17" s="9">
        <f t="shared" si="10"/>
        <v>0</v>
      </c>
      <c r="G17" s="9">
        <f t="shared" si="10"/>
        <v>100907339</v>
      </c>
      <c r="H17" s="9">
        <f t="shared" si="10"/>
        <v>0</v>
      </c>
      <c r="I17" s="9">
        <f t="shared" si="10"/>
        <v>100907339</v>
      </c>
      <c r="J17" s="9">
        <f t="shared" si="2"/>
        <v>100907339</v>
      </c>
      <c r="K17" s="9">
        <f t="shared" si="3"/>
        <v>0</v>
      </c>
    </row>
    <row r="18" spans="2:11" x14ac:dyDescent="0.3">
      <c r="B18" s="3" t="s">
        <v>11</v>
      </c>
      <c r="C18" s="4" t="s">
        <v>64</v>
      </c>
      <c r="D18" s="5">
        <f t="shared" ref="D18:I20" si="11">+D19</f>
        <v>83021300</v>
      </c>
      <c r="E18" s="5">
        <f t="shared" si="11"/>
        <v>17886039</v>
      </c>
      <c r="F18" s="5">
        <f t="shared" si="11"/>
        <v>0</v>
      </c>
      <c r="G18" s="5">
        <f t="shared" si="11"/>
        <v>100907339</v>
      </c>
      <c r="H18" s="5">
        <f t="shared" si="11"/>
        <v>0</v>
      </c>
      <c r="I18" s="5">
        <f t="shared" si="11"/>
        <v>100907339</v>
      </c>
      <c r="J18" s="5">
        <f t="shared" si="2"/>
        <v>100907339</v>
      </c>
      <c r="K18" s="5">
        <f t="shared" si="3"/>
        <v>0</v>
      </c>
    </row>
    <row r="19" spans="2:11" x14ac:dyDescent="0.3">
      <c r="B19" s="3" t="s">
        <v>12</v>
      </c>
      <c r="C19" s="4" t="s">
        <v>65</v>
      </c>
      <c r="D19" s="5">
        <f t="shared" si="11"/>
        <v>83021300</v>
      </c>
      <c r="E19" s="5">
        <f t="shared" si="11"/>
        <v>17886039</v>
      </c>
      <c r="F19" s="5">
        <f t="shared" si="11"/>
        <v>0</v>
      </c>
      <c r="G19" s="5">
        <f t="shared" si="11"/>
        <v>100907339</v>
      </c>
      <c r="H19" s="5">
        <f t="shared" si="11"/>
        <v>0</v>
      </c>
      <c r="I19" s="5">
        <f t="shared" si="11"/>
        <v>100907339</v>
      </c>
      <c r="J19" s="5">
        <f t="shared" si="2"/>
        <v>100907339</v>
      </c>
      <c r="K19" s="5">
        <f t="shared" si="3"/>
        <v>0</v>
      </c>
    </row>
    <row r="20" spans="2:11" x14ac:dyDescent="0.3">
      <c r="B20" s="3" t="s">
        <v>13</v>
      </c>
      <c r="C20" s="4" t="s">
        <v>67</v>
      </c>
      <c r="D20" s="5">
        <f t="shared" si="11"/>
        <v>83021300</v>
      </c>
      <c r="E20" s="5">
        <f t="shared" si="11"/>
        <v>17886039</v>
      </c>
      <c r="F20" s="5">
        <f t="shared" si="11"/>
        <v>0</v>
      </c>
      <c r="G20" s="5">
        <f t="shared" si="11"/>
        <v>100907339</v>
      </c>
      <c r="H20" s="5">
        <f t="shared" si="11"/>
        <v>0</v>
      </c>
      <c r="I20" s="5">
        <f t="shared" si="11"/>
        <v>100907339</v>
      </c>
      <c r="J20" s="5">
        <f t="shared" si="2"/>
        <v>100907339</v>
      </c>
      <c r="K20" s="5">
        <f t="shared" si="3"/>
        <v>0</v>
      </c>
    </row>
    <row r="21" spans="2:11" x14ac:dyDescent="0.3">
      <c r="B21" s="2" t="s">
        <v>14</v>
      </c>
      <c r="C21" s="11" t="s">
        <v>97</v>
      </c>
      <c r="D21" s="1">
        <v>83021300</v>
      </c>
      <c r="E21" s="1">
        <v>17886039</v>
      </c>
      <c r="F21" s="1">
        <v>0</v>
      </c>
      <c r="G21" s="1">
        <f>+D21+E21-F21</f>
        <v>100907339</v>
      </c>
      <c r="H21" s="1">
        <v>0</v>
      </c>
      <c r="I21" s="1">
        <v>100907339</v>
      </c>
      <c r="J21" s="1">
        <f t="shared" si="2"/>
        <v>100907339</v>
      </c>
      <c r="K21" s="1">
        <f t="shared" si="3"/>
        <v>0</v>
      </c>
    </row>
    <row r="22" spans="2:11" x14ac:dyDescent="0.3">
      <c r="B22" s="3" t="s">
        <v>15</v>
      </c>
      <c r="C22" s="4" t="s">
        <v>66</v>
      </c>
      <c r="D22" s="5">
        <f t="shared" ref="D22:I22" si="12">+D23+D24</f>
        <v>0</v>
      </c>
      <c r="E22" s="5">
        <f t="shared" si="12"/>
        <v>0</v>
      </c>
      <c r="F22" s="5">
        <f t="shared" si="12"/>
        <v>0</v>
      </c>
      <c r="G22" s="5">
        <f t="shared" si="12"/>
        <v>0</v>
      </c>
      <c r="H22" s="5">
        <f t="shared" si="12"/>
        <v>0</v>
      </c>
      <c r="I22" s="5">
        <f t="shared" si="12"/>
        <v>0</v>
      </c>
      <c r="J22" s="5">
        <f t="shared" si="2"/>
        <v>0</v>
      </c>
      <c r="K22" s="5">
        <f t="shared" si="3"/>
        <v>0</v>
      </c>
    </row>
    <row r="23" spans="2:11" x14ac:dyDescent="0.3">
      <c r="B23" s="2" t="s">
        <v>16</v>
      </c>
      <c r="C23" s="11" t="s">
        <v>106</v>
      </c>
      <c r="D23" s="1">
        <v>0</v>
      </c>
      <c r="E23" s="1">
        <v>0</v>
      </c>
      <c r="F23" s="1">
        <v>0</v>
      </c>
      <c r="G23" s="1">
        <f>+D23+E23-F23</f>
        <v>0</v>
      </c>
      <c r="H23" s="1">
        <f>+E23+F23-G23</f>
        <v>0</v>
      </c>
      <c r="I23" s="1">
        <f>+F23+G23-H23</f>
        <v>0</v>
      </c>
      <c r="J23" s="1">
        <f t="shared" si="2"/>
        <v>0</v>
      </c>
      <c r="K23" s="1">
        <f t="shared" si="3"/>
        <v>0</v>
      </c>
    </row>
    <row r="24" spans="2:11" x14ac:dyDescent="0.3">
      <c r="B24" s="3" t="s">
        <v>17</v>
      </c>
      <c r="C24" s="4" t="s">
        <v>68</v>
      </c>
      <c r="D24" s="5">
        <f t="shared" ref="D24:I24" si="13">+D25+D28+D31</f>
        <v>0</v>
      </c>
      <c r="E24" s="5">
        <f t="shared" si="13"/>
        <v>0</v>
      </c>
      <c r="F24" s="5">
        <f t="shared" si="13"/>
        <v>0</v>
      </c>
      <c r="G24" s="5">
        <f t="shared" si="13"/>
        <v>0</v>
      </c>
      <c r="H24" s="5">
        <f t="shared" si="13"/>
        <v>0</v>
      </c>
      <c r="I24" s="5">
        <f t="shared" si="13"/>
        <v>0</v>
      </c>
      <c r="J24" s="5">
        <f t="shared" si="2"/>
        <v>0</v>
      </c>
      <c r="K24" s="5">
        <f t="shared" si="3"/>
        <v>0</v>
      </c>
    </row>
    <row r="25" spans="2:11" x14ac:dyDescent="0.3">
      <c r="B25" s="3" t="s">
        <v>18</v>
      </c>
      <c r="C25" s="4" t="s">
        <v>69</v>
      </c>
      <c r="D25" s="5">
        <f t="shared" ref="D25:I25" si="14">+D26+D27</f>
        <v>0</v>
      </c>
      <c r="E25" s="5">
        <f t="shared" si="14"/>
        <v>0</v>
      </c>
      <c r="F25" s="5">
        <f t="shared" si="14"/>
        <v>0</v>
      </c>
      <c r="G25" s="5">
        <f t="shared" si="14"/>
        <v>0</v>
      </c>
      <c r="H25" s="5">
        <f t="shared" si="14"/>
        <v>0</v>
      </c>
      <c r="I25" s="5">
        <f t="shared" si="14"/>
        <v>0</v>
      </c>
      <c r="J25" s="5">
        <f t="shared" si="2"/>
        <v>0</v>
      </c>
      <c r="K25" s="5">
        <f t="shared" si="3"/>
        <v>0</v>
      </c>
    </row>
    <row r="26" spans="2:11" x14ac:dyDescent="0.3">
      <c r="B26" s="2" t="s">
        <v>20</v>
      </c>
      <c r="C26" s="11" t="s">
        <v>70</v>
      </c>
      <c r="D26" s="1">
        <v>0</v>
      </c>
      <c r="E26" s="1">
        <v>0</v>
      </c>
      <c r="F26" s="1">
        <v>0</v>
      </c>
      <c r="G26" s="1">
        <f t="shared" ref="G26:I27" si="15">+D26+E26-F26</f>
        <v>0</v>
      </c>
      <c r="H26" s="1">
        <f t="shared" si="15"/>
        <v>0</v>
      </c>
      <c r="I26" s="1">
        <f t="shared" si="15"/>
        <v>0</v>
      </c>
      <c r="J26" s="1">
        <f t="shared" si="2"/>
        <v>0</v>
      </c>
      <c r="K26" s="1">
        <f t="shared" si="3"/>
        <v>0</v>
      </c>
    </row>
    <row r="27" spans="2:11" x14ac:dyDescent="0.3">
      <c r="B27" s="2" t="s">
        <v>21</v>
      </c>
      <c r="C27" s="11" t="s">
        <v>72</v>
      </c>
      <c r="D27" s="1">
        <v>0</v>
      </c>
      <c r="E27" s="1">
        <v>0</v>
      </c>
      <c r="F27" s="1">
        <v>0</v>
      </c>
      <c r="G27" s="1">
        <f t="shared" si="15"/>
        <v>0</v>
      </c>
      <c r="H27" s="1">
        <f t="shared" si="15"/>
        <v>0</v>
      </c>
      <c r="I27" s="1">
        <f t="shared" si="15"/>
        <v>0</v>
      </c>
      <c r="J27" s="1">
        <f t="shared" si="2"/>
        <v>0</v>
      </c>
      <c r="K27" s="1">
        <f t="shared" si="3"/>
        <v>0</v>
      </c>
    </row>
    <row r="28" spans="2:11" x14ac:dyDescent="0.3">
      <c r="B28" s="3" t="s">
        <v>19</v>
      </c>
      <c r="C28" s="4" t="s">
        <v>71</v>
      </c>
      <c r="D28" s="5">
        <f t="shared" ref="D28:I28" si="16">+D29+D30</f>
        <v>0</v>
      </c>
      <c r="E28" s="5">
        <f t="shared" si="16"/>
        <v>0</v>
      </c>
      <c r="F28" s="5">
        <f t="shared" si="16"/>
        <v>0</v>
      </c>
      <c r="G28" s="5">
        <f t="shared" si="16"/>
        <v>0</v>
      </c>
      <c r="H28" s="5">
        <f t="shared" si="16"/>
        <v>0</v>
      </c>
      <c r="I28" s="5">
        <f t="shared" si="16"/>
        <v>0</v>
      </c>
      <c r="J28" s="5">
        <f t="shared" si="2"/>
        <v>0</v>
      </c>
      <c r="K28" s="5">
        <f t="shared" si="3"/>
        <v>0</v>
      </c>
    </row>
    <row r="29" spans="2:11" x14ac:dyDescent="0.3">
      <c r="B29" s="2" t="s">
        <v>23</v>
      </c>
      <c r="C29" s="11" t="s">
        <v>73</v>
      </c>
      <c r="D29" s="1">
        <v>0</v>
      </c>
      <c r="E29" s="1">
        <v>0</v>
      </c>
      <c r="F29" s="1">
        <v>0</v>
      </c>
      <c r="G29" s="1">
        <f>+D29+E29-F29</f>
        <v>0</v>
      </c>
      <c r="H29" s="1">
        <v>0</v>
      </c>
      <c r="I29" s="1">
        <v>0</v>
      </c>
      <c r="J29" s="1">
        <f t="shared" si="2"/>
        <v>0</v>
      </c>
      <c r="K29" s="1">
        <f t="shared" si="3"/>
        <v>0</v>
      </c>
    </row>
    <row r="30" spans="2:11" x14ac:dyDescent="0.3">
      <c r="B30" s="2" t="s">
        <v>24</v>
      </c>
      <c r="C30" s="11" t="s">
        <v>74</v>
      </c>
      <c r="D30" s="1">
        <v>0</v>
      </c>
      <c r="E30" s="1">
        <v>0</v>
      </c>
      <c r="F30" s="1">
        <v>0</v>
      </c>
      <c r="G30" s="1">
        <f t="shared" ref="G30:I31" si="17">+D30+E30-F30</f>
        <v>0</v>
      </c>
      <c r="H30" s="1">
        <f t="shared" si="17"/>
        <v>0</v>
      </c>
      <c r="I30" s="1">
        <f t="shared" si="17"/>
        <v>0</v>
      </c>
      <c r="J30" s="1">
        <f t="shared" si="2"/>
        <v>0</v>
      </c>
      <c r="K30" s="1">
        <f t="shared" si="3"/>
        <v>0</v>
      </c>
    </row>
    <row r="31" spans="2:11" x14ac:dyDescent="0.3">
      <c r="B31" s="2" t="s">
        <v>22</v>
      </c>
      <c r="C31" s="11" t="s">
        <v>75</v>
      </c>
      <c r="D31" s="1">
        <v>0</v>
      </c>
      <c r="E31" s="1">
        <v>0</v>
      </c>
      <c r="F31" s="1">
        <v>0</v>
      </c>
      <c r="G31" s="1">
        <f t="shared" si="17"/>
        <v>0</v>
      </c>
      <c r="H31" s="1">
        <f t="shared" si="17"/>
        <v>0</v>
      </c>
      <c r="I31" s="1">
        <f t="shared" si="17"/>
        <v>0</v>
      </c>
      <c r="J31" s="1">
        <f t="shared" si="2"/>
        <v>0</v>
      </c>
      <c r="K31" s="1">
        <f t="shared" si="3"/>
        <v>0</v>
      </c>
    </row>
    <row r="32" spans="2:11" x14ac:dyDescent="0.3">
      <c r="B32" s="6" t="s">
        <v>25</v>
      </c>
      <c r="C32" s="4" t="s">
        <v>76</v>
      </c>
      <c r="D32" s="5">
        <f t="shared" ref="D32:I32" si="18">+D33+D39+D50+D56</f>
        <v>0</v>
      </c>
      <c r="E32" s="5">
        <f t="shared" si="18"/>
        <v>1689145</v>
      </c>
      <c r="F32" s="5">
        <f t="shared" si="18"/>
        <v>0</v>
      </c>
      <c r="G32" s="5">
        <f t="shared" si="18"/>
        <v>1689145</v>
      </c>
      <c r="H32" s="5">
        <f t="shared" si="18"/>
        <v>0</v>
      </c>
      <c r="I32" s="5">
        <f t="shared" si="18"/>
        <v>1689145</v>
      </c>
      <c r="J32" s="5">
        <f t="shared" si="2"/>
        <v>1689145</v>
      </c>
      <c r="K32" s="5">
        <f t="shared" si="3"/>
        <v>0</v>
      </c>
    </row>
    <row r="33" spans="2:11" x14ac:dyDescent="0.3">
      <c r="B33" s="6" t="s">
        <v>26</v>
      </c>
      <c r="C33" s="4" t="s">
        <v>77</v>
      </c>
      <c r="D33" s="5">
        <f t="shared" ref="D33:I33" si="19">+D34</f>
        <v>0</v>
      </c>
      <c r="E33" s="5">
        <f t="shared" si="19"/>
        <v>1689145</v>
      </c>
      <c r="F33" s="5">
        <f t="shared" si="19"/>
        <v>0</v>
      </c>
      <c r="G33" s="5">
        <f t="shared" si="19"/>
        <v>1689145</v>
      </c>
      <c r="H33" s="5">
        <f t="shared" si="19"/>
        <v>0</v>
      </c>
      <c r="I33" s="5">
        <f t="shared" si="19"/>
        <v>1689145</v>
      </c>
      <c r="J33" s="5">
        <f t="shared" si="2"/>
        <v>1689145</v>
      </c>
      <c r="K33" s="5">
        <f t="shared" si="3"/>
        <v>0</v>
      </c>
    </row>
    <row r="34" spans="2:11" x14ac:dyDescent="0.3">
      <c r="B34" s="7" t="s">
        <v>27</v>
      </c>
      <c r="C34" s="8" t="s">
        <v>78</v>
      </c>
      <c r="D34" s="9">
        <f t="shared" ref="D34:I34" si="20">+D35+D36+D37+D38</f>
        <v>0</v>
      </c>
      <c r="E34" s="9">
        <f t="shared" si="20"/>
        <v>1689145</v>
      </c>
      <c r="F34" s="9">
        <f t="shared" si="20"/>
        <v>0</v>
      </c>
      <c r="G34" s="9">
        <f t="shared" si="20"/>
        <v>1689145</v>
      </c>
      <c r="H34" s="9">
        <f t="shared" si="20"/>
        <v>0</v>
      </c>
      <c r="I34" s="9">
        <f t="shared" si="20"/>
        <v>1689145</v>
      </c>
      <c r="J34" s="9">
        <f t="shared" si="2"/>
        <v>1689145</v>
      </c>
      <c r="K34" s="9">
        <f t="shared" si="3"/>
        <v>0</v>
      </c>
    </row>
    <row r="35" spans="2:11" x14ac:dyDescent="0.3">
      <c r="B35" s="12" t="s">
        <v>28</v>
      </c>
      <c r="C35" s="11" t="s">
        <v>98</v>
      </c>
      <c r="D35" s="1">
        <v>0</v>
      </c>
      <c r="E35" s="1">
        <v>1689145</v>
      </c>
      <c r="F35" s="1">
        <v>0</v>
      </c>
      <c r="G35" s="1">
        <f>+D35+E35-F35</f>
        <v>1689145</v>
      </c>
      <c r="H35" s="1">
        <v>0</v>
      </c>
      <c r="I35" s="1">
        <v>1689145</v>
      </c>
      <c r="J35" s="1">
        <f t="shared" si="2"/>
        <v>1689145</v>
      </c>
      <c r="K35" s="1">
        <f t="shared" si="3"/>
        <v>0</v>
      </c>
    </row>
    <row r="36" spans="2:11" x14ac:dyDescent="0.3">
      <c r="B36" s="12" t="s">
        <v>29</v>
      </c>
      <c r="C36" s="11" t="s">
        <v>99</v>
      </c>
      <c r="D36" s="1">
        <v>0</v>
      </c>
      <c r="E36" s="1">
        <v>0</v>
      </c>
      <c r="F36" s="1">
        <v>0</v>
      </c>
      <c r="G36" s="1">
        <f t="shared" ref="G36:I38" si="21">+D36+E36-F36</f>
        <v>0</v>
      </c>
      <c r="H36" s="1">
        <f t="shared" si="21"/>
        <v>0</v>
      </c>
      <c r="I36" s="1">
        <f t="shared" si="21"/>
        <v>0</v>
      </c>
      <c r="J36" s="1">
        <f t="shared" si="2"/>
        <v>0</v>
      </c>
      <c r="K36" s="1">
        <f t="shared" si="3"/>
        <v>0</v>
      </c>
    </row>
    <row r="37" spans="2:11" x14ac:dyDescent="0.3">
      <c r="B37" s="12" t="s">
        <v>30</v>
      </c>
      <c r="C37" s="11" t="s">
        <v>100</v>
      </c>
      <c r="D37" s="1">
        <v>0</v>
      </c>
      <c r="E37" s="1">
        <v>0</v>
      </c>
      <c r="F37" s="1">
        <v>0</v>
      </c>
      <c r="G37" s="1">
        <f t="shared" si="21"/>
        <v>0</v>
      </c>
      <c r="H37" s="1">
        <f t="shared" si="21"/>
        <v>0</v>
      </c>
      <c r="I37" s="1">
        <f t="shared" si="21"/>
        <v>0</v>
      </c>
      <c r="J37" s="1">
        <f t="shared" si="2"/>
        <v>0</v>
      </c>
      <c r="K37" s="1">
        <f t="shared" si="3"/>
        <v>0</v>
      </c>
    </row>
    <row r="38" spans="2:11" x14ac:dyDescent="0.3">
      <c r="B38" s="12" t="s">
        <v>31</v>
      </c>
      <c r="C38" s="11" t="s">
        <v>101</v>
      </c>
      <c r="D38" s="1">
        <v>0</v>
      </c>
      <c r="E38" s="1">
        <v>0</v>
      </c>
      <c r="F38" s="1">
        <v>0</v>
      </c>
      <c r="G38" s="1">
        <f t="shared" si="21"/>
        <v>0</v>
      </c>
      <c r="H38" s="1">
        <f t="shared" si="21"/>
        <v>0</v>
      </c>
      <c r="I38" s="1">
        <f t="shared" si="21"/>
        <v>0</v>
      </c>
      <c r="J38" s="1">
        <f t="shared" si="2"/>
        <v>0</v>
      </c>
      <c r="K38" s="1">
        <f t="shared" si="3"/>
        <v>0</v>
      </c>
    </row>
    <row r="39" spans="2:11" x14ac:dyDescent="0.3">
      <c r="B39" s="6" t="s">
        <v>32</v>
      </c>
      <c r="C39" s="4" t="s">
        <v>79</v>
      </c>
      <c r="D39" s="5">
        <f t="shared" ref="D39:I39" si="22">+D40+D48</f>
        <v>0</v>
      </c>
      <c r="E39" s="5">
        <f t="shared" si="22"/>
        <v>0</v>
      </c>
      <c r="F39" s="5">
        <f t="shared" si="22"/>
        <v>0</v>
      </c>
      <c r="G39" s="5">
        <f t="shared" si="22"/>
        <v>0</v>
      </c>
      <c r="H39" s="5">
        <f t="shared" si="22"/>
        <v>0</v>
      </c>
      <c r="I39" s="5">
        <f t="shared" si="22"/>
        <v>0</v>
      </c>
      <c r="J39" s="5">
        <f t="shared" si="2"/>
        <v>0</v>
      </c>
      <c r="K39" s="5">
        <f t="shared" si="3"/>
        <v>0</v>
      </c>
    </row>
    <row r="40" spans="2:11" x14ac:dyDescent="0.3">
      <c r="B40" s="7" t="s">
        <v>33</v>
      </c>
      <c r="C40" s="8" t="s">
        <v>80</v>
      </c>
      <c r="D40" s="9">
        <f t="shared" ref="D40:I40" si="23">+D41+D44</f>
        <v>0</v>
      </c>
      <c r="E40" s="9">
        <f t="shared" si="23"/>
        <v>0</v>
      </c>
      <c r="F40" s="9">
        <f t="shared" si="23"/>
        <v>0</v>
      </c>
      <c r="G40" s="9">
        <f t="shared" si="23"/>
        <v>0</v>
      </c>
      <c r="H40" s="9">
        <f t="shared" si="23"/>
        <v>0</v>
      </c>
      <c r="I40" s="9">
        <f t="shared" si="23"/>
        <v>0</v>
      </c>
      <c r="J40" s="9">
        <f t="shared" si="2"/>
        <v>0</v>
      </c>
      <c r="K40" s="9">
        <f t="shared" si="3"/>
        <v>0</v>
      </c>
    </row>
    <row r="41" spans="2:11" x14ac:dyDescent="0.3">
      <c r="B41" s="6" t="s">
        <v>34</v>
      </c>
      <c r="C41" s="4" t="s">
        <v>81</v>
      </c>
      <c r="D41" s="5">
        <f t="shared" ref="D41:I41" si="24">+D42+D43</f>
        <v>0</v>
      </c>
      <c r="E41" s="5">
        <f t="shared" si="24"/>
        <v>0</v>
      </c>
      <c r="F41" s="5">
        <f t="shared" si="24"/>
        <v>0</v>
      </c>
      <c r="G41" s="5">
        <f t="shared" si="24"/>
        <v>0</v>
      </c>
      <c r="H41" s="5">
        <f t="shared" si="24"/>
        <v>0</v>
      </c>
      <c r="I41" s="5">
        <f t="shared" si="24"/>
        <v>0</v>
      </c>
      <c r="J41" s="5">
        <f t="shared" si="2"/>
        <v>0</v>
      </c>
      <c r="K41" s="5">
        <f t="shared" si="3"/>
        <v>0</v>
      </c>
    </row>
    <row r="42" spans="2:11" x14ac:dyDescent="0.3">
      <c r="B42" s="12" t="s">
        <v>36</v>
      </c>
      <c r="C42" s="11" t="s">
        <v>82</v>
      </c>
      <c r="D42" s="1">
        <v>0</v>
      </c>
      <c r="E42" s="1">
        <v>0</v>
      </c>
      <c r="F42" s="1">
        <v>0</v>
      </c>
      <c r="G42" s="1">
        <f t="shared" ref="G42:I43" si="25">+D42+E42-F42</f>
        <v>0</v>
      </c>
      <c r="H42" s="1">
        <f t="shared" si="25"/>
        <v>0</v>
      </c>
      <c r="I42" s="1">
        <f t="shared" si="25"/>
        <v>0</v>
      </c>
      <c r="J42" s="1">
        <f t="shared" si="2"/>
        <v>0</v>
      </c>
      <c r="K42" s="1">
        <f t="shared" si="3"/>
        <v>0</v>
      </c>
    </row>
    <row r="43" spans="2:11" x14ac:dyDescent="0.3">
      <c r="B43" s="12" t="s">
        <v>37</v>
      </c>
      <c r="C43" s="11" t="s">
        <v>83</v>
      </c>
      <c r="D43" s="1">
        <v>0</v>
      </c>
      <c r="E43" s="1">
        <v>0</v>
      </c>
      <c r="F43" s="1">
        <v>0</v>
      </c>
      <c r="G43" s="1">
        <f t="shared" si="25"/>
        <v>0</v>
      </c>
      <c r="H43" s="1">
        <f t="shared" si="25"/>
        <v>0</v>
      </c>
      <c r="I43" s="1">
        <f t="shared" si="25"/>
        <v>0</v>
      </c>
      <c r="J43" s="1">
        <f t="shared" si="2"/>
        <v>0</v>
      </c>
      <c r="K43" s="1">
        <f t="shared" si="3"/>
        <v>0</v>
      </c>
    </row>
    <row r="44" spans="2:11" x14ac:dyDescent="0.3">
      <c r="B44" s="6" t="s">
        <v>35</v>
      </c>
      <c r="C44" s="4" t="s">
        <v>85</v>
      </c>
      <c r="D44" s="5">
        <f t="shared" ref="D44:I44" si="26">+D45+D46+D47</f>
        <v>0</v>
      </c>
      <c r="E44" s="5">
        <f t="shared" si="26"/>
        <v>0</v>
      </c>
      <c r="F44" s="5">
        <f t="shared" si="26"/>
        <v>0</v>
      </c>
      <c r="G44" s="5">
        <f t="shared" si="26"/>
        <v>0</v>
      </c>
      <c r="H44" s="5">
        <f t="shared" si="26"/>
        <v>0</v>
      </c>
      <c r="I44" s="5">
        <f t="shared" si="26"/>
        <v>0</v>
      </c>
      <c r="J44" s="5">
        <f>+H44+I44</f>
        <v>0</v>
      </c>
      <c r="K44" s="5">
        <f>+G44-J44</f>
        <v>0</v>
      </c>
    </row>
    <row r="45" spans="2:11" x14ac:dyDescent="0.3">
      <c r="B45" s="12" t="s">
        <v>38</v>
      </c>
      <c r="C45" s="11" t="s">
        <v>82</v>
      </c>
      <c r="D45" s="1">
        <v>0</v>
      </c>
      <c r="E45" s="1">
        <v>0</v>
      </c>
      <c r="F45" s="1">
        <v>0</v>
      </c>
      <c r="G45" s="1">
        <f t="shared" ref="G45:H47" si="27">+D45+E45-F45</f>
        <v>0</v>
      </c>
      <c r="H45" s="1">
        <f t="shared" si="27"/>
        <v>0</v>
      </c>
      <c r="I45" s="1">
        <f>+F45+G45-H45</f>
        <v>0</v>
      </c>
      <c r="J45" s="1">
        <f>+H45+I45</f>
        <v>0</v>
      </c>
      <c r="K45" s="1">
        <f>+G45-J45</f>
        <v>0</v>
      </c>
    </row>
    <row r="46" spans="2:11" x14ac:dyDescent="0.3">
      <c r="B46" s="12" t="s">
        <v>39</v>
      </c>
      <c r="C46" s="11" t="s">
        <v>83</v>
      </c>
      <c r="D46" s="1">
        <v>0</v>
      </c>
      <c r="E46" s="1">
        <v>0</v>
      </c>
      <c r="F46" s="1">
        <v>0</v>
      </c>
      <c r="G46" s="1">
        <f t="shared" si="27"/>
        <v>0</v>
      </c>
      <c r="H46" s="1">
        <f t="shared" si="27"/>
        <v>0</v>
      </c>
      <c r="I46" s="1">
        <f t="shared" ref="I46:I47" si="28">+F46+G46-H46</f>
        <v>0</v>
      </c>
      <c r="J46" s="1">
        <f t="shared" si="2"/>
        <v>0</v>
      </c>
      <c r="K46" s="1">
        <f>+G46-J46</f>
        <v>0</v>
      </c>
    </row>
    <row r="47" spans="2:11" x14ac:dyDescent="0.3">
      <c r="B47" s="12" t="s">
        <v>349</v>
      </c>
      <c r="C47" s="11" t="s">
        <v>350</v>
      </c>
      <c r="D47" s="1">
        <v>0</v>
      </c>
      <c r="E47" s="1">
        <v>0</v>
      </c>
      <c r="F47" s="1">
        <v>0</v>
      </c>
      <c r="G47" s="1">
        <f t="shared" si="27"/>
        <v>0</v>
      </c>
      <c r="H47" s="1">
        <f t="shared" si="27"/>
        <v>0</v>
      </c>
      <c r="I47" s="1">
        <f t="shared" si="28"/>
        <v>0</v>
      </c>
      <c r="J47" s="1">
        <f t="shared" si="2"/>
        <v>0</v>
      </c>
      <c r="K47" s="1">
        <f>+G47-J47</f>
        <v>0</v>
      </c>
    </row>
    <row r="48" spans="2:11" x14ac:dyDescent="0.3">
      <c r="B48" s="7" t="s">
        <v>40</v>
      </c>
      <c r="C48" s="8" t="s">
        <v>84</v>
      </c>
      <c r="D48" s="9">
        <f t="shared" ref="D48:I48" si="29">+D49</f>
        <v>0</v>
      </c>
      <c r="E48" s="9">
        <f t="shared" si="29"/>
        <v>0</v>
      </c>
      <c r="F48" s="9">
        <f t="shared" si="29"/>
        <v>0</v>
      </c>
      <c r="G48" s="9">
        <f t="shared" si="29"/>
        <v>0</v>
      </c>
      <c r="H48" s="9">
        <f t="shared" si="29"/>
        <v>0</v>
      </c>
      <c r="I48" s="9">
        <f t="shared" si="29"/>
        <v>0</v>
      </c>
      <c r="J48" s="9">
        <f t="shared" si="2"/>
        <v>0</v>
      </c>
      <c r="K48" s="9">
        <f t="shared" si="3"/>
        <v>0</v>
      </c>
    </row>
    <row r="49" spans="2:11" x14ac:dyDescent="0.3">
      <c r="B49" s="12" t="s">
        <v>41</v>
      </c>
      <c r="C49" s="11" t="s">
        <v>86</v>
      </c>
      <c r="D49" s="1">
        <v>0</v>
      </c>
      <c r="E49" s="1">
        <v>0</v>
      </c>
      <c r="F49" s="1">
        <v>0</v>
      </c>
      <c r="G49" s="1">
        <f>+D49+E49-F49</f>
        <v>0</v>
      </c>
      <c r="H49" s="1">
        <f>+E49+F49-G49</f>
        <v>0</v>
      </c>
      <c r="I49" s="1">
        <f>+F49+G49-H49</f>
        <v>0</v>
      </c>
      <c r="J49" s="1">
        <f t="shared" si="2"/>
        <v>0</v>
      </c>
      <c r="K49" s="1">
        <f t="shared" si="3"/>
        <v>0</v>
      </c>
    </row>
    <row r="50" spans="2:11" x14ac:dyDescent="0.3">
      <c r="B50" s="6" t="s">
        <v>42</v>
      </c>
      <c r="C50" s="4" t="s">
        <v>87</v>
      </c>
      <c r="D50" s="5">
        <f t="shared" ref="D50:I50" si="30">+D51</f>
        <v>0</v>
      </c>
      <c r="E50" s="5">
        <f t="shared" si="30"/>
        <v>0</v>
      </c>
      <c r="F50" s="5">
        <f t="shared" si="30"/>
        <v>0</v>
      </c>
      <c r="G50" s="5">
        <f t="shared" si="30"/>
        <v>0</v>
      </c>
      <c r="H50" s="5">
        <f t="shared" si="30"/>
        <v>0</v>
      </c>
      <c r="I50" s="5">
        <f t="shared" si="30"/>
        <v>0</v>
      </c>
      <c r="J50" s="5">
        <f t="shared" si="2"/>
        <v>0</v>
      </c>
      <c r="K50" s="5">
        <f t="shared" si="3"/>
        <v>0</v>
      </c>
    </row>
    <row r="51" spans="2:11" x14ac:dyDescent="0.3">
      <c r="B51" s="7" t="s">
        <v>43</v>
      </c>
      <c r="C51" s="8" t="s">
        <v>88</v>
      </c>
      <c r="D51" s="9">
        <f t="shared" ref="D51:I51" si="31">+D52+D53+D54+D55</f>
        <v>0</v>
      </c>
      <c r="E51" s="9">
        <f t="shared" si="31"/>
        <v>0</v>
      </c>
      <c r="F51" s="9">
        <f t="shared" si="31"/>
        <v>0</v>
      </c>
      <c r="G51" s="9">
        <f t="shared" si="31"/>
        <v>0</v>
      </c>
      <c r="H51" s="9">
        <f t="shared" si="31"/>
        <v>0</v>
      </c>
      <c r="I51" s="9">
        <f t="shared" si="31"/>
        <v>0</v>
      </c>
      <c r="J51" s="9">
        <f t="shared" si="2"/>
        <v>0</v>
      </c>
      <c r="K51" s="9">
        <f t="shared" si="3"/>
        <v>0</v>
      </c>
    </row>
    <row r="52" spans="2:11" x14ac:dyDescent="0.3">
      <c r="B52" s="12" t="s">
        <v>44</v>
      </c>
      <c r="C52" s="11" t="s">
        <v>102</v>
      </c>
      <c r="D52" s="1">
        <v>0</v>
      </c>
      <c r="E52" s="1">
        <v>0</v>
      </c>
      <c r="F52" s="1">
        <v>0</v>
      </c>
      <c r="G52" s="1">
        <f>+D52+E52-F52</f>
        <v>0</v>
      </c>
      <c r="H52" s="1">
        <f>+E52+F52-G52</f>
        <v>0</v>
      </c>
      <c r="I52" s="1">
        <f>+F52+G52-H52</f>
        <v>0</v>
      </c>
      <c r="J52" s="1">
        <f t="shared" si="2"/>
        <v>0</v>
      </c>
      <c r="K52" s="1">
        <f t="shared" si="3"/>
        <v>0</v>
      </c>
    </row>
    <row r="53" spans="2:11" x14ac:dyDescent="0.3">
      <c r="B53" s="12" t="s">
        <v>45</v>
      </c>
      <c r="C53" s="11" t="s">
        <v>103</v>
      </c>
      <c r="D53" s="1">
        <v>0</v>
      </c>
      <c r="E53" s="1">
        <v>0</v>
      </c>
      <c r="F53" s="1">
        <v>0</v>
      </c>
      <c r="G53" s="1">
        <f t="shared" ref="G53:I55" si="32">+D53+E53-F53</f>
        <v>0</v>
      </c>
      <c r="H53" s="1">
        <f t="shared" si="32"/>
        <v>0</v>
      </c>
      <c r="I53" s="1">
        <f t="shared" si="32"/>
        <v>0</v>
      </c>
      <c r="J53" s="1">
        <f t="shared" si="2"/>
        <v>0</v>
      </c>
      <c r="K53" s="1">
        <f t="shared" si="3"/>
        <v>0</v>
      </c>
    </row>
    <row r="54" spans="2:11" x14ac:dyDescent="0.3">
      <c r="B54" s="12" t="s">
        <v>46</v>
      </c>
      <c r="C54" s="11" t="s">
        <v>104</v>
      </c>
      <c r="D54" s="1">
        <v>0</v>
      </c>
      <c r="E54" s="1">
        <v>0</v>
      </c>
      <c r="F54" s="1">
        <v>0</v>
      </c>
      <c r="G54" s="1">
        <f t="shared" si="32"/>
        <v>0</v>
      </c>
      <c r="H54" s="1">
        <f t="shared" si="32"/>
        <v>0</v>
      </c>
      <c r="I54" s="1">
        <f t="shared" si="32"/>
        <v>0</v>
      </c>
      <c r="J54" s="1">
        <f t="shared" si="2"/>
        <v>0</v>
      </c>
      <c r="K54" s="1">
        <f t="shared" si="3"/>
        <v>0</v>
      </c>
    </row>
    <row r="55" spans="2:11" x14ac:dyDescent="0.3">
      <c r="B55" s="12" t="s">
        <v>47</v>
      </c>
      <c r="C55" s="11" t="s">
        <v>105</v>
      </c>
      <c r="D55" s="1">
        <v>0</v>
      </c>
      <c r="E55" s="1">
        <v>0</v>
      </c>
      <c r="F55" s="1">
        <v>0</v>
      </c>
      <c r="G55" s="1">
        <f t="shared" si="32"/>
        <v>0</v>
      </c>
      <c r="H55" s="1">
        <f t="shared" si="32"/>
        <v>0</v>
      </c>
      <c r="I55" s="1">
        <f t="shared" si="32"/>
        <v>0</v>
      </c>
      <c r="J55" s="1">
        <f t="shared" si="2"/>
        <v>0</v>
      </c>
      <c r="K55" s="1">
        <f t="shared" si="3"/>
        <v>0</v>
      </c>
    </row>
    <row r="56" spans="2:11" x14ac:dyDescent="0.3">
      <c r="B56" s="6" t="s">
        <v>48</v>
      </c>
      <c r="C56" s="4" t="s">
        <v>89</v>
      </c>
      <c r="D56" s="5">
        <f t="shared" ref="D56:I56" si="33">+D57</f>
        <v>0</v>
      </c>
      <c r="E56" s="5">
        <f t="shared" si="33"/>
        <v>0</v>
      </c>
      <c r="F56" s="5">
        <f t="shared" si="33"/>
        <v>0</v>
      </c>
      <c r="G56" s="5">
        <f t="shared" si="33"/>
        <v>0</v>
      </c>
      <c r="H56" s="5">
        <f t="shared" si="33"/>
        <v>0</v>
      </c>
      <c r="I56" s="5">
        <f t="shared" si="33"/>
        <v>0</v>
      </c>
      <c r="J56" s="5">
        <f t="shared" si="2"/>
        <v>0</v>
      </c>
      <c r="K56" s="5">
        <f t="shared" si="3"/>
        <v>0</v>
      </c>
    </row>
    <row r="57" spans="2:11" x14ac:dyDescent="0.3">
      <c r="B57" s="7" t="s">
        <v>49</v>
      </c>
      <c r="C57" s="8" t="s">
        <v>90</v>
      </c>
      <c r="D57" s="9">
        <f t="shared" ref="D57:I57" si="34">+D58+D59+D60+D61</f>
        <v>0</v>
      </c>
      <c r="E57" s="9">
        <f t="shared" si="34"/>
        <v>0</v>
      </c>
      <c r="F57" s="9">
        <f t="shared" si="34"/>
        <v>0</v>
      </c>
      <c r="G57" s="9">
        <f t="shared" si="34"/>
        <v>0</v>
      </c>
      <c r="H57" s="9">
        <f t="shared" si="34"/>
        <v>0</v>
      </c>
      <c r="I57" s="9">
        <f t="shared" si="34"/>
        <v>0</v>
      </c>
      <c r="J57" s="9">
        <f t="shared" si="2"/>
        <v>0</v>
      </c>
      <c r="K57" s="9">
        <f t="shared" si="3"/>
        <v>0</v>
      </c>
    </row>
    <row r="58" spans="2:11" x14ac:dyDescent="0.3">
      <c r="B58" s="12" t="s">
        <v>50</v>
      </c>
      <c r="C58" s="11" t="s">
        <v>91</v>
      </c>
      <c r="D58" s="1">
        <v>0</v>
      </c>
      <c r="E58" s="1">
        <v>0</v>
      </c>
      <c r="F58" s="1">
        <v>0</v>
      </c>
      <c r="G58" s="1">
        <f>+D58+E58-F58</f>
        <v>0</v>
      </c>
      <c r="H58" s="1">
        <f>+E58+F58-G58</f>
        <v>0</v>
      </c>
      <c r="I58" s="1">
        <f>+F58+G58-H58</f>
        <v>0</v>
      </c>
      <c r="J58" s="1">
        <f t="shared" si="2"/>
        <v>0</v>
      </c>
      <c r="K58" s="1">
        <f t="shared" si="3"/>
        <v>0</v>
      </c>
    </row>
    <row r="59" spans="2:11" x14ac:dyDescent="0.3">
      <c r="B59" s="12" t="s">
        <v>51</v>
      </c>
      <c r="C59" s="11" t="s">
        <v>92</v>
      </c>
      <c r="D59" s="1">
        <v>0</v>
      </c>
      <c r="E59" s="1">
        <v>0</v>
      </c>
      <c r="F59" s="1">
        <v>0</v>
      </c>
      <c r="G59" s="1">
        <f t="shared" ref="G59:I61" si="35">+D59+E59-F59</f>
        <v>0</v>
      </c>
      <c r="H59" s="1">
        <f t="shared" si="35"/>
        <v>0</v>
      </c>
      <c r="I59" s="1">
        <f t="shared" si="35"/>
        <v>0</v>
      </c>
      <c r="J59" s="1">
        <f t="shared" si="2"/>
        <v>0</v>
      </c>
      <c r="K59" s="1">
        <f t="shared" si="3"/>
        <v>0</v>
      </c>
    </row>
    <row r="60" spans="2:11" x14ac:dyDescent="0.3">
      <c r="B60" s="12" t="s">
        <v>52</v>
      </c>
      <c r="C60" s="11" t="s">
        <v>93</v>
      </c>
      <c r="D60" s="1">
        <v>0</v>
      </c>
      <c r="E60" s="1">
        <v>0</v>
      </c>
      <c r="F60" s="1">
        <v>0</v>
      </c>
      <c r="G60" s="1">
        <f t="shared" si="35"/>
        <v>0</v>
      </c>
      <c r="H60" s="1">
        <f t="shared" si="35"/>
        <v>0</v>
      </c>
      <c r="I60" s="1">
        <f t="shared" si="35"/>
        <v>0</v>
      </c>
      <c r="J60" s="1">
        <f t="shared" si="2"/>
        <v>0</v>
      </c>
      <c r="K60" s="1">
        <f t="shared" si="3"/>
        <v>0</v>
      </c>
    </row>
    <row r="61" spans="2:11" x14ac:dyDescent="0.3">
      <c r="B61" s="12" t="s">
        <v>53</v>
      </c>
      <c r="C61" s="11" t="s">
        <v>94</v>
      </c>
      <c r="D61" s="1">
        <v>0</v>
      </c>
      <c r="E61" s="1">
        <v>0</v>
      </c>
      <c r="F61" s="1">
        <v>0</v>
      </c>
      <c r="G61" s="1">
        <f t="shared" si="35"/>
        <v>0</v>
      </c>
      <c r="H61" s="1">
        <f t="shared" si="35"/>
        <v>0</v>
      </c>
      <c r="I61" s="1">
        <f t="shared" si="35"/>
        <v>0</v>
      </c>
      <c r="J61" s="1">
        <f t="shared" si="2"/>
        <v>0</v>
      </c>
      <c r="K61" s="1">
        <f t="shared" si="3"/>
        <v>0</v>
      </c>
    </row>
    <row r="62" spans="2:11" x14ac:dyDescent="0.3">
      <c r="B62" s="67" t="s">
        <v>326</v>
      </c>
      <c r="C62" s="67"/>
      <c r="D62" s="22">
        <f>+D4</f>
        <v>83021300</v>
      </c>
      <c r="E62" s="22">
        <f>+E4</f>
        <v>19575184</v>
      </c>
      <c r="F62" s="22">
        <f>+F4</f>
        <v>0</v>
      </c>
      <c r="G62" s="22">
        <f>+G4</f>
        <v>102596484</v>
      </c>
      <c r="H62" s="22">
        <f>+H4</f>
        <v>0</v>
      </c>
      <c r="I62" s="22">
        <f t="shared" ref="I62" si="36">+I4</f>
        <v>102596484</v>
      </c>
      <c r="J62" s="22">
        <f t="shared" si="2"/>
        <v>102596484</v>
      </c>
      <c r="K62" s="22">
        <f t="shared" si="3"/>
        <v>0</v>
      </c>
    </row>
    <row r="64" spans="2:11" x14ac:dyDescent="0.3">
      <c r="C64" s="25" t="s">
        <v>331</v>
      </c>
    </row>
    <row r="65" spans="3:3" x14ac:dyDescent="0.3">
      <c r="C65" s="25" t="s">
        <v>332</v>
      </c>
    </row>
  </sheetData>
  <mergeCells count="8">
    <mergeCell ref="F2:F3"/>
    <mergeCell ref="G2:G3"/>
    <mergeCell ref="H2:K2"/>
    <mergeCell ref="B62:C62"/>
    <mergeCell ref="B2:B3"/>
    <mergeCell ref="C2:C3"/>
    <mergeCell ref="D2:D3"/>
    <mergeCell ref="E2:E3"/>
  </mergeCells>
  <phoneticPr fontId="2" type="noConversion"/>
  <pageMargins left="0.7" right="0.7" top="0.75" bottom="0.75" header="0.3" footer="0.3"/>
  <pageSetup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0593C-8D7F-477B-B8D9-F60DED77231B}">
  <sheetPr codeName="Hoja2"/>
  <dimension ref="B3:Q118"/>
  <sheetViews>
    <sheetView topLeftCell="F61" workbookViewId="0">
      <selection activeCell="C13" sqref="C13"/>
    </sheetView>
  </sheetViews>
  <sheetFormatPr baseColWidth="10" defaultRowHeight="14.4" x14ac:dyDescent="0.3"/>
  <cols>
    <col min="1" max="1" width="7.5546875" customWidth="1"/>
    <col min="2" max="2" width="26" customWidth="1"/>
    <col min="3" max="3" width="69.88671875" customWidth="1"/>
    <col min="4" max="4" width="17.33203125" customWidth="1"/>
    <col min="5" max="5" width="16.5546875" customWidth="1"/>
    <col min="6" max="8" width="16.33203125" customWidth="1"/>
    <col min="9" max="9" width="16.5546875" customWidth="1"/>
    <col min="10" max="14" width="17" customWidth="1"/>
    <col min="15" max="16" width="17.109375" customWidth="1"/>
    <col min="17" max="17" width="18" customWidth="1"/>
  </cols>
  <sheetData>
    <row r="3" spans="2:17" ht="18" customHeight="1" x14ac:dyDescent="0.3">
      <c r="B3" s="69" t="s">
        <v>315</v>
      </c>
      <c r="C3" s="69" t="s">
        <v>316</v>
      </c>
      <c r="D3" s="65" t="s">
        <v>317</v>
      </c>
      <c r="E3" s="65" t="s">
        <v>324</v>
      </c>
      <c r="F3" s="65" t="s">
        <v>320</v>
      </c>
      <c r="G3" s="65" t="s">
        <v>327</v>
      </c>
      <c r="H3" s="65" t="s">
        <v>328</v>
      </c>
      <c r="I3" s="65" t="s">
        <v>321</v>
      </c>
      <c r="J3" s="73" t="s">
        <v>334</v>
      </c>
      <c r="K3" s="73"/>
      <c r="L3" s="73"/>
      <c r="M3" s="71" t="s">
        <v>325</v>
      </c>
      <c r="N3" s="71"/>
      <c r="O3" s="71"/>
      <c r="P3" s="72" t="s">
        <v>341</v>
      </c>
      <c r="Q3" s="72"/>
    </row>
    <row r="4" spans="2:17" ht="37.5" customHeight="1" x14ac:dyDescent="0.3">
      <c r="B4" s="70"/>
      <c r="C4" s="70"/>
      <c r="D4" s="65"/>
      <c r="E4" s="65"/>
      <c r="F4" s="65"/>
      <c r="G4" s="65"/>
      <c r="H4" s="65"/>
      <c r="I4" s="65"/>
      <c r="J4" s="27" t="s">
        <v>333</v>
      </c>
      <c r="K4" s="27" t="s">
        <v>335</v>
      </c>
      <c r="L4" s="27" t="s">
        <v>336</v>
      </c>
      <c r="M4" s="28" t="s">
        <v>333</v>
      </c>
      <c r="N4" s="28" t="s">
        <v>337</v>
      </c>
      <c r="O4" s="28" t="s">
        <v>338</v>
      </c>
      <c r="P4" s="29" t="s">
        <v>339</v>
      </c>
      <c r="Q4" s="29" t="s">
        <v>340</v>
      </c>
    </row>
    <row r="5" spans="2:17" x14ac:dyDescent="0.3">
      <c r="B5" s="13">
        <v>2</v>
      </c>
      <c r="C5" s="19" t="s">
        <v>145</v>
      </c>
      <c r="D5" s="15">
        <f t="shared" ref="D5:N6" si="0">+D6</f>
        <v>83021300</v>
      </c>
      <c r="E5" s="15">
        <f t="shared" si="0"/>
        <v>0</v>
      </c>
      <c r="F5" s="15">
        <f t="shared" si="0"/>
        <v>0</v>
      </c>
      <c r="G5" s="15">
        <f t="shared" si="0"/>
        <v>0</v>
      </c>
      <c r="H5" s="15">
        <f t="shared" si="0"/>
        <v>0</v>
      </c>
      <c r="I5" s="15">
        <f t="shared" si="0"/>
        <v>83021300</v>
      </c>
      <c r="J5" s="15">
        <f t="shared" si="0"/>
        <v>0</v>
      </c>
      <c r="K5" s="15">
        <f t="shared" si="0"/>
        <v>0</v>
      </c>
      <c r="L5" s="15">
        <f>+J5+K5</f>
        <v>0</v>
      </c>
      <c r="M5" s="15">
        <f>+M6</f>
        <v>0</v>
      </c>
      <c r="N5" s="15">
        <f>+N6</f>
        <v>0</v>
      </c>
      <c r="O5" s="15">
        <f>+M5+N5</f>
        <v>0</v>
      </c>
      <c r="P5" s="15">
        <f>+I5-L5</f>
        <v>83021300</v>
      </c>
      <c r="Q5" s="15">
        <f>+L5-O5</f>
        <v>0</v>
      </c>
    </row>
    <row r="6" spans="2:17" x14ac:dyDescent="0.3">
      <c r="B6" s="3" t="s">
        <v>107</v>
      </c>
      <c r="C6" s="18" t="s">
        <v>146</v>
      </c>
      <c r="D6" s="5">
        <f t="shared" si="0"/>
        <v>83021300</v>
      </c>
      <c r="E6" s="5">
        <f t="shared" si="0"/>
        <v>0</v>
      </c>
      <c r="F6" s="5">
        <f t="shared" si="0"/>
        <v>0</v>
      </c>
      <c r="G6" s="5">
        <f t="shared" si="0"/>
        <v>0</v>
      </c>
      <c r="H6" s="5">
        <f t="shared" si="0"/>
        <v>0</v>
      </c>
      <c r="I6" s="5">
        <f t="shared" si="0"/>
        <v>83021300</v>
      </c>
      <c r="J6" s="5">
        <f t="shared" si="0"/>
        <v>0</v>
      </c>
      <c r="K6" s="5">
        <f t="shared" si="0"/>
        <v>0</v>
      </c>
      <c r="L6" s="5">
        <f t="shared" ref="L6:L69" si="1">+J6+K6</f>
        <v>0</v>
      </c>
      <c r="M6" s="5">
        <f t="shared" si="0"/>
        <v>0</v>
      </c>
      <c r="N6" s="5">
        <f t="shared" si="0"/>
        <v>0</v>
      </c>
      <c r="O6" s="5">
        <f t="shared" ref="O6:O69" si="2">+M6+N6</f>
        <v>0</v>
      </c>
      <c r="P6" s="5">
        <f t="shared" ref="P6:P69" si="3">+I6-L6</f>
        <v>83021300</v>
      </c>
      <c r="Q6" s="5">
        <f t="shared" ref="Q6:Q69" si="4">+L6-O6</f>
        <v>0</v>
      </c>
    </row>
    <row r="7" spans="2:17" x14ac:dyDescent="0.3">
      <c r="B7" s="3" t="s">
        <v>108</v>
      </c>
      <c r="C7" s="18" t="s">
        <v>147</v>
      </c>
      <c r="D7" s="5">
        <f t="shared" ref="D7:J7" si="5">+D8+D75</f>
        <v>83021300</v>
      </c>
      <c r="E7" s="5">
        <f t="shared" si="5"/>
        <v>0</v>
      </c>
      <c r="F7" s="5">
        <f t="shared" si="5"/>
        <v>0</v>
      </c>
      <c r="G7" s="5">
        <f t="shared" si="5"/>
        <v>0</v>
      </c>
      <c r="H7" s="5">
        <f t="shared" si="5"/>
        <v>0</v>
      </c>
      <c r="I7" s="5">
        <f t="shared" si="5"/>
        <v>83021300</v>
      </c>
      <c r="J7" s="5">
        <f t="shared" si="5"/>
        <v>0</v>
      </c>
      <c r="K7" s="5">
        <f t="shared" ref="K7" si="6">+K8+K75</f>
        <v>0</v>
      </c>
      <c r="L7" s="5">
        <f t="shared" si="1"/>
        <v>0</v>
      </c>
      <c r="M7" s="5">
        <f t="shared" ref="M7:N7" si="7">+M8+M75</f>
        <v>0</v>
      </c>
      <c r="N7" s="5">
        <f t="shared" si="7"/>
        <v>0</v>
      </c>
      <c r="O7" s="5">
        <f t="shared" si="2"/>
        <v>0</v>
      </c>
      <c r="P7" s="5">
        <f t="shared" si="3"/>
        <v>83021300</v>
      </c>
      <c r="Q7" s="5">
        <f t="shared" si="4"/>
        <v>0</v>
      </c>
    </row>
    <row r="8" spans="2:17" x14ac:dyDescent="0.3">
      <c r="B8" s="10" t="s">
        <v>109</v>
      </c>
      <c r="C8" s="17" t="s">
        <v>148</v>
      </c>
      <c r="D8" s="9">
        <f t="shared" ref="D8:N8" si="8">+D9</f>
        <v>5000000</v>
      </c>
      <c r="E8" s="9">
        <f t="shared" si="8"/>
        <v>0</v>
      </c>
      <c r="F8" s="9">
        <f t="shared" si="8"/>
        <v>0</v>
      </c>
      <c r="G8" s="9">
        <f t="shared" si="8"/>
        <v>0</v>
      </c>
      <c r="H8" s="9">
        <f t="shared" si="8"/>
        <v>0</v>
      </c>
      <c r="I8" s="9">
        <f t="shared" si="8"/>
        <v>5000000</v>
      </c>
      <c r="J8" s="9">
        <f t="shared" si="8"/>
        <v>0</v>
      </c>
      <c r="K8" s="9">
        <f t="shared" si="8"/>
        <v>0</v>
      </c>
      <c r="L8" s="9">
        <f t="shared" si="1"/>
        <v>0</v>
      </c>
      <c r="M8" s="9">
        <f t="shared" si="8"/>
        <v>0</v>
      </c>
      <c r="N8" s="9">
        <f t="shared" si="8"/>
        <v>0</v>
      </c>
      <c r="O8" s="9">
        <f t="shared" si="2"/>
        <v>0</v>
      </c>
      <c r="P8" s="9">
        <f t="shared" si="3"/>
        <v>5000000</v>
      </c>
      <c r="Q8" s="9">
        <f t="shared" si="4"/>
        <v>0</v>
      </c>
    </row>
    <row r="9" spans="2:17" x14ac:dyDescent="0.3">
      <c r="B9" s="3" t="s">
        <v>110</v>
      </c>
      <c r="C9" s="18" t="s">
        <v>149</v>
      </c>
      <c r="D9" s="5">
        <f t="shared" ref="D9:J9" si="9">+D10+D44+D65</f>
        <v>5000000</v>
      </c>
      <c r="E9" s="5">
        <f t="shared" si="9"/>
        <v>0</v>
      </c>
      <c r="F9" s="5">
        <f t="shared" si="9"/>
        <v>0</v>
      </c>
      <c r="G9" s="5">
        <f t="shared" si="9"/>
        <v>0</v>
      </c>
      <c r="H9" s="5">
        <f t="shared" si="9"/>
        <v>0</v>
      </c>
      <c r="I9" s="5">
        <f t="shared" si="9"/>
        <v>5000000</v>
      </c>
      <c r="J9" s="5">
        <f t="shared" si="9"/>
        <v>0</v>
      </c>
      <c r="K9" s="5">
        <f t="shared" ref="K9" si="10">+K10+K44+K65</f>
        <v>0</v>
      </c>
      <c r="L9" s="5">
        <f t="shared" si="1"/>
        <v>0</v>
      </c>
      <c r="M9" s="5">
        <f t="shared" ref="M9:N9" si="11">+M10+M44+M65</f>
        <v>0</v>
      </c>
      <c r="N9" s="5">
        <f t="shared" si="11"/>
        <v>0</v>
      </c>
      <c r="O9" s="5">
        <f t="shared" si="2"/>
        <v>0</v>
      </c>
      <c r="P9" s="5">
        <f t="shared" si="3"/>
        <v>5000000</v>
      </c>
      <c r="Q9" s="5">
        <f t="shared" si="4"/>
        <v>0</v>
      </c>
    </row>
    <row r="10" spans="2:17" x14ac:dyDescent="0.3">
      <c r="B10" s="3" t="s">
        <v>111</v>
      </c>
      <c r="C10" s="18" t="s">
        <v>150</v>
      </c>
      <c r="D10" s="5">
        <f t="shared" ref="D10:J10" si="12">+D11+D15+D20+D26+D33+D42</f>
        <v>5000000</v>
      </c>
      <c r="E10" s="5">
        <f t="shared" si="12"/>
        <v>0</v>
      </c>
      <c r="F10" s="5">
        <f t="shared" si="12"/>
        <v>0</v>
      </c>
      <c r="G10" s="5">
        <f t="shared" si="12"/>
        <v>0</v>
      </c>
      <c r="H10" s="5">
        <f t="shared" si="12"/>
        <v>0</v>
      </c>
      <c r="I10" s="5">
        <f t="shared" si="12"/>
        <v>5000000</v>
      </c>
      <c r="J10" s="5">
        <f t="shared" si="12"/>
        <v>0</v>
      </c>
      <c r="K10" s="5">
        <f t="shared" ref="K10" si="13">+K11+K15+K20+K26+K33+K42</f>
        <v>0</v>
      </c>
      <c r="L10" s="5">
        <f t="shared" si="1"/>
        <v>0</v>
      </c>
      <c r="M10" s="5">
        <f t="shared" ref="M10:N10" si="14">+M11+M15+M20+M26+M33+M42</f>
        <v>0</v>
      </c>
      <c r="N10" s="5">
        <f t="shared" si="14"/>
        <v>0</v>
      </c>
      <c r="O10" s="5">
        <f t="shared" si="2"/>
        <v>0</v>
      </c>
      <c r="P10" s="5">
        <f t="shared" si="3"/>
        <v>5000000</v>
      </c>
      <c r="Q10" s="5">
        <f t="shared" si="4"/>
        <v>0</v>
      </c>
    </row>
    <row r="11" spans="2:17" x14ac:dyDescent="0.3">
      <c r="B11" s="3" t="s">
        <v>112</v>
      </c>
      <c r="C11" s="18" t="s">
        <v>151</v>
      </c>
      <c r="D11" s="5">
        <f t="shared" ref="D11:N11" si="15">+D12</f>
        <v>0</v>
      </c>
      <c r="E11" s="5">
        <f t="shared" si="15"/>
        <v>0</v>
      </c>
      <c r="F11" s="5">
        <f t="shared" si="15"/>
        <v>0</v>
      </c>
      <c r="G11" s="5">
        <f t="shared" si="15"/>
        <v>0</v>
      </c>
      <c r="H11" s="5">
        <f t="shared" si="15"/>
        <v>0</v>
      </c>
      <c r="I11" s="5">
        <f t="shared" si="15"/>
        <v>0</v>
      </c>
      <c r="J11" s="5">
        <f t="shared" si="15"/>
        <v>0</v>
      </c>
      <c r="K11" s="5">
        <f t="shared" si="15"/>
        <v>0</v>
      </c>
      <c r="L11" s="5">
        <f t="shared" si="1"/>
        <v>0</v>
      </c>
      <c r="M11" s="5">
        <f t="shared" si="15"/>
        <v>0</v>
      </c>
      <c r="N11" s="5">
        <f t="shared" si="15"/>
        <v>0</v>
      </c>
      <c r="O11" s="5">
        <f t="shared" si="2"/>
        <v>0</v>
      </c>
      <c r="P11" s="5">
        <f t="shared" si="3"/>
        <v>0</v>
      </c>
      <c r="Q11" s="5">
        <f t="shared" si="4"/>
        <v>0</v>
      </c>
    </row>
    <row r="12" spans="2:17" x14ac:dyDescent="0.3">
      <c r="B12" s="3" t="s">
        <v>113</v>
      </c>
      <c r="C12" s="18" t="s">
        <v>152</v>
      </c>
      <c r="D12" s="5">
        <f t="shared" ref="D12:I12" si="16">+D13+D14</f>
        <v>0</v>
      </c>
      <c r="E12" s="5">
        <f t="shared" si="16"/>
        <v>0</v>
      </c>
      <c r="F12" s="5">
        <f t="shared" si="16"/>
        <v>0</v>
      </c>
      <c r="G12" s="5">
        <f t="shared" si="16"/>
        <v>0</v>
      </c>
      <c r="H12" s="5">
        <f t="shared" si="16"/>
        <v>0</v>
      </c>
      <c r="I12" s="5">
        <f t="shared" si="16"/>
        <v>0</v>
      </c>
      <c r="J12" s="5">
        <f>+J13+J14</f>
        <v>0</v>
      </c>
      <c r="K12" s="5">
        <f>+K13+K14</f>
        <v>0</v>
      </c>
      <c r="L12" s="5">
        <f t="shared" si="1"/>
        <v>0</v>
      </c>
      <c r="M12" s="5">
        <f>+M13+M14</f>
        <v>0</v>
      </c>
      <c r="N12" s="5">
        <f>+N13+N14</f>
        <v>0</v>
      </c>
      <c r="O12" s="5">
        <f t="shared" si="2"/>
        <v>0</v>
      </c>
      <c r="P12" s="5">
        <f t="shared" si="3"/>
        <v>0</v>
      </c>
      <c r="Q12" s="5">
        <f t="shared" si="4"/>
        <v>0</v>
      </c>
    </row>
    <row r="13" spans="2:17" x14ac:dyDescent="0.3">
      <c r="B13" s="2" t="s">
        <v>114</v>
      </c>
      <c r="C13" s="16" t="s">
        <v>153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f>+D13+E13-F13+G13-H13</f>
        <v>0</v>
      </c>
      <c r="J13" s="1">
        <v>0</v>
      </c>
      <c r="K13" s="1">
        <v>0</v>
      </c>
      <c r="L13" s="26">
        <f t="shared" si="1"/>
        <v>0</v>
      </c>
      <c r="M13" s="1">
        <v>0</v>
      </c>
      <c r="N13" s="1">
        <v>0</v>
      </c>
      <c r="O13" s="26">
        <f t="shared" si="2"/>
        <v>0</v>
      </c>
      <c r="P13" s="26">
        <f t="shared" si="3"/>
        <v>0</v>
      </c>
      <c r="Q13" s="26">
        <f t="shared" si="4"/>
        <v>0</v>
      </c>
    </row>
    <row r="14" spans="2:17" x14ac:dyDescent="0.3">
      <c r="B14" s="2" t="s">
        <v>115</v>
      </c>
      <c r="C14" s="16" t="s">
        <v>154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f>+D14+E14-F14+G14-H14</f>
        <v>0</v>
      </c>
      <c r="J14" s="1">
        <v>0</v>
      </c>
      <c r="K14" s="1">
        <v>0</v>
      </c>
      <c r="L14" s="26">
        <f t="shared" si="1"/>
        <v>0</v>
      </c>
      <c r="M14" s="1">
        <v>0</v>
      </c>
      <c r="N14" s="1">
        <v>0</v>
      </c>
      <c r="O14" s="26">
        <f t="shared" si="2"/>
        <v>0</v>
      </c>
      <c r="P14" s="26">
        <f t="shared" si="3"/>
        <v>0</v>
      </c>
      <c r="Q14" s="26">
        <f t="shared" si="4"/>
        <v>0</v>
      </c>
    </row>
    <row r="15" spans="2:17" x14ac:dyDescent="0.3">
      <c r="B15" s="3" t="s">
        <v>116</v>
      </c>
      <c r="C15" s="18" t="s">
        <v>155</v>
      </c>
      <c r="D15" s="5">
        <f t="shared" ref="D15:I15" si="17">+D16+D18</f>
        <v>5000000</v>
      </c>
      <c r="E15" s="5">
        <f t="shared" si="17"/>
        <v>0</v>
      </c>
      <c r="F15" s="5">
        <f t="shared" si="17"/>
        <v>0</v>
      </c>
      <c r="G15" s="5">
        <f t="shared" si="17"/>
        <v>0</v>
      </c>
      <c r="H15" s="5">
        <f t="shared" si="17"/>
        <v>0</v>
      </c>
      <c r="I15" s="5">
        <f t="shared" si="17"/>
        <v>5000000</v>
      </c>
      <c r="J15" s="5">
        <f>+J16+J18</f>
        <v>0</v>
      </c>
      <c r="K15" s="5">
        <f>+K16+K18</f>
        <v>0</v>
      </c>
      <c r="L15" s="5">
        <f t="shared" si="1"/>
        <v>0</v>
      </c>
      <c r="M15" s="5">
        <f>+M16+M18</f>
        <v>0</v>
      </c>
      <c r="N15" s="5">
        <f>+N16+N18</f>
        <v>0</v>
      </c>
      <c r="O15" s="5">
        <f t="shared" si="2"/>
        <v>0</v>
      </c>
      <c r="P15" s="5">
        <f t="shared" si="3"/>
        <v>5000000</v>
      </c>
      <c r="Q15" s="5">
        <f t="shared" si="4"/>
        <v>0</v>
      </c>
    </row>
    <row r="16" spans="2:17" x14ac:dyDescent="0.3">
      <c r="B16" s="3" t="s">
        <v>117</v>
      </c>
      <c r="C16" s="18" t="s">
        <v>156</v>
      </c>
      <c r="D16" s="5">
        <f t="shared" ref="D16:N16" si="18">+D17</f>
        <v>0</v>
      </c>
      <c r="E16" s="5">
        <f t="shared" si="18"/>
        <v>0</v>
      </c>
      <c r="F16" s="5">
        <f t="shared" si="18"/>
        <v>0</v>
      </c>
      <c r="G16" s="5">
        <f t="shared" si="18"/>
        <v>0</v>
      </c>
      <c r="H16" s="5">
        <f t="shared" si="18"/>
        <v>0</v>
      </c>
      <c r="I16" s="5">
        <f t="shared" si="18"/>
        <v>0</v>
      </c>
      <c r="J16" s="5">
        <f t="shared" si="18"/>
        <v>0</v>
      </c>
      <c r="K16" s="5">
        <f t="shared" si="18"/>
        <v>0</v>
      </c>
      <c r="L16" s="5">
        <f t="shared" si="1"/>
        <v>0</v>
      </c>
      <c r="M16" s="5">
        <f t="shared" si="18"/>
        <v>0</v>
      </c>
      <c r="N16" s="5">
        <f t="shared" si="18"/>
        <v>0</v>
      </c>
      <c r="O16" s="5">
        <f t="shared" si="2"/>
        <v>0</v>
      </c>
      <c r="P16" s="5">
        <f t="shared" si="3"/>
        <v>0</v>
      </c>
      <c r="Q16" s="5">
        <f t="shared" si="4"/>
        <v>0</v>
      </c>
    </row>
    <row r="17" spans="2:17" x14ac:dyDescent="0.3">
      <c r="B17" s="2" t="s">
        <v>118</v>
      </c>
      <c r="C17" s="16" t="s">
        <v>157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f>+D17+E17-F17+G17-H17</f>
        <v>0</v>
      </c>
      <c r="J17" s="1">
        <v>0</v>
      </c>
      <c r="K17" s="1">
        <v>0</v>
      </c>
      <c r="L17" s="26">
        <f t="shared" si="1"/>
        <v>0</v>
      </c>
      <c r="M17" s="1">
        <v>0</v>
      </c>
      <c r="N17" s="1">
        <v>0</v>
      </c>
      <c r="O17" s="26">
        <f t="shared" si="2"/>
        <v>0</v>
      </c>
      <c r="P17" s="26">
        <f t="shared" si="3"/>
        <v>0</v>
      </c>
      <c r="Q17" s="26">
        <f t="shared" si="4"/>
        <v>0</v>
      </c>
    </row>
    <row r="18" spans="2:17" x14ac:dyDescent="0.3">
      <c r="B18" s="3" t="s">
        <v>119</v>
      </c>
      <c r="C18" s="18" t="s">
        <v>158</v>
      </c>
      <c r="D18" s="5">
        <f t="shared" ref="D18:N18" si="19">+D19</f>
        <v>5000000</v>
      </c>
      <c r="E18" s="5">
        <f t="shared" si="19"/>
        <v>0</v>
      </c>
      <c r="F18" s="5">
        <f t="shared" si="19"/>
        <v>0</v>
      </c>
      <c r="G18" s="5">
        <f t="shared" si="19"/>
        <v>0</v>
      </c>
      <c r="H18" s="5">
        <f t="shared" si="19"/>
        <v>0</v>
      </c>
      <c r="I18" s="5">
        <f t="shared" si="19"/>
        <v>5000000</v>
      </c>
      <c r="J18" s="5">
        <f t="shared" si="19"/>
        <v>0</v>
      </c>
      <c r="K18" s="5">
        <f t="shared" si="19"/>
        <v>0</v>
      </c>
      <c r="L18" s="5">
        <f t="shared" si="1"/>
        <v>0</v>
      </c>
      <c r="M18" s="5">
        <f t="shared" si="19"/>
        <v>0</v>
      </c>
      <c r="N18" s="5">
        <f t="shared" si="19"/>
        <v>0</v>
      </c>
      <c r="O18" s="5">
        <f t="shared" si="2"/>
        <v>0</v>
      </c>
      <c r="P18" s="5">
        <f t="shared" si="3"/>
        <v>5000000</v>
      </c>
      <c r="Q18" s="5">
        <f t="shared" si="4"/>
        <v>0</v>
      </c>
    </row>
    <row r="19" spans="2:17" x14ac:dyDescent="0.3">
      <c r="B19" s="2" t="s">
        <v>120</v>
      </c>
      <c r="C19" s="16" t="s">
        <v>159</v>
      </c>
      <c r="D19" s="1">
        <v>5000000</v>
      </c>
      <c r="E19" s="1">
        <v>0</v>
      </c>
      <c r="F19" s="1">
        <v>0</v>
      </c>
      <c r="G19" s="1">
        <v>0</v>
      </c>
      <c r="H19" s="1">
        <v>0</v>
      </c>
      <c r="I19" s="1">
        <f>+D19+E19-F19+G19-H19</f>
        <v>5000000</v>
      </c>
      <c r="J19" s="1">
        <v>0</v>
      </c>
      <c r="K19" s="1">
        <v>0</v>
      </c>
      <c r="L19" s="26">
        <f t="shared" si="1"/>
        <v>0</v>
      </c>
      <c r="M19" s="1">
        <v>0</v>
      </c>
      <c r="N19" s="1">
        <v>0</v>
      </c>
      <c r="O19" s="26">
        <f t="shared" si="2"/>
        <v>0</v>
      </c>
      <c r="P19" s="26">
        <f t="shared" si="3"/>
        <v>5000000</v>
      </c>
      <c r="Q19" s="26">
        <f t="shared" si="4"/>
        <v>0</v>
      </c>
    </row>
    <row r="20" spans="2:17" x14ac:dyDescent="0.3">
      <c r="B20" s="3" t="s">
        <v>121</v>
      </c>
      <c r="C20" s="18" t="s">
        <v>160</v>
      </c>
      <c r="D20" s="5">
        <f t="shared" ref="D20:N20" si="20">+D21</f>
        <v>0</v>
      </c>
      <c r="E20" s="5">
        <f t="shared" si="20"/>
        <v>0</v>
      </c>
      <c r="F20" s="5">
        <f t="shared" si="20"/>
        <v>0</v>
      </c>
      <c r="G20" s="5">
        <f t="shared" si="20"/>
        <v>0</v>
      </c>
      <c r="H20" s="5">
        <f t="shared" si="20"/>
        <v>0</v>
      </c>
      <c r="I20" s="5">
        <f t="shared" si="20"/>
        <v>0</v>
      </c>
      <c r="J20" s="5">
        <f t="shared" si="20"/>
        <v>0</v>
      </c>
      <c r="K20" s="5">
        <f t="shared" si="20"/>
        <v>0</v>
      </c>
      <c r="L20" s="5">
        <f t="shared" si="1"/>
        <v>0</v>
      </c>
      <c r="M20" s="5">
        <f t="shared" si="20"/>
        <v>0</v>
      </c>
      <c r="N20" s="5">
        <f t="shared" si="20"/>
        <v>0</v>
      </c>
      <c r="O20" s="5">
        <f t="shared" si="2"/>
        <v>0</v>
      </c>
      <c r="P20" s="5">
        <f t="shared" si="3"/>
        <v>0</v>
      </c>
      <c r="Q20" s="5">
        <f t="shared" si="4"/>
        <v>0</v>
      </c>
    </row>
    <row r="21" spans="2:17" x14ac:dyDescent="0.3">
      <c r="B21" s="3" t="s">
        <v>122</v>
      </c>
      <c r="C21" s="18" t="s">
        <v>161</v>
      </c>
      <c r="D21" s="5">
        <f t="shared" ref="D21:J21" si="21">+D22+D23+D24+D25</f>
        <v>0</v>
      </c>
      <c r="E21" s="5">
        <f t="shared" si="21"/>
        <v>0</v>
      </c>
      <c r="F21" s="5">
        <f t="shared" si="21"/>
        <v>0</v>
      </c>
      <c r="G21" s="5">
        <f t="shared" si="21"/>
        <v>0</v>
      </c>
      <c r="H21" s="5">
        <f t="shared" si="21"/>
        <v>0</v>
      </c>
      <c r="I21" s="5">
        <f t="shared" si="21"/>
        <v>0</v>
      </c>
      <c r="J21" s="5">
        <f t="shared" si="21"/>
        <v>0</v>
      </c>
      <c r="K21" s="5">
        <f t="shared" ref="K21" si="22">+K22+K23+K24+K25</f>
        <v>0</v>
      </c>
      <c r="L21" s="5">
        <f t="shared" si="1"/>
        <v>0</v>
      </c>
      <c r="M21" s="5">
        <f t="shared" ref="M21:N21" si="23">+M22+M23+M24+M25</f>
        <v>0</v>
      </c>
      <c r="N21" s="5">
        <f t="shared" si="23"/>
        <v>0</v>
      </c>
      <c r="O21" s="5">
        <f t="shared" si="2"/>
        <v>0</v>
      </c>
      <c r="P21" s="5">
        <f t="shared" si="3"/>
        <v>0</v>
      </c>
      <c r="Q21" s="5">
        <f t="shared" si="4"/>
        <v>0</v>
      </c>
    </row>
    <row r="22" spans="2:17" x14ac:dyDescent="0.3">
      <c r="B22" s="2" t="s">
        <v>123</v>
      </c>
      <c r="C22" s="16" t="s">
        <v>162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f>+D22+E22-F22+G22-H22</f>
        <v>0</v>
      </c>
      <c r="J22" s="1">
        <v>0</v>
      </c>
      <c r="K22" s="1">
        <v>0</v>
      </c>
      <c r="L22" s="26">
        <f t="shared" si="1"/>
        <v>0</v>
      </c>
      <c r="M22" s="1">
        <v>0</v>
      </c>
      <c r="N22" s="1">
        <v>0</v>
      </c>
      <c r="O22" s="26">
        <f t="shared" si="2"/>
        <v>0</v>
      </c>
      <c r="P22" s="26">
        <f t="shared" si="3"/>
        <v>0</v>
      </c>
      <c r="Q22" s="26">
        <f t="shared" si="4"/>
        <v>0</v>
      </c>
    </row>
    <row r="23" spans="2:17" x14ac:dyDescent="0.3">
      <c r="B23" s="2" t="s">
        <v>124</v>
      </c>
      <c r="C23" s="16" t="s">
        <v>163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f t="shared" ref="I23:I43" si="24">+D23+E23-F23+G23-H23</f>
        <v>0</v>
      </c>
      <c r="J23" s="1">
        <v>0</v>
      </c>
      <c r="K23" s="1">
        <v>0</v>
      </c>
      <c r="L23" s="26">
        <f t="shared" si="1"/>
        <v>0</v>
      </c>
      <c r="M23" s="1">
        <v>0</v>
      </c>
      <c r="N23" s="1">
        <v>0</v>
      </c>
      <c r="O23" s="26">
        <f t="shared" si="2"/>
        <v>0</v>
      </c>
      <c r="P23" s="26">
        <f t="shared" si="3"/>
        <v>0</v>
      </c>
      <c r="Q23" s="26">
        <f t="shared" si="4"/>
        <v>0</v>
      </c>
    </row>
    <row r="24" spans="2:17" x14ac:dyDescent="0.3">
      <c r="B24" s="2" t="s">
        <v>125</v>
      </c>
      <c r="C24" s="16" t="s">
        <v>164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f t="shared" si="24"/>
        <v>0</v>
      </c>
      <c r="J24" s="1">
        <v>0</v>
      </c>
      <c r="K24" s="1">
        <v>0</v>
      </c>
      <c r="L24" s="26">
        <f t="shared" si="1"/>
        <v>0</v>
      </c>
      <c r="M24" s="1">
        <v>0</v>
      </c>
      <c r="N24" s="1">
        <v>0</v>
      </c>
      <c r="O24" s="26">
        <f t="shared" si="2"/>
        <v>0</v>
      </c>
      <c r="P24" s="26">
        <f t="shared" si="3"/>
        <v>0</v>
      </c>
      <c r="Q24" s="26">
        <f t="shared" si="4"/>
        <v>0</v>
      </c>
    </row>
    <row r="25" spans="2:17" x14ac:dyDescent="0.3">
      <c r="B25" s="2" t="s">
        <v>126</v>
      </c>
      <c r="C25" s="16" t="s">
        <v>165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f t="shared" si="24"/>
        <v>0</v>
      </c>
      <c r="J25" s="1">
        <v>0</v>
      </c>
      <c r="K25" s="1">
        <v>0</v>
      </c>
      <c r="L25" s="26">
        <f t="shared" si="1"/>
        <v>0</v>
      </c>
      <c r="M25" s="1">
        <v>0</v>
      </c>
      <c r="N25" s="1">
        <v>0</v>
      </c>
      <c r="O25" s="26">
        <f t="shared" si="2"/>
        <v>0</v>
      </c>
      <c r="P25" s="26">
        <f t="shared" si="3"/>
        <v>0</v>
      </c>
      <c r="Q25" s="26">
        <f t="shared" si="4"/>
        <v>0</v>
      </c>
    </row>
    <row r="26" spans="2:17" x14ac:dyDescent="0.3">
      <c r="B26" s="3" t="s">
        <v>127</v>
      </c>
      <c r="C26" s="18" t="s">
        <v>166</v>
      </c>
      <c r="D26" s="5">
        <f t="shared" ref="D26:J26" si="25">+D27+D28+D29+D30+D31+D32</f>
        <v>0</v>
      </c>
      <c r="E26" s="5">
        <f t="shared" si="25"/>
        <v>0</v>
      </c>
      <c r="F26" s="5">
        <f t="shared" si="25"/>
        <v>0</v>
      </c>
      <c r="G26" s="5">
        <f t="shared" si="25"/>
        <v>0</v>
      </c>
      <c r="H26" s="5">
        <f t="shared" si="25"/>
        <v>0</v>
      </c>
      <c r="I26" s="5">
        <f t="shared" si="25"/>
        <v>0</v>
      </c>
      <c r="J26" s="5">
        <f t="shared" si="25"/>
        <v>0</v>
      </c>
      <c r="K26" s="5">
        <f t="shared" ref="K26" si="26">+K27+K28+K29+K30+K31+K32</f>
        <v>0</v>
      </c>
      <c r="L26" s="5">
        <f t="shared" si="1"/>
        <v>0</v>
      </c>
      <c r="M26" s="5">
        <f t="shared" ref="M26:N26" si="27">+M27+M28+M29+M30+M31+M32</f>
        <v>0</v>
      </c>
      <c r="N26" s="5">
        <f t="shared" si="27"/>
        <v>0</v>
      </c>
      <c r="O26" s="5">
        <f t="shared" si="2"/>
        <v>0</v>
      </c>
      <c r="P26" s="5">
        <f t="shared" si="3"/>
        <v>0</v>
      </c>
      <c r="Q26" s="5">
        <f t="shared" si="4"/>
        <v>0</v>
      </c>
    </row>
    <row r="27" spans="2:17" x14ac:dyDescent="0.3">
      <c r="B27" s="2" t="s">
        <v>128</v>
      </c>
      <c r="C27" s="16" t="s">
        <v>167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f t="shared" si="24"/>
        <v>0</v>
      </c>
      <c r="J27" s="1">
        <v>0</v>
      </c>
      <c r="K27" s="1">
        <v>0</v>
      </c>
      <c r="L27" s="26">
        <f t="shared" si="1"/>
        <v>0</v>
      </c>
      <c r="M27" s="1">
        <v>0</v>
      </c>
      <c r="N27" s="1">
        <v>0</v>
      </c>
      <c r="O27" s="26">
        <f t="shared" si="2"/>
        <v>0</v>
      </c>
      <c r="P27" s="26">
        <f t="shared" si="3"/>
        <v>0</v>
      </c>
      <c r="Q27" s="26">
        <f t="shared" si="4"/>
        <v>0</v>
      </c>
    </row>
    <row r="28" spans="2:17" x14ac:dyDescent="0.3">
      <c r="B28" s="2" t="s">
        <v>129</v>
      </c>
      <c r="C28" s="16" t="s">
        <v>168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f t="shared" si="24"/>
        <v>0</v>
      </c>
      <c r="J28" s="1">
        <v>0</v>
      </c>
      <c r="K28" s="1">
        <v>0</v>
      </c>
      <c r="L28" s="26">
        <f t="shared" si="1"/>
        <v>0</v>
      </c>
      <c r="M28" s="1">
        <v>0</v>
      </c>
      <c r="N28" s="1">
        <v>0</v>
      </c>
      <c r="O28" s="26">
        <f t="shared" si="2"/>
        <v>0</v>
      </c>
      <c r="P28" s="26">
        <f t="shared" si="3"/>
        <v>0</v>
      </c>
      <c r="Q28" s="26">
        <f t="shared" si="4"/>
        <v>0</v>
      </c>
    </row>
    <row r="29" spans="2:17" x14ac:dyDescent="0.3">
      <c r="B29" s="2" t="s">
        <v>130</v>
      </c>
      <c r="C29" s="16" t="s">
        <v>169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f t="shared" si="24"/>
        <v>0</v>
      </c>
      <c r="J29" s="1">
        <v>0</v>
      </c>
      <c r="K29" s="1">
        <v>0</v>
      </c>
      <c r="L29" s="26">
        <f t="shared" si="1"/>
        <v>0</v>
      </c>
      <c r="M29" s="1">
        <v>0</v>
      </c>
      <c r="N29" s="1">
        <v>0</v>
      </c>
      <c r="O29" s="26">
        <f t="shared" si="2"/>
        <v>0</v>
      </c>
      <c r="P29" s="26">
        <f t="shared" si="3"/>
        <v>0</v>
      </c>
      <c r="Q29" s="26">
        <f t="shared" si="4"/>
        <v>0</v>
      </c>
    </row>
    <row r="30" spans="2:17" x14ac:dyDescent="0.3">
      <c r="B30" s="2" t="s">
        <v>131</v>
      </c>
      <c r="C30" s="16" t="s">
        <v>170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f t="shared" si="24"/>
        <v>0</v>
      </c>
      <c r="J30" s="1">
        <v>0</v>
      </c>
      <c r="K30" s="1">
        <v>0</v>
      </c>
      <c r="L30" s="26">
        <f t="shared" si="1"/>
        <v>0</v>
      </c>
      <c r="M30" s="1">
        <v>0</v>
      </c>
      <c r="N30" s="1">
        <v>0</v>
      </c>
      <c r="O30" s="26">
        <f t="shared" si="2"/>
        <v>0</v>
      </c>
      <c r="P30" s="26">
        <f t="shared" si="3"/>
        <v>0</v>
      </c>
      <c r="Q30" s="26">
        <f t="shared" si="4"/>
        <v>0</v>
      </c>
    </row>
    <row r="31" spans="2:17" x14ac:dyDescent="0.3">
      <c r="B31" s="2" t="s">
        <v>132</v>
      </c>
      <c r="C31" s="16" t="s">
        <v>171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f t="shared" si="24"/>
        <v>0</v>
      </c>
      <c r="J31" s="1">
        <v>0</v>
      </c>
      <c r="K31" s="1">
        <v>0</v>
      </c>
      <c r="L31" s="26">
        <f t="shared" si="1"/>
        <v>0</v>
      </c>
      <c r="M31" s="1">
        <v>0</v>
      </c>
      <c r="N31" s="1">
        <v>0</v>
      </c>
      <c r="O31" s="26">
        <f t="shared" si="2"/>
        <v>0</v>
      </c>
      <c r="P31" s="26">
        <f t="shared" si="3"/>
        <v>0</v>
      </c>
      <c r="Q31" s="26">
        <f t="shared" si="4"/>
        <v>0</v>
      </c>
    </row>
    <row r="32" spans="2:17" x14ac:dyDescent="0.3">
      <c r="B32" s="2" t="s">
        <v>133</v>
      </c>
      <c r="C32" s="16" t="s">
        <v>172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f t="shared" si="24"/>
        <v>0</v>
      </c>
      <c r="J32" s="1">
        <v>0</v>
      </c>
      <c r="K32" s="1">
        <v>0</v>
      </c>
      <c r="L32" s="26">
        <f t="shared" si="1"/>
        <v>0</v>
      </c>
      <c r="M32" s="1">
        <v>0</v>
      </c>
      <c r="N32" s="1">
        <v>0</v>
      </c>
      <c r="O32" s="26">
        <f t="shared" si="2"/>
        <v>0</v>
      </c>
      <c r="P32" s="26">
        <f t="shared" si="3"/>
        <v>0</v>
      </c>
      <c r="Q32" s="26">
        <f t="shared" si="4"/>
        <v>0</v>
      </c>
    </row>
    <row r="33" spans="2:17" x14ac:dyDescent="0.3">
      <c r="B33" s="3" t="s">
        <v>134</v>
      </c>
      <c r="C33" s="18" t="s">
        <v>173</v>
      </c>
      <c r="D33" s="5">
        <f t="shared" ref="D33:J33" si="28">+D34+D35</f>
        <v>0</v>
      </c>
      <c r="E33" s="5">
        <f t="shared" si="28"/>
        <v>0</v>
      </c>
      <c r="F33" s="5">
        <f t="shared" si="28"/>
        <v>0</v>
      </c>
      <c r="G33" s="5">
        <f t="shared" si="28"/>
        <v>0</v>
      </c>
      <c r="H33" s="5">
        <f t="shared" si="28"/>
        <v>0</v>
      </c>
      <c r="I33" s="5">
        <f t="shared" si="28"/>
        <v>0</v>
      </c>
      <c r="J33" s="5">
        <f t="shared" si="28"/>
        <v>0</v>
      </c>
      <c r="K33" s="5">
        <f t="shared" ref="K33" si="29">+K34+K35</f>
        <v>0</v>
      </c>
      <c r="L33" s="5">
        <f t="shared" si="1"/>
        <v>0</v>
      </c>
      <c r="M33" s="5">
        <f t="shared" ref="M33:N33" si="30">+M34+M35</f>
        <v>0</v>
      </c>
      <c r="N33" s="5">
        <f t="shared" si="30"/>
        <v>0</v>
      </c>
      <c r="O33" s="5">
        <f t="shared" si="2"/>
        <v>0</v>
      </c>
      <c r="P33" s="5">
        <f t="shared" si="3"/>
        <v>0</v>
      </c>
      <c r="Q33" s="5">
        <f t="shared" si="4"/>
        <v>0</v>
      </c>
    </row>
    <row r="34" spans="2:17" x14ac:dyDescent="0.3">
      <c r="B34" s="2" t="s">
        <v>135</v>
      </c>
      <c r="C34" s="16" t="s">
        <v>174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f t="shared" si="24"/>
        <v>0</v>
      </c>
      <c r="J34" s="1">
        <v>0</v>
      </c>
      <c r="K34" s="1">
        <v>0</v>
      </c>
      <c r="L34" s="26">
        <f t="shared" si="1"/>
        <v>0</v>
      </c>
      <c r="M34" s="1">
        <v>0</v>
      </c>
      <c r="N34" s="1">
        <v>0</v>
      </c>
      <c r="O34" s="26">
        <f t="shared" si="2"/>
        <v>0</v>
      </c>
      <c r="P34" s="26">
        <f t="shared" si="3"/>
        <v>0</v>
      </c>
      <c r="Q34" s="26">
        <f t="shared" si="4"/>
        <v>0</v>
      </c>
    </row>
    <row r="35" spans="2:17" x14ac:dyDescent="0.3">
      <c r="B35" s="3" t="s">
        <v>136</v>
      </c>
      <c r="C35" s="18" t="s">
        <v>175</v>
      </c>
      <c r="D35" s="5">
        <f t="shared" ref="D35:J35" si="31">+D36+D37+D38+D39+D40</f>
        <v>0</v>
      </c>
      <c r="E35" s="5">
        <f t="shared" si="31"/>
        <v>0</v>
      </c>
      <c r="F35" s="5">
        <f t="shared" si="31"/>
        <v>0</v>
      </c>
      <c r="G35" s="5">
        <f t="shared" si="31"/>
        <v>0</v>
      </c>
      <c r="H35" s="5">
        <f t="shared" si="31"/>
        <v>0</v>
      </c>
      <c r="I35" s="5">
        <f t="shared" si="31"/>
        <v>0</v>
      </c>
      <c r="J35" s="5">
        <f t="shared" si="31"/>
        <v>0</v>
      </c>
      <c r="K35" s="5">
        <f t="shared" ref="K35" si="32">+K36+K37+K38+K39+K40</f>
        <v>0</v>
      </c>
      <c r="L35" s="5">
        <f t="shared" si="1"/>
        <v>0</v>
      </c>
      <c r="M35" s="5">
        <f t="shared" ref="M35:N35" si="33">+M36+M37+M38+M39+M40</f>
        <v>0</v>
      </c>
      <c r="N35" s="5">
        <f t="shared" si="33"/>
        <v>0</v>
      </c>
      <c r="O35" s="5">
        <f t="shared" si="2"/>
        <v>0</v>
      </c>
      <c r="P35" s="5">
        <f t="shared" si="3"/>
        <v>0</v>
      </c>
      <c r="Q35" s="5">
        <f t="shared" si="4"/>
        <v>0</v>
      </c>
    </row>
    <row r="36" spans="2:17" x14ac:dyDescent="0.3">
      <c r="B36" s="2" t="s">
        <v>137</v>
      </c>
      <c r="C36" s="16" t="s">
        <v>176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f t="shared" si="24"/>
        <v>0</v>
      </c>
      <c r="J36" s="1">
        <v>0</v>
      </c>
      <c r="K36" s="1">
        <v>0</v>
      </c>
      <c r="L36" s="26">
        <f t="shared" si="1"/>
        <v>0</v>
      </c>
      <c r="M36" s="1">
        <v>0</v>
      </c>
      <c r="N36" s="1">
        <v>0</v>
      </c>
      <c r="O36" s="26">
        <f t="shared" si="2"/>
        <v>0</v>
      </c>
      <c r="P36" s="26">
        <f t="shared" si="3"/>
        <v>0</v>
      </c>
      <c r="Q36" s="26">
        <f t="shared" si="4"/>
        <v>0</v>
      </c>
    </row>
    <row r="37" spans="2:17" x14ac:dyDescent="0.3">
      <c r="B37" s="2" t="s">
        <v>138</v>
      </c>
      <c r="C37" s="16" t="s">
        <v>177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f t="shared" si="24"/>
        <v>0</v>
      </c>
      <c r="J37" s="1">
        <v>0</v>
      </c>
      <c r="K37" s="1">
        <v>0</v>
      </c>
      <c r="L37" s="26">
        <f t="shared" si="1"/>
        <v>0</v>
      </c>
      <c r="M37" s="1">
        <v>0</v>
      </c>
      <c r="N37" s="1">
        <v>0</v>
      </c>
      <c r="O37" s="26">
        <f t="shared" si="2"/>
        <v>0</v>
      </c>
      <c r="P37" s="26">
        <f t="shared" si="3"/>
        <v>0</v>
      </c>
      <c r="Q37" s="26">
        <f t="shared" si="4"/>
        <v>0</v>
      </c>
    </row>
    <row r="38" spans="2:17" x14ac:dyDescent="0.3">
      <c r="B38" s="2" t="s">
        <v>139</v>
      </c>
      <c r="C38" s="16" t="s">
        <v>178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f t="shared" si="24"/>
        <v>0</v>
      </c>
      <c r="J38" s="1">
        <v>0</v>
      </c>
      <c r="K38" s="1">
        <v>0</v>
      </c>
      <c r="L38" s="26">
        <f t="shared" si="1"/>
        <v>0</v>
      </c>
      <c r="M38" s="1">
        <v>0</v>
      </c>
      <c r="N38" s="1">
        <v>0</v>
      </c>
      <c r="O38" s="26">
        <f t="shared" si="2"/>
        <v>0</v>
      </c>
      <c r="P38" s="26">
        <f t="shared" si="3"/>
        <v>0</v>
      </c>
      <c r="Q38" s="26">
        <f t="shared" si="4"/>
        <v>0</v>
      </c>
    </row>
    <row r="39" spans="2:17" x14ac:dyDescent="0.3">
      <c r="B39" s="2" t="s">
        <v>140</v>
      </c>
      <c r="C39" s="16" t="s">
        <v>179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f t="shared" si="24"/>
        <v>0</v>
      </c>
      <c r="J39" s="1">
        <v>0</v>
      </c>
      <c r="K39" s="1">
        <v>0</v>
      </c>
      <c r="L39" s="26">
        <f t="shared" si="1"/>
        <v>0</v>
      </c>
      <c r="M39" s="1">
        <v>0</v>
      </c>
      <c r="N39" s="1">
        <v>0</v>
      </c>
      <c r="O39" s="26">
        <f t="shared" si="2"/>
        <v>0</v>
      </c>
      <c r="P39" s="26">
        <f t="shared" si="3"/>
        <v>0</v>
      </c>
      <c r="Q39" s="26">
        <f t="shared" si="4"/>
        <v>0</v>
      </c>
    </row>
    <row r="40" spans="2:17" x14ac:dyDescent="0.3">
      <c r="B40" s="2" t="s">
        <v>141</v>
      </c>
      <c r="C40" s="16" t="s">
        <v>180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f t="shared" si="24"/>
        <v>0</v>
      </c>
      <c r="J40" s="1">
        <v>0</v>
      </c>
      <c r="K40" s="1">
        <v>0</v>
      </c>
      <c r="L40" s="26">
        <f t="shared" si="1"/>
        <v>0</v>
      </c>
      <c r="M40" s="1">
        <v>0</v>
      </c>
      <c r="N40" s="1">
        <v>0</v>
      </c>
      <c r="O40" s="26">
        <f t="shared" si="2"/>
        <v>0</v>
      </c>
      <c r="P40" s="26">
        <f t="shared" si="3"/>
        <v>0</v>
      </c>
      <c r="Q40" s="26">
        <f t="shared" si="4"/>
        <v>0</v>
      </c>
    </row>
    <row r="41" spans="2:17" x14ac:dyDescent="0.3">
      <c r="B41" s="2" t="s">
        <v>142</v>
      </c>
      <c r="C41" s="16" t="s">
        <v>181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f t="shared" si="24"/>
        <v>0</v>
      </c>
      <c r="J41" s="1">
        <v>0</v>
      </c>
      <c r="K41" s="1">
        <v>0</v>
      </c>
      <c r="L41" s="26">
        <f t="shared" si="1"/>
        <v>0</v>
      </c>
      <c r="M41" s="1">
        <v>0</v>
      </c>
      <c r="N41" s="1">
        <v>0</v>
      </c>
      <c r="O41" s="26">
        <f t="shared" si="2"/>
        <v>0</v>
      </c>
      <c r="P41" s="26">
        <f t="shared" si="3"/>
        <v>0</v>
      </c>
      <c r="Q41" s="26">
        <f t="shared" si="4"/>
        <v>0</v>
      </c>
    </row>
    <row r="42" spans="2:17" x14ac:dyDescent="0.3">
      <c r="B42" s="3" t="s">
        <v>143</v>
      </c>
      <c r="C42" s="18" t="s">
        <v>182</v>
      </c>
      <c r="D42" s="5">
        <f t="shared" ref="D42:N42" si="34">+D43</f>
        <v>0</v>
      </c>
      <c r="E42" s="5">
        <f t="shared" si="34"/>
        <v>0</v>
      </c>
      <c r="F42" s="5">
        <f t="shared" si="34"/>
        <v>0</v>
      </c>
      <c r="G42" s="5">
        <f t="shared" si="34"/>
        <v>0</v>
      </c>
      <c r="H42" s="5">
        <f t="shared" si="34"/>
        <v>0</v>
      </c>
      <c r="I42" s="5">
        <f t="shared" si="34"/>
        <v>0</v>
      </c>
      <c r="J42" s="5">
        <f t="shared" si="34"/>
        <v>0</v>
      </c>
      <c r="K42" s="5">
        <f t="shared" si="34"/>
        <v>0</v>
      </c>
      <c r="L42" s="5">
        <f t="shared" si="1"/>
        <v>0</v>
      </c>
      <c r="M42" s="5">
        <f t="shared" si="34"/>
        <v>0</v>
      </c>
      <c r="N42" s="5">
        <f t="shared" si="34"/>
        <v>0</v>
      </c>
      <c r="O42" s="5">
        <f t="shared" si="2"/>
        <v>0</v>
      </c>
      <c r="P42" s="5">
        <f t="shared" si="3"/>
        <v>0</v>
      </c>
      <c r="Q42" s="5">
        <f t="shared" si="4"/>
        <v>0</v>
      </c>
    </row>
    <row r="43" spans="2:17" x14ac:dyDescent="0.3">
      <c r="B43" s="2" t="s">
        <v>144</v>
      </c>
      <c r="C43" s="16" t="s">
        <v>183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f t="shared" si="24"/>
        <v>0</v>
      </c>
      <c r="J43" s="1">
        <v>0</v>
      </c>
      <c r="K43" s="1">
        <v>0</v>
      </c>
      <c r="L43" s="26">
        <f t="shared" si="1"/>
        <v>0</v>
      </c>
      <c r="M43" s="1">
        <v>0</v>
      </c>
      <c r="N43" s="1">
        <v>0</v>
      </c>
      <c r="O43" s="26">
        <f t="shared" si="2"/>
        <v>0</v>
      </c>
      <c r="P43" s="26">
        <f t="shared" si="3"/>
        <v>0</v>
      </c>
      <c r="Q43" s="26">
        <f t="shared" si="4"/>
        <v>0</v>
      </c>
    </row>
    <row r="44" spans="2:17" x14ac:dyDescent="0.3">
      <c r="B44" s="3" t="s">
        <v>184</v>
      </c>
      <c r="C44" s="18" t="s">
        <v>250</v>
      </c>
      <c r="D44" s="5">
        <f t="shared" ref="D44:N44" si="35">+D45</f>
        <v>0</v>
      </c>
      <c r="E44" s="5">
        <f t="shared" si="35"/>
        <v>0</v>
      </c>
      <c r="F44" s="5">
        <f t="shared" si="35"/>
        <v>0</v>
      </c>
      <c r="G44" s="5">
        <f t="shared" si="35"/>
        <v>0</v>
      </c>
      <c r="H44" s="5">
        <f t="shared" si="35"/>
        <v>0</v>
      </c>
      <c r="I44" s="5">
        <f t="shared" si="35"/>
        <v>0</v>
      </c>
      <c r="J44" s="5">
        <f t="shared" si="35"/>
        <v>0</v>
      </c>
      <c r="K44" s="5">
        <f t="shared" si="35"/>
        <v>0</v>
      </c>
      <c r="L44" s="5">
        <f t="shared" si="1"/>
        <v>0</v>
      </c>
      <c r="M44" s="5">
        <f t="shared" si="35"/>
        <v>0</v>
      </c>
      <c r="N44" s="5">
        <f t="shared" si="35"/>
        <v>0</v>
      </c>
      <c r="O44" s="5">
        <f t="shared" si="2"/>
        <v>0</v>
      </c>
      <c r="P44" s="5">
        <f t="shared" si="3"/>
        <v>0</v>
      </c>
      <c r="Q44" s="5">
        <f t="shared" si="4"/>
        <v>0</v>
      </c>
    </row>
    <row r="45" spans="2:17" x14ac:dyDescent="0.3">
      <c r="B45" s="3" t="s">
        <v>185</v>
      </c>
      <c r="C45" s="18" t="s">
        <v>251</v>
      </c>
      <c r="D45" s="5">
        <f t="shared" ref="D45:J45" si="36">+D46+D63+D64</f>
        <v>0</v>
      </c>
      <c r="E45" s="5">
        <f t="shared" si="36"/>
        <v>0</v>
      </c>
      <c r="F45" s="5">
        <f t="shared" si="36"/>
        <v>0</v>
      </c>
      <c r="G45" s="5">
        <f t="shared" si="36"/>
        <v>0</v>
      </c>
      <c r="H45" s="5">
        <f t="shared" si="36"/>
        <v>0</v>
      </c>
      <c r="I45" s="5">
        <f t="shared" si="36"/>
        <v>0</v>
      </c>
      <c r="J45" s="5">
        <f t="shared" si="36"/>
        <v>0</v>
      </c>
      <c r="K45" s="5">
        <f t="shared" ref="K45" si="37">+K46+K63+K64</f>
        <v>0</v>
      </c>
      <c r="L45" s="5">
        <f t="shared" si="1"/>
        <v>0</v>
      </c>
      <c r="M45" s="5">
        <f t="shared" ref="M45:N45" si="38">+M46+M63+M64</f>
        <v>0</v>
      </c>
      <c r="N45" s="5">
        <f t="shared" si="38"/>
        <v>0</v>
      </c>
      <c r="O45" s="5">
        <f t="shared" si="2"/>
        <v>0</v>
      </c>
      <c r="P45" s="5">
        <f t="shared" si="3"/>
        <v>0</v>
      </c>
      <c r="Q45" s="5">
        <f t="shared" si="4"/>
        <v>0</v>
      </c>
    </row>
    <row r="46" spans="2:17" x14ac:dyDescent="0.3">
      <c r="B46" s="3" t="s">
        <v>186</v>
      </c>
      <c r="C46" s="18" t="s">
        <v>252</v>
      </c>
      <c r="D46" s="5">
        <f t="shared" ref="D46:J46" si="39">+D47+D51+D55+D62</f>
        <v>0</v>
      </c>
      <c r="E46" s="5">
        <f t="shared" si="39"/>
        <v>0</v>
      </c>
      <c r="F46" s="5">
        <f t="shared" si="39"/>
        <v>0</v>
      </c>
      <c r="G46" s="5">
        <f t="shared" si="39"/>
        <v>0</v>
      </c>
      <c r="H46" s="5">
        <f t="shared" si="39"/>
        <v>0</v>
      </c>
      <c r="I46" s="5">
        <f t="shared" si="39"/>
        <v>0</v>
      </c>
      <c r="J46" s="5">
        <f t="shared" si="39"/>
        <v>0</v>
      </c>
      <c r="K46" s="5">
        <f t="shared" ref="K46" si="40">+K47+K51+K55+K62</f>
        <v>0</v>
      </c>
      <c r="L46" s="5">
        <f t="shared" si="1"/>
        <v>0</v>
      </c>
      <c r="M46" s="5">
        <f t="shared" ref="M46:N46" si="41">+M47+M51+M55+M62</f>
        <v>0</v>
      </c>
      <c r="N46" s="5">
        <f t="shared" si="41"/>
        <v>0</v>
      </c>
      <c r="O46" s="5">
        <f t="shared" si="2"/>
        <v>0</v>
      </c>
      <c r="P46" s="5">
        <f t="shared" si="3"/>
        <v>0</v>
      </c>
      <c r="Q46" s="5">
        <f t="shared" si="4"/>
        <v>0</v>
      </c>
    </row>
    <row r="47" spans="2:17" x14ac:dyDescent="0.3">
      <c r="B47" s="3" t="s">
        <v>187</v>
      </c>
      <c r="C47" s="18" t="s">
        <v>253</v>
      </c>
      <c r="D47" s="5">
        <f t="shared" ref="D47:J47" si="42">+D48+D49+D50</f>
        <v>0</v>
      </c>
      <c r="E47" s="5">
        <f t="shared" si="42"/>
        <v>0</v>
      </c>
      <c r="F47" s="5">
        <f t="shared" si="42"/>
        <v>0</v>
      </c>
      <c r="G47" s="5">
        <f t="shared" si="42"/>
        <v>0</v>
      </c>
      <c r="H47" s="5">
        <f t="shared" si="42"/>
        <v>0</v>
      </c>
      <c r="I47" s="5">
        <f t="shared" si="42"/>
        <v>0</v>
      </c>
      <c r="J47" s="5">
        <f t="shared" si="42"/>
        <v>0</v>
      </c>
      <c r="K47" s="5">
        <f t="shared" ref="K47" si="43">+K48+K49+K50</f>
        <v>0</v>
      </c>
      <c r="L47" s="5">
        <f t="shared" si="1"/>
        <v>0</v>
      </c>
      <c r="M47" s="5">
        <f t="shared" ref="M47:N47" si="44">+M48+M49+M50</f>
        <v>0</v>
      </c>
      <c r="N47" s="5">
        <f t="shared" si="44"/>
        <v>0</v>
      </c>
      <c r="O47" s="5">
        <f t="shared" si="2"/>
        <v>0</v>
      </c>
      <c r="P47" s="5">
        <f t="shared" si="3"/>
        <v>0</v>
      </c>
      <c r="Q47" s="5">
        <f t="shared" si="4"/>
        <v>0</v>
      </c>
    </row>
    <row r="48" spans="2:17" x14ac:dyDescent="0.3">
      <c r="B48" s="2" t="s">
        <v>188</v>
      </c>
      <c r="C48" s="16" t="s">
        <v>254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f t="shared" ref="I48:I50" si="45">+D48+E48-F48+G48-H48</f>
        <v>0</v>
      </c>
      <c r="J48" s="1">
        <v>0</v>
      </c>
      <c r="K48" s="1">
        <v>0</v>
      </c>
      <c r="L48" s="26">
        <f t="shared" si="1"/>
        <v>0</v>
      </c>
      <c r="M48" s="1">
        <v>0</v>
      </c>
      <c r="N48" s="1">
        <v>0</v>
      </c>
      <c r="O48" s="26">
        <f t="shared" si="2"/>
        <v>0</v>
      </c>
      <c r="P48" s="26">
        <f t="shared" si="3"/>
        <v>0</v>
      </c>
      <c r="Q48" s="26">
        <f t="shared" si="4"/>
        <v>0</v>
      </c>
    </row>
    <row r="49" spans="2:17" x14ac:dyDescent="0.3">
      <c r="B49" s="2" t="s">
        <v>189</v>
      </c>
      <c r="C49" s="16" t="s">
        <v>255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f t="shared" si="45"/>
        <v>0</v>
      </c>
      <c r="J49" s="1">
        <v>0</v>
      </c>
      <c r="K49" s="1">
        <v>0</v>
      </c>
      <c r="L49" s="26">
        <f t="shared" si="1"/>
        <v>0</v>
      </c>
      <c r="M49" s="1">
        <v>0</v>
      </c>
      <c r="N49" s="1">
        <v>0</v>
      </c>
      <c r="O49" s="26">
        <f t="shared" si="2"/>
        <v>0</v>
      </c>
      <c r="P49" s="26">
        <f t="shared" si="3"/>
        <v>0</v>
      </c>
      <c r="Q49" s="26">
        <f t="shared" si="4"/>
        <v>0</v>
      </c>
    </row>
    <row r="50" spans="2:17" x14ac:dyDescent="0.3">
      <c r="B50" s="2" t="s">
        <v>190</v>
      </c>
      <c r="C50" s="16" t="s">
        <v>256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f t="shared" si="45"/>
        <v>0</v>
      </c>
      <c r="J50" s="1">
        <v>0</v>
      </c>
      <c r="K50" s="1">
        <v>0</v>
      </c>
      <c r="L50" s="26">
        <f t="shared" si="1"/>
        <v>0</v>
      </c>
      <c r="M50" s="1">
        <v>0</v>
      </c>
      <c r="N50" s="1">
        <v>0</v>
      </c>
      <c r="O50" s="26">
        <f t="shared" si="2"/>
        <v>0</v>
      </c>
      <c r="P50" s="26">
        <f t="shared" si="3"/>
        <v>0</v>
      </c>
      <c r="Q50" s="26">
        <f t="shared" si="4"/>
        <v>0</v>
      </c>
    </row>
    <row r="51" spans="2:17" x14ac:dyDescent="0.3">
      <c r="B51" s="3" t="s">
        <v>191</v>
      </c>
      <c r="C51" s="18" t="s">
        <v>257</v>
      </c>
      <c r="D51" s="5">
        <f t="shared" ref="D51:J51" si="46">+D52+D53+D54</f>
        <v>0</v>
      </c>
      <c r="E51" s="5">
        <f t="shared" si="46"/>
        <v>0</v>
      </c>
      <c r="F51" s="5">
        <f t="shared" si="46"/>
        <v>0</v>
      </c>
      <c r="G51" s="5">
        <f t="shared" si="46"/>
        <v>0</v>
      </c>
      <c r="H51" s="5">
        <f t="shared" si="46"/>
        <v>0</v>
      </c>
      <c r="I51" s="5">
        <f t="shared" si="46"/>
        <v>0</v>
      </c>
      <c r="J51" s="5">
        <f t="shared" si="46"/>
        <v>0</v>
      </c>
      <c r="K51" s="5">
        <f t="shared" ref="K51" si="47">+K52+K53+K54</f>
        <v>0</v>
      </c>
      <c r="L51" s="5">
        <f t="shared" si="1"/>
        <v>0</v>
      </c>
      <c r="M51" s="5">
        <f t="shared" ref="M51:N51" si="48">+M52+M53+M54</f>
        <v>0</v>
      </c>
      <c r="N51" s="5">
        <f t="shared" si="48"/>
        <v>0</v>
      </c>
      <c r="O51" s="5">
        <f t="shared" si="2"/>
        <v>0</v>
      </c>
      <c r="P51" s="5">
        <f t="shared" si="3"/>
        <v>0</v>
      </c>
      <c r="Q51" s="5">
        <f t="shared" si="4"/>
        <v>0</v>
      </c>
    </row>
    <row r="52" spans="2:17" x14ac:dyDescent="0.3">
      <c r="B52" s="2" t="s">
        <v>192</v>
      </c>
      <c r="C52" s="16" t="s">
        <v>258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f t="shared" ref="I52:I54" si="49">+D52+E52-F52+G52-H52</f>
        <v>0</v>
      </c>
      <c r="J52" s="1">
        <v>0</v>
      </c>
      <c r="K52" s="1">
        <v>0</v>
      </c>
      <c r="L52" s="26">
        <f t="shared" si="1"/>
        <v>0</v>
      </c>
      <c r="M52" s="1">
        <v>0</v>
      </c>
      <c r="N52" s="1">
        <v>0</v>
      </c>
      <c r="O52" s="26">
        <f t="shared" si="2"/>
        <v>0</v>
      </c>
      <c r="P52" s="26">
        <f t="shared" si="3"/>
        <v>0</v>
      </c>
      <c r="Q52" s="26">
        <f t="shared" si="4"/>
        <v>0</v>
      </c>
    </row>
    <row r="53" spans="2:17" x14ac:dyDescent="0.3">
      <c r="B53" s="2" t="s">
        <v>193</v>
      </c>
      <c r="C53" s="16" t="s">
        <v>259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f t="shared" si="49"/>
        <v>0</v>
      </c>
      <c r="J53" s="1">
        <v>0</v>
      </c>
      <c r="K53" s="1">
        <v>0</v>
      </c>
      <c r="L53" s="26">
        <f t="shared" si="1"/>
        <v>0</v>
      </c>
      <c r="M53" s="1">
        <v>0</v>
      </c>
      <c r="N53" s="1">
        <v>0</v>
      </c>
      <c r="O53" s="26">
        <f t="shared" si="2"/>
        <v>0</v>
      </c>
      <c r="P53" s="26">
        <f t="shared" si="3"/>
        <v>0</v>
      </c>
      <c r="Q53" s="26">
        <f t="shared" si="4"/>
        <v>0</v>
      </c>
    </row>
    <row r="54" spans="2:17" x14ac:dyDescent="0.3">
      <c r="B54" s="2" t="s">
        <v>194</v>
      </c>
      <c r="C54" s="16" t="s">
        <v>260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f t="shared" si="49"/>
        <v>0</v>
      </c>
      <c r="J54" s="1">
        <v>0</v>
      </c>
      <c r="K54" s="1">
        <v>0</v>
      </c>
      <c r="L54" s="26">
        <f t="shared" si="1"/>
        <v>0</v>
      </c>
      <c r="M54" s="1">
        <v>0</v>
      </c>
      <c r="N54" s="1">
        <v>0</v>
      </c>
      <c r="O54" s="26">
        <f t="shared" si="2"/>
        <v>0</v>
      </c>
      <c r="P54" s="26">
        <f t="shared" si="3"/>
        <v>0</v>
      </c>
      <c r="Q54" s="26">
        <f t="shared" si="4"/>
        <v>0</v>
      </c>
    </row>
    <row r="55" spans="2:17" x14ac:dyDescent="0.3">
      <c r="B55" s="3" t="s">
        <v>195</v>
      </c>
      <c r="C55" s="18" t="s">
        <v>261</v>
      </c>
      <c r="D55" s="5">
        <f t="shared" ref="D55:J55" si="50">+D56+D57+D58+D59+D60+D61</f>
        <v>0</v>
      </c>
      <c r="E55" s="5">
        <f t="shared" si="50"/>
        <v>0</v>
      </c>
      <c r="F55" s="5">
        <f t="shared" si="50"/>
        <v>0</v>
      </c>
      <c r="G55" s="5">
        <f t="shared" si="50"/>
        <v>0</v>
      </c>
      <c r="H55" s="5">
        <f t="shared" si="50"/>
        <v>0</v>
      </c>
      <c r="I55" s="5">
        <f t="shared" si="50"/>
        <v>0</v>
      </c>
      <c r="J55" s="5">
        <f t="shared" si="50"/>
        <v>0</v>
      </c>
      <c r="K55" s="5">
        <f t="shared" ref="K55" si="51">+K56+K57+K58+K59+K60+K61</f>
        <v>0</v>
      </c>
      <c r="L55" s="5">
        <f t="shared" si="1"/>
        <v>0</v>
      </c>
      <c r="M55" s="5">
        <f t="shared" ref="M55:N55" si="52">+M56+M57+M58+M59+M60+M61</f>
        <v>0</v>
      </c>
      <c r="N55" s="5">
        <f t="shared" si="52"/>
        <v>0</v>
      </c>
      <c r="O55" s="5">
        <f t="shared" si="2"/>
        <v>0</v>
      </c>
      <c r="P55" s="5">
        <f t="shared" si="3"/>
        <v>0</v>
      </c>
      <c r="Q55" s="5">
        <f t="shared" si="4"/>
        <v>0</v>
      </c>
    </row>
    <row r="56" spans="2:17" x14ac:dyDescent="0.3">
      <c r="B56" s="2" t="s">
        <v>196</v>
      </c>
      <c r="C56" s="16" t="s">
        <v>262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f t="shared" ref="I56:I64" si="53">+D56+E56-F56+G56-H56</f>
        <v>0</v>
      </c>
      <c r="J56" s="1">
        <v>0</v>
      </c>
      <c r="K56" s="1">
        <v>0</v>
      </c>
      <c r="L56" s="26">
        <f t="shared" si="1"/>
        <v>0</v>
      </c>
      <c r="M56" s="1">
        <v>0</v>
      </c>
      <c r="N56" s="1">
        <v>0</v>
      </c>
      <c r="O56" s="26">
        <f t="shared" si="2"/>
        <v>0</v>
      </c>
      <c r="P56" s="26">
        <f t="shared" si="3"/>
        <v>0</v>
      </c>
      <c r="Q56" s="26">
        <f t="shared" si="4"/>
        <v>0</v>
      </c>
    </row>
    <row r="57" spans="2:17" x14ac:dyDescent="0.3">
      <c r="B57" s="2" t="s">
        <v>197</v>
      </c>
      <c r="C57" s="16" t="s">
        <v>263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f t="shared" si="53"/>
        <v>0</v>
      </c>
      <c r="J57" s="1">
        <v>0</v>
      </c>
      <c r="K57" s="1">
        <v>0</v>
      </c>
      <c r="L57" s="26">
        <f t="shared" si="1"/>
        <v>0</v>
      </c>
      <c r="M57" s="1">
        <v>0</v>
      </c>
      <c r="N57" s="1">
        <v>0</v>
      </c>
      <c r="O57" s="26">
        <f t="shared" si="2"/>
        <v>0</v>
      </c>
      <c r="P57" s="26">
        <f t="shared" si="3"/>
        <v>0</v>
      </c>
      <c r="Q57" s="26">
        <f t="shared" si="4"/>
        <v>0</v>
      </c>
    </row>
    <row r="58" spans="2:17" x14ac:dyDescent="0.3">
      <c r="B58" s="2" t="s">
        <v>198</v>
      </c>
      <c r="C58" s="16" t="s">
        <v>264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>
        <f t="shared" si="53"/>
        <v>0</v>
      </c>
      <c r="J58" s="1">
        <v>0</v>
      </c>
      <c r="K58" s="1">
        <v>0</v>
      </c>
      <c r="L58" s="26">
        <f t="shared" si="1"/>
        <v>0</v>
      </c>
      <c r="M58" s="1">
        <v>0</v>
      </c>
      <c r="N58" s="1">
        <v>0</v>
      </c>
      <c r="O58" s="26">
        <f t="shared" si="2"/>
        <v>0</v>
      </c>
      <c r="P58" s="26">
        <f t="shared" si="3"/>
        <v>0</v>
      </c>
      <c r="Q58" s="26">
        <f t="shared" si="4"/>
        <v>0</v>
      </c>
    </row>
    <row r="59" spans="2:17" x14ac:dyDescent="0.3">
      <c r="B59" s="2" t="s">
        <v>199</v>
      </c>
      <c r="C59" s="16" t="s">
        <v>265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f t="shared" si="53"/>
        <v>0</v>
      </c>
      <c r="J59" s="1">
        <v>0</v>
      </c>
      <c r="K59" s="1">
        <v>0</v>
      </c>
      <c r="L59" s="26">
        <f t="shared" si="1"/>
        <v>0</v>
      </c>
      <c r="M59" s="1">
        <v>0</v>
      </c>
      <c r="N59" s="1">
        <v>0</v>
      </c>
      <c r="O59" s="26">
        <f t="shared" si="2"/>
        <v>0</v>
      </c>
      <c r="P59" s="26">
        <f t="shared" si="3"/>
        <v>0</v>
      </c>
      <c r="Q59" s="26">
        <f t="shared" si="4"/>
        <v>0</v>
      </c>
    </row>
    <row r="60" spans="2:17" x14ac:dyDescent="0.3">
      <c r="B60" s="2" t="s">
        <v>200</v>
      </c>
      <c r="C60" s="16" t="s">
        <v>357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f t="shared" si="53"/>
        <v>0</v>
      </c>
      <c r="J60" s="1">
        <v>0</v>
      </c>
      <c r="K60" s="1">
        <v>0</v>
      </c>
      <c r="L60" s="26">
        <f t="shared" si="1"/>
        <v>0</v>
      </c>
      <c r="M60" s="1">
        <v>0</v>
      </c>
      <c r="N60" s="1">
        <v>0</v>
      </c>
      <c r="O60" s="26">
        <f t="shared" si="2"/>
        <v>0</v>
      </c>
      <c r="P60" s="26">
        <f t="shared" si="3"/>
        <v>0</v>
      </c>
      <c r="Q60" s="26">
        <f t="shared" si="4"/>
        <v>0</v>
      </c>
    </row>
    <row r="61" spans="2:17" x14ac:dyDescent="0.3">
      <c r="B61" s="2" t="s">
        <v>201</v>
      </c>
      <c r="C61" s="16" t="s">
        <v>266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f t="shared" si="53"/>
        <v>0</v>
      </c>
      <c r="J61" s="1">
        <v>0</v>
      </c>
      <c r="K61" s="1">
        <v>0</v>
      </c>
      <c r="L61" s="26">
        <f t="shared" si="1"/>
        <v>0</v>
      </c>
      <c r="M61" s="1">
        <v>0</v>
      </c>
      <c r="N61" s="1">
        <v>0</v>
      </c>
      <c r="O61" s="26">
        <f t="shared" si="2"/>
        <v>0</v>
      </c>
      <c r="P61" s="26">
        <f t="shared" si="3"/>
        <v>0</v>
      </c>
      <c r="Q61" s="26">
        <f t="shared" si="4"/>
        <v>0</v>
      </c>
    </row>
    <row r="62" spans="2:17" x14ac:dyDescent="0.3">
      <c r="B62" s="2" t="s">
        <v>202</v>
      </c>
      <c r="C62" s="16" t="s">
        <v>267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f t="shared" si="53"/>
        <v>0</v>
      </c>
      <c r="J62" s="1">
        <v>0</v>
      </c>
      <c r="K62" s="1">
        <v>0</v>
      </c>
      <c r="L62" s="26">
        <f t="shared" si="1"/>
        <v>0</v>
      </c>
      <c r="M62" s="1">
        <v>0</v>
      </c>
      <c r="N62" s="1">
        <v>0</v>
      </c>
      <c r="O62" s="26">
        <f t="shared" si="2"/>
        <v>0</v>
      </c>
      <c r="P62" s="26">
        <f t="shared" si="3"/>
        <v>0</v>
      </c>
      <c r="Q62" s="26">
        <f t="shared" si="4"/>
        <v>0</v>
      </c>
    </row>
    <row r="63" spans="2:17" x14ac:dyDescent="0.3">
      <c r="B63" s="2" t="s">
        <v>203</v>
      </c>
      <c r="C63" s="16" t="s">
        <v>362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f t="shared" si="53"/>
        <v>0</v>
      </c>
      <c r="J63" s="1">
        <v>0</v>
      </c>
      <c r="K63" s="1">
        <v>0</v>
      </c>
      <c r="L63" s="26">
        <f t="shared" si="1"/>
        <v>0</v>
      </c>
      <c r="M63" s="1">
        <v>0</v>
      </c>
      <c r="N63" s="1">
        <v>0</v>
      </c>
      <c r="O63" s="26">
        <f t="shared" si="2"/>
        <v>0</v>
      </c>
      <c r="P63" s="26">
        <f t="shared" si="3"/>
        <v>0</v>
      </c>
      <c r="Q63" s="26">
        <f t="shared" si="4"/>
        <v>0</v>
      </c>
    </row>
    <row r="64" spans="2:17" x14ac:dyDescent="0.3">
      <c r="B64" s="2" t="s">
        <v>204</v>
      </c>
      <c r="C64" s="16" t="s">
        <v>361</v>
      </c>
      <c r="D64" s="1">
        <v>0</v>
      </c>
      <c r="E64" s="1">
        <v>0</v>
      </c>
      <c r="F64" s="1">
        <v>0</v>
      </c>
      <c r="G64" s="1">
        <v>0</v>
      </c>
      <c r="H64" s="1">
        <v>0</v>
      </c>
      <c r="I64" s="1">
        <f t="shared" si="53"/>
        <v>0</v>
      </c>
      <c r="J64" s="1">
        <v>0</v>
      </c>
      <c r="K64" s="1">
        <v>0</v>
      </c>
      <c r="L64" s="26">
        <f t="shared" si="1"/>
        <v>0</v>
      </c>
      <c r="M64" s="1">
        <v>0</v>
      </c>
      <c r="N64" s="1">
        <v>0</v>
      </c>
      <c r="O64" s="26">
        <f t="shared" si="2"/>
        <v>0</v>
      </c>
      <c r="P64" s="26">
        <f t="shared" si="3"/>
        <v>0</v>
      </c>
      <c r="Q64" s="26">
        <f t="shared" si="4"/>
        <v>0</v>
      </c>
    </row>
    <row r="65" spans="2:17" x14ac:dyDescent="0.3">
      <c r="B65" s="3" t="s">
        <v>205</v>
      </c>
      <c r="C65" s="18" t="s">
        <v>268</v>
      </c>
      <c r="D65" s="5">
        <f t="shared" ref="D65:J65" si="54">+D66+D73</f>
        <v>0</v>
      </c>
      <c r="E65" s="5">
        <f t="shared" si="54"/>
        <v>0</v>
      </c>
      <c r="F65" s="5">
        <f t="shared" si="54"/>
        <v>0</v>
      </c>
      <c r="G65" s="5">
        <f t="shared" si="54"/>
        <v>0</v>
      </c>
      <c r="H65" s="5">
        <f t="shared" si="54"/>
        <v>0</v>
      </c>
      <c r="I65" s="5">
        <f t="shared" si="54"/>
        <v>0</v>
      </c>
      <c r="J65" s="5">
        <f t="shared" si="54"/>
        <v>0</v>
      </c>
      <c r="K65" s="5">
        <f t="shared" ref="K65" si="55">+K66+K73</f>
        <v>0</v>
      </c>
      <c r="L65" s="5">
        <f t="shared" si="1"/>
        <v>0</v>
      </c>
      <c r="M65" s="5">
        <f t="shared" ref="M65:N65" si="56">+M66+M73</f>
        <v>0</v>
      </c>
      <c r="N65" s="5">
        <f t="shared" si="56"/>
        <v>0</v>
      </c>
      <c r="O65" s="5">
        <f t="shared" si="2"/>
        <v>0</v>
      </c>
      <c r="P65" s="5">
        <f t="shared" si="3"/>
        <v>0</v>
      </c>
      <c r="Q65" s="5">
        <f t="shared" si="4"/>
        <v>0</v>
      </c>
    </row>
    <row r="66" spans="2:17" x14ac:dyDescent="0.3">
      <c r="B66" s="3" t="s">
        <v>206</v>
      </c>
      <c r="C66" s="18" t="s">
        <v>269</v>
      </c>
      <c r="D66" s="5">
        <f t="shared" ref="D66:J66" si="57">+D67+D70</f>
        <v>0</v>
      </c>
      <c r="E66" s="5">
        <f t="shared" si="57"/>
        <v>0</v>
      </c>
      <c r="F66" s="5">
        <f t="shared" si="57"/>
        <v>0</v>
      </c>
      <c r="G66" s="5">
        <f t="shared" si="57"/>
        <v>0</v>
      </c>
      <c r="H66" s="5">
        <f t="shared" si="57"/>
        <v>0</v>
      </c>
      <c r="I66" s="5">
        <f t="shared" si="57"/>
        <v>0</v>
      </c>
      <c r="J66" s="5">
        <f t="shared" si="57"/>
        <v>0</v>
      </c>
      <c r="K66" s="5">
        <f t="shared" ref="K66" si="58">+K67+K70</f>
        <v>0</v>
      </c>
      <c r="L66" s="5">
        <f t="shared" si="1"/>
        <v>0</v>
      </c>
      <c r="M66" s="5">
        <f t="shared" ref="M66:N66" si="59">+M67+M70</f>
        <v>0</v>
      </c>
      <c r="N66" s="5">
        <f t="shared" si="59"/>
        <v>0</v>
      </c>
      <c r="O66" s="5">
        <f t="shared" si="2"/>
        <v>0</v>
      </c>
      <c r="P66" s="5">
        <f t="shared" si="3"/>
        <v>0</v>
      </c>
      <c r="Q66" s="5">
        <f t="shared" si="4"/>
        <v>0</v>
      </c>
    </row>
    <row r="67" spans="2:17" x14ac:dyDescent="0.3">
      <c r="B67" s="3" t="s">
        <v>207</v>
      </c>
      <c r="C67" s="18" t="s">
        <v>270</v>
      </c>
      <c r="D67" s="5">
        <f t="shared" ref="D67:J67" si="60">+D68+D69</f>
        <v>0</v>
      </c>
      <c r="E67" s="5">
        <f t="shared" si="60"/>
        <v>0</v>
      </c>
      <c r="F67" s="5">
        <f t="shared" si="60"/>
        <v>0</v>
      </c>
      <c r="G67" s="5">
        <f t="shared" si="60"/>
        <v>0</v>
      </c>
      <c r="H67" s="5">
        <f t="shared" si="60"/>
        <v>0</v>
      </c>
      <c r="I67" s="5">
        <f t="shared" si="60"/>
        <v>0</v>
      </c>
      <c r="J67" s="5">
        <f t="shared" si="60"/>
        <v>0</v>
      </c>
      <c r="K67" s="5">
        <f t="shared" ref="K67" si="61">+K68+K69</f>
        <v>0</v>
      </c>
      <c r="L67" s="5">
        <f t="shared" si="1"/>
        <v>0</v>
      </c>
      <c r="M67" s="5">
        <f t="shared" ref="M67:N67" si="62">+M68+M69</f>
        <v>0</v>
      </c>
      <c r="N67" s="5">
        <f t="shared" si="62"/>
        <v>0</v>
      </c>
      <c r="O67" s="5">
        <f t="shared" si="2"/>
        <v>0</v>
      </c>
      <c r="P67" s="5">
        <f t="shared" si="3"/>
        <v>0</v>
      </c>
      <c r="Q67" s="5">
        <f t="shared" si="4"/>
        <v>0</v>
      </c>
    </row>
    <row r="68" spans="2:17" x14ac:dyDescent="0.3">
      <c r="B68" s="2" t="s">
        <v>208</v>
      </c>
      <c r="C68" s="16" t="s">
        <v>274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>
        <f t="shared" ref="I68:I69" si="63">+D68+E68-F68+G68-H68</f>
        <v>0</v>
      </c>
      <c r="J68" s="1">
        <v>0</v>
      </c>
      <c r="K68" s="1">
        <v>0</v>
      </c>
      <c r="L68" s="26">
        <f t="shared" si="1"/>
        <v>0</v>
      </c>
      <c r="M68" s="1">
        <v>0</v>
      </c>
      <c r="N68" s="1">
        <v>0</v>
      </c>
      <c r="O68" s="26">
        <f t="shared" si="2"/>
        <v>0</v>
      </c>
      <c r="P68" s="26">
        <f t="shared" si="3"/>
        <v>0</v>
      </c>
      <c r="Q68" s="26">
        <f t="shared" si="4"/>
        <v>0</v>
      </c>
    </row>
    <row r="69" spans="2:17" x14ac:dyDescent="0.3">
      <c r="B69" s="2" t="s">
        <v>209</v>
      </c>
      <c r="C69" s="16" t="s">
        <v>272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f t="shared" si="63"/>
        <v>0</v>
      </c>
      <c r="J69" s="1">
        <v>0</v>
      </c>
      <c r="K69" s="1">
        <v>0</v>
      </c>
      <c r="L69" s="26">
        <f t="shared" si="1"/>
        <v>0</v>
      </c>
      <c r="M69" s="1">
        <v>0</v>
      </c>
      <c r="N69" s="1">
        <v>0</v>
      </c>
      <c r="O69" s="26">
        <f t="shared" si="2"/>
        <v>0</v>
      </c>
      <c r="P69" s="26">
        <f t="shared" si="3"/>
        <v>0</v>
      </c>
      <c r="Q69" s="26">
        <f t="shared" si="4"/>
        <v>0</v>
      </c>
    </row>
    <row r="70" spans="2:17" x14ac:dyDescent="0.3">
      <c r="B70" s="3" t="s">
        <v>275</v>
      </c>
      <c r="C70" s="18" t="s">
        <v>273</v>
      </c>
      <c r="D70" s="5">
        <f t="shared" ref="D70:J70" si="64">+D71+D72</f>
        <v>0</v>
      </c>
      <c r="E70" s="5">
        <f t="shared" si="64"/>
        <v>0</v>
      </c>
      <c r="F70" s="5">
        <f t="shared" si="64"/>
        <v>0</v>
      </c>
      <c r="G70" s="5">
        <f t="shared" si="64"/>
        <v>0</v>
      </c>
      <c r="H70" s="5">
        <f t="shared" si="64"/>
        <v>0</v>
      </c>
      <c r="I70" s="5">
        <f t="shared" si="64"/>
        <v>0</v>
      </c>
      <c r="J70" s="5">
        <f t="shared" si="64"/>
        <v>0</v>
      </c>
      <c r="K70" s="5">
        <f t="shared" ref="K70" si="65">+K71+K72</f>
        <v>0</v>
      </c>
      <c r="L70" s="5">
        <f t="shared" ref="L70:L116" si="66">+J70+K70</f>
        <v>0</v>
      </c>
      <c r="M70" s="5">
        <f t="shared" ref="M70:N70" si="67">+M71+M72</f>
        <v>0</v>
      </c>
      <c r="N70" s="5">
        <f t="shared" si="67"/>
        <v>0</v>
      </c>
      <c r="O70" s="5">
        <f t="shared" ref="O70:O116" si="68">+M70+N70</f>
        <v>0</v>
      </c>
      <c r="P70" s="5">
        <f t="shared" ref="P70:P116" si="69">+I70-L70</f>
        <v>0</v>
      </c>
      <c r="Q70" s="5">
        <f t="shared" ref="Q70:Q116" si="70">+L70-O70</f>
        <v>0</v>
      </c>
    </row>
    <row r="71" spans="2:17" x14ac:dyDescent="0.3">
      <c r="B71" s="2" t="s">
        <v>276</v>
      </c>
      <c r="C71" s="16" t="s">
        <v>271</v>
      </c>
      <c r="D71" s="1">
        <v>0</v>
      </c>
      <c r="E71" s="1">
        <v>0</v>
      </c>
      <c r="F71" s="1">
        <v>0</v>
      </c>
      <c r="G71" s="1">
        <v>0</v>
      </c>
      <c r="H71" s="1">
        <v>0</v>
      </c>
      <c r="I71" s="1">
        <f t="shared" ref="I71:I72" si="71">+D71+E71-F71+G71-H71</f>
        <v>0</v>
      </c>
      <c r="J71" s="1">
        <v>0</v>
      </c>
      <c r="K71" s="1">
        <v>0</v>
      </c>
      <c r="L71" s="26">
        <f t="shared" si="66"/>
        <v>0</v>
      </c>
      <c r="M71" s="1">
        <v>0</v>
      </c>
      <c r="N71" s="1">
        <v>0</v>
      </c>
      <c r="O71" s="26">
        <f t="shared" si="68"/>
        <v>0</v>
      </c>
      <c r="P71" s="26">
        <f t="shared" si="69"/>
        <v>0</v>
      </c>
      <c r="Q71" s="26">
        <f t="shared" si="70"/>
        <v>0</v>
      </c>
    </row>
    <row r="72" spans="2:17" x14ac:dyDescent="0.3">
      <c r="B72" s="2" t="s">
        <v>277</v>
      </c>
      <c r="C72" s="16" t="s">
        <v>278</v>
      </c>
      <c r="D72" s="1">
        <v>0</v>
      </c>
      <c r="E72" s="1">
        <v>0</v>
      </c>
      <c r="F72" s="1">
        <v>0</v>
      </c>
      <c r="G72" s="1">
        <v>0</v>
      </c>
      <c r="H72" s="1">
        <v>0</v>
      </c>
      <c r="I72" s="1">
        <f t="shared" si="71"/>
        <v>0</v>
      </c>
      <c r="J72" s="1">
        <v>0</v>
      </c>
      <c r="K72" s="1">
        <v>0</v>
      </c>
      <c r="L72" s="26">
        <f t="shared" si="66"/>
        <v>0</v>
      </c>
      <c r="M72" s="1">
        <v>0</v>
      </c>
      <c r="N72" s="1">
        <v>0</v>
      </c>
      <c r="O72" s="26">
        <f t="shared" si="68"/>
        <v>0</v>
      </c>
      <c r="P72" s="26">
        <f t="shared" si="69"/>
        <v>0</v>
      </c>
      <c r="Q72" s="26">
        <f t="shared" si="70"/>
        <v>0</v>
      </c>
    </row>
    <row r="73" spans="2:17" x14ac:dyDescent="0.3">
      <c r="B73" s="3" t="s">
        <v>210</v>
      </c>
      <c r="C73" s="18" t="s">
        <v>279</v>
      </c>
      <c r="D73" s="5">
        <f t="shared" ref="D73:N73" si="72">+D74</f>
        <v>0</v>
      </c>
      <c r="E73" s="5">
        <f t="shared" si="72"/>
        <v>0</v>
      </c>
      <c r="F73" s="5">
        <f t="shared" si="72"/>
        <v>0</v>
      </c>
      <c r="G73" s="5">
        <f t="shared" si="72"/>
        <v>0</v>
      </c>
      <c r="H73" s="5">
        <f t="shared" si="72"/>
        <v>0</v>
      </c>
      <c r="I73" s="5">
        <f t="shared" si="72"/>
        <v>0</v>
      </c>
      <c r="J73" s="5">
        <f t="shared" si="72"/>
        <v>0</v>
      </c>
      <c r="K73" s="5">
        <f t="shared" si="72"/>
        <v>0</v>
      </c>
      <c r="L73" s="5">
        <f t="shared" si="66"/>
        <v>0</v>
      </c>
      <c r="M73" s="5">
        <f t="shared" si="72"/>
        <v>0</v>
      </c>
      <c r="N73" s="5">
        <f t="shared" si="72"/>
        <v>0</v>
      </c>
      <c r="O73" s="5">
        <f t="shared" si="68"/>
        <v>0</v>
      </c>
      <c r="P73" s="5">
        <f t="shared" si="69"/>
        <v>0</v>
      </c>
      <c r="Q73" s="5">
        <f t="shared" si="70"/>
        <v>0</v>
      </c>
    </row>
    <row r="74" spans="2:17" x14ac:dyDescent="0.3">
      <c r="B74" s="2" t="s">
        <v>211</v>
      </c>
      <c r="C74" s="16" t="s">
        <v>356</v>
      </c>
      <c r="D74" s="1">
        <v>0</v>
      </c>
      <c r="E74" s="1">
        <v>0</v>
      </c>
      <c r="F74" s="1">
        <v>0</v>
      </c>
      <c r="G74" s="1">
        <v>0</v>
      </c>
      <c r="H74" s="1">
        <v>0</v>
      </c>
      <c r="I74" s="1">
        <f t="shared" ref="I74" si="73">+D74+E74-F74+G74-H74</f>
        <v>0</v>
      </c>
      <c r="J74" s="1">
        <v>0</v>
      </c>
      <c r="K74" s="1">
        <v>0</v>
      </c>
      <c r="L74" s="26">
        <f t="shared" si="66"/>
        <v>0</v>
      </c>
      <c r="M74" s="1">
        <v>0</v>
      </c>
      <c r="N74" s="1">
        <v>0</v>
      </c>
      <c r="O74" s="26">
        <f t="shared" si="68"/>
        <v>0</v>
      </c>
      <c r="P74" s="26">
        <f t="shared" si="69"/>
        <v>0</v>
      </c>
      <c r="Q74" s="26">
        <f t="shared" si="70"/>
        <v>0</v>
      </c>
    </row>
    <row r="75" spans="2:17" x14ac:dyDescent="0.3">
      <c r="B75" s="10" t="s">
        <v>212</v>
      </c>
      <c r="C75" s="17" t="s">
        <v>280</v>
      </c>
      <c r="D75" s="9">
        <f t="shared" ref="D75:K75" si="74">+D76+D89</f>
        <v>78021300</v>
      </c>
      <c r="E75" s="9">
        <f t="shared" si="74"/>
        <v>0</v>
      </c>
      <c r="F75" s="9">
        <f t="shared" si="74"/>
        <v>0</v>
      </c>
      <c r="G75" s="9">
        <f t="shared" si="74"/>
        <v>0</v>
      </c>
      <c r="H75" s="9">
        <f t="shared" si="74"/>
        <v>0</v>
      </c>
      <c r="I75" s="9">
        <f t="shared" si="74"/>
        <v>78021300</v>
      </c>
      <c r="J75" s="9">
        <f t="shared" si="74"/>
        <v>0</v>
      </c>
      <c r="K75" s="9">
        <f t="shared" si="74"/>
        <v>0</v>
      </c>
      <c r="L75" s="9">
        <f t="shared" si="66"/>
        <v>0</v>
      </c>
      <c r="M75" s="9">
        <f>+M76+M89</f>
        <v>0</v>
      </c>
      <c r="N75" s="9">
        <f>+N76+N89</f>
        <v>0</v>
      </c>
      <c r="O75" s="9">
        <f t="shared" si="68"/>
        <v>0</v>
      </c>
      <c r="P75" s="9">
        <f t="shared" si="69"/>
        <v>78021300</v>
      </c>
      <c r="Q75" s="9">
        <f t="shared" si="70"/>
        <v>0</v>
      </c>
    </row>
    <row r="76" spans="2:17" x14ac:dyDescent="0.3">
      <c r="B76" s="3" t="s">
        <v>213</v>
      </c>
      <c r="C76" s="18" t="s">
        <v>281</v>
      </c>
      <c r="D76" s="5">
        <f t="shared" ref="D76:J76" si="75">+D77+D80</f>
        <v>5000000</v>
      </c>
      <c r="E76" s="5">
        <f t="shared" si="75"/>
        <v>0</v>
      </c>
      <c r="F76" s="5">
        <f t="shared" si="75"/>
        <v>0</v>
      </c>
      <c r="G76" s="5">
        <f t="shared" si="75"/>
        <v>0</v>
      </c>
      <c r="H76" s="5">
        <f t="shared" si="75"/>
        <v>0</v>
      </c>
      <c r="I76" s="5">
        <f t="shared" si="75"/>
        <v>5000000</v>
      </c>
      <c r="J76" s="5">
        <f t="shared" si="75"/>
        <v>0</v>
      </c>
      <c r="K76" s="5">
        <f t="shared" ref="K76" si="76">+K77+K80</f>
        <v>0</v>
      </c>
      <c r="L76" s="5">
        <f t="shared" si="66"/>
        <v>0</v>
      </c>
      <c r="M76" s="5">
        <f t="shared" ref="M76:N76" si="77">+M77+M80</f>
        <v>0</v>
      </c>
      <c r="N76" s="5">
        <f t="shared" si="77"/>
        <v>0</v>
      </c>
      <c r="O76" s="5">
        <f t="shared" si="68"/>
        <v>0</v>
      </c>
      <c r="P76" s="5">
        <f t="shared" si="69"/>
        <v>5000000</v>
      </c>
      <c r="Q76" s="5">
        <f t="shared" si="70"/>
        <v>0</v>
      </c>
    </row>
    <row r="77" spans="2:17" x14ac:dyDescent="0.3">
      <c r="B77" s="3" t="s">
        <v>214</v>
      </c>
      <c r="C77" s="18" t="s">
        <v>282</v>
      </c>
      <c r="D77" s="5">
        <f t="shared" ref="D77:J77" si="78">+D78+D79</f>
        <v>0</v>
      </c>
      <c r="E77" s="5">
        <f t="shared" si="78"/>
        <v>0</v>
      </c>
      <c r="F77" s="5">
        <f t="shared" si="78"/>
        <v>0</v>
      </c>
      <c r="G77" s="5">
        <f t="shared" si="78"/>
        <v>0</v>
      </c>
      <c r="H77" s="5">
        <f t="shared" si="78"/>
        <v>0</v>
      </c>
      <c r="I77" s="5">
        <f t="shared" si="78"/>
        <v>0</v>
      </c>
      <c r="J77" s="5">
        <f t="shared" si="78"/>
        <v>0</v>
      </c>
      <c r="K77" s="5">
        <f t="shared" ref="K77" si="79">+K78+K79</f>
        <v>0</v>
      </c>
      <c r="L77" s="5">
        <f t="shared" si="66"/>
        <v>0</v>
      </c>
      <c r="M77" s="5">
        <f t="shared" ref="M77:N77" si="80">+M78+M79</f>
        <v>0</v>
      </c>
      <c r="N77" s="5">
        <f t="shared" si="80"/>
        <v>0</v>
      </c>
      <c r="O77" s="5">
        <f t="shared" si="68"/>
        <v>0</v>
      </c>
      <c r="P77" s="5">
        <f t="shared" si="69"/>
        <v>0</v>
      </c>
      <c r="Q77" s="5">
        <f t="shared" si="70"/>
        <v>0</v>
      </c>
    </row>
    <row r="78" spans="2:17" x14ac:dyDescent="0.3">
      <c r="B78" s="2" t="s">
        <v>215</v>
      </c>
      <c r="C78" s="16" t="s">
        <v>283</v>
      </c>
      <c r="D78" s="1">
        <v>0</v>
      </c>
      <c r="E78" s="1">
        <v>0</v>
      </c>
      <c r="F78" s="1">
        <v>0</v>
      </c>
      <c r="G78" s="1">
        <v>0</v>
      </c>
      <c r="H78" s="1">
        <v>0</v>
      </c>
      <c r="I78" s="1">
        <f t="shared" ref="I78:I79" si="81">+D78+E78-F78+G78-H78</f>
        <v>0</v>
      </c>
      <c r="J78" s="1">
        <v>0</v>
      </c>
      <c r="K78" s="1">
        <v>0</v>
      </c>
      <c r="L78" s="26">
        <f t="shared" si="66"/>
        <v>0</v>
      </c>
      <c r="M78" s="1">
        <v>0</v>
      </c>
      <c r="N78" s="1">
        <v>0</v>
      </c>
      <c r="O78" s="26">
        <f t="shared" si="68"/>
        <v>0</v>
      </c>
      <c r="P78" s="26">
        <f t="shared" si="69"/>
        <v>0</v>
      </c>
      <c r="Q78" s="26">
        <f t="shared" si="70"/>
        <v>0</v>
      </c>
    </row>
    <row r="79" spans="2:17" x14ac:dyDescent="0.3">
      <c r="B79" s="2" t="s">
        <v>216</v>
      </c>
      <c r="C79" s="16" t="s">
        <v>284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1">
        <f t="shared" si="81"/>
        <v>0</v>
      </c>
      <c r="J79" s="1">
        <v>0</v>
      </c>
      <c r="K79" s="1">
        <v>0</v>
      </c>
      <c r="L79" s="26">
        <f t="shared" si="66"/>
        <v>0</v>
      </c>
      <c r="M79" s="1">
        <v>0</v>
      </c>
      <c r="N79" s="1">
        <v>0</v>
      </c>
      <c r="O79" s="26">
        <f t="shared" si="68"/>
        <v>0</v>
      </c>
      <c r="P79" s="26">
        <f t="shared" si="69"/>
        <v>0</v>
      </c>
      <c r="Q79" s="26">
        <f t="shared" si="70"/>
        <v>0</v>
      </c>
    </row>
    <row r="80" spans="2:17" x14ac:dyDescent="0.3">
      <c r="B80" s="3" t="s">
        <v>217</v>
      </c>
      <c r="C80" s="18" t="s">
        <v>285</v>
      </c>
      <c r="D80" s="5">
        <f>+D81+D82+D83+D84+D85+D86+D87+D88</f>
        <v>5000000</v>
      </c>
      <c r="E80" s="5">
        <f t="shared" ref="E80:I80" si="82">+E81+E82+E83+E84+E85+E86+E87+E88</f>
        <v>0</v>
      </c>
      <c r="F80" s="5">
        <f t="shared" si="82"/>
        <v>0</v>
      </c>
      <c r="G80" s="5">
        <f t="shared" si="82"/>
        <v>0</v>
      </c>
      <c r="H80" s="5">
        <f t="shared" si="82"/>
        <v>0</v>
      </c>
      <c r="I80" s="5">
        <f t="shared" si="82"/>
        <v>5000000</v>
      </c>
      <c r="J80" s="5">
        <f t="shared" ref="J80" si="83">+J81+J82+J83+J84+J85+J86+J87+J88</f>
        <v>0</v>
      </c>
      <c r="K80" s="5">
        <f t="shared" ref="K80" si="84">+K81+K82+K83+K84+K85+K86+K87+K88</f>
        <v>0</v>
      </c>
      <c r="L80" s="5">
        <f>+J80+K80</f>
        <v>0</v>
      </c>
      <c r="M80" s="5">
        <f>+M81+M82+M83+M84+M85+M86+M87+M88</f>
        <v>0</v>
      </c>
      <c r="N80" s="5">
        <f>+N81+N82+N83+N84+N85+N86+N87+N88</f>
        <v>0</v>
      </c>
      <c r="O80" s="5">
        <f t="shared" si="68"/>
        <v>0</v>
      </c>
      <c r="P80" s="5">
        <f t="shared" si="69"/>
        <v>5000000</v>
      </c>
      <c r="Q80" s="5">
        <f t="shared" si="70"/>
        <v>0</v>
      </c>
    </row>
    <row r="81" spans="2:17" x14ac:dyDescent="0.3">
      <c r="B81" s="2" t="s">
        <v>218</v>
      </c>
      <c r="C81" s="16" t="s">
        <v>286</v>
      </c>
      <c r="D81" s="1">
        <v>2000000</v>
      </c>
      <c r="E81" s="1">
        <v>0</v>
      </c>
      <c r="F81" s="1">
        <v>0</v>
      </c>
      <c r="G81" s="1">
        <v>0</v>
      </c>
      <c r="H81" s="1">
        <v>0</v>
      </c>
      <c r="I81" s="1">
        <f>+D81+E81-F81+G81-H81</f>
        <v>2000000</v>
      </c>
      <c r="J81" s="1">
        <v>0</v>
      </c>
      <c r="K81" s="1">
        <v>0</v>
      </c>
      <c r="L81" s="26">
        <f t="shared" si="66"/>
        <v>0</v>
      </c>
      <c r="M81" s="1">
        <v>0</v>
      </c>
      <c r="N81" s="1">
        <v>0</v>
      </c>
      <c r="O81" s="26">
        <f t="shared" si="68"/>
        <v>0</v>
      </c>
      <c r="P81" s="26">
        <f t="shared" si="69"/>
        <v>2000000</v>
      </c>
      <c r="Q81" s="26">
        <f t="shared" si="70"/>
        <v>0</v>
      </c>
    </row>
    <row r="82" spans="2:17" x14ac:dyDescent="0.3">
      <c r="B82" s="2" t="s">
        <v>219</v>
      </c>
      <c r="C82" s="16" t="s">
        <v>287</v>
      </c>
      <c r="D82" s="1">
        <v>3000000</v>
      </c>
      <c r="E82" s="1">
        <v>0</v>
      </c>
      <c r="F82" s="1">
        <v>0</v>
      </c>
      <c r="G82" s="1">
        <v>0</v>
      </c>
      <c r="H82" s="1">
        <v>0</v>
      </c>
      <c r="I82" s="1">
        <f t="shared" ref="I82:I88" si="85">+D82+E82-F82+G82-H82</f>
        <v>3000000</v>
      </c>
      <c r="J82" s="1">
        <v>0</v>
      </c>
      <c r="K82" s="1">
        <v>0</v>
      </c>
      <c r="L82" s="26">
        <f t="shared" si="66"/>
        <v>0</v>
      </c>
      <c r="M82" s="1">
        <v>0</v>
      </c>
      <c r="N82" s="1">
        <v>0</v>
      </c>
      <c r="O82" s="26">
        <f t="shared" si="68"/>
        <v>0</v>
      </c>
      <c r="P82" s="26">
        <f t="shared" si="69"/>
        <v>3000000</v>
      </c>
      <c r="Q82" s="26">
        <f t="shared" si="70"/>
        <v>0</v>
      </c>
    </row>
    <row r="83" spans="2:17" x14ac:dyDescent="0.3">
      <c r="B83" s="2" t="s">
        <v>220</v>
      </c>
      <c r="C83" s="16" t="s">
        <v>358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f t="shared" si="85"/>
        <v>0</v>
      </c>
      <c r="J83" s="1">
        <v>0</v>
      </c>
      <c r="K83" s="1">
        <v>0</v>
      </c>
      <c r="L83" s="26">
        <f t="shared" si="66"/>
        <v>0</v>
      </c>
      <c r="M83" s="1">
        <v>0</v>
      </c>
      <c r="N83" s="1">
        <v>0</v>
      </c>
      <c r="O83" s="26">
        <f t="shared" si="68"/>
        <v>0</v>
      </c>
      <c r="P83" s="26">
        <f t="shared" si="69"/>
        <v>0</v>
      </c>
      <c r="Q83" s="26">
        <f t="shared" si="70"/>
        <v>0</v>
      </c>
    </row>
    <row r="84" spans="2:17" x14ac:dyDescent="0.3">
      <c r="B84" s="2" t="s">
        <v>221</v>
      </c>
      <c r="C84" s="16" t="s">
        <v>288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f t="shared" si="85"/>
        <v>0</v>
      </c>
      <c r="J84" s="1">
        <v>0</v>
      </c>
      <c r="K84" s="1">
        <v>0</v>
      </c>
      <c r="L84" s="26">
        <f t="shared" si="66"/>
        <v>0</v>
      </c>
      <c r="M84" s="1">
        <v>0</v>
      </c>
      <c r="N84" s="1">
        <v>0</v>
      </c>
      <c r="O84" s="26">
        <f t="shared" si="68"/>
        <v>0</v>
      </c>
      <c r="P84" s="26">
        <f t="shared" si="69"/>
        <v>0</v>
      </c>
      <c r="Q84" s="26">
        <f t="shared" si="70"/>
        <v>0</v>
      </c>
    </row>
    <row r="85" spans="2:17" x14ac:dyDescent="0.3">
      <c r="B85" s="2" t="s">
        <v>222</v>
      </c>
      <c r="C85" s="16" t="s">
        <v>289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f t="shared" si="85"/>
        <v>0</v>
      </c>
      <c r="J85" s="1">
        <v>0</v>
      </c>
      <c r="K85" s="1">
        <v>0</v>
      </c>
      <c r="L85" s="26">
        <f t="shared" si="66"/>
        <v>0</v>
      </c>
      <c r="M85" s="1">
        <v>0</v>
      </c>
      <c r="N85" s="1">
        <v>0</v>
      </c>
      <c r="O85" s="26">
        <f t="shared" si="68"/>
        <v>0</v>
      </c>
      <c r="P85" s="26">
        <f t="shared" si="69"/>
        <v>0</v>
      </c>
      <c r="Q85" s="26">
        <f t="shared" si="70"/>
        <v>0</v>
      </c>
    </row>
    <row r="86" spans="2:17" x14ac:dyDescent="0.3">
      <c r="B86" s="2" t="s">
        <v>223</v>
      </c>
      <c r="C86" s="16" t="s">
        <v>290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f t="shared" si="85"/>
        <v>0</v>
      </c>
      <c r="J86" s="1">
        <v>0</v>
      </c>
      <c r="K86" s="1">
        <v>0</v>
      </c>
      <c r="L86" s="26">
        <f t="shared" si="66"/>
        <v>0</v>
      </c>
      <c r="M86" s="1">
        <v>0</v>
      </c>
      <c r="N86" s="1">
        <v>0</v>
      </c>
      <c r="O86" s="26">
        <f t="shared" si="68"/>
        <v>0</v>
      </c>
      <c r="P86" s="26">
        <f t="shared" si="69"/>
        <v>0</v>
      </c>
      <c r="Q86" s="26">
        <f t="shared" si="70"/>
        <v>0</v>
      </c>
    </row>
    <row r="87" spans="2:17" x14ac:dyDescent="0.3">
      <c r="B87" s="2" t="s">
        <v>224</v>
      </c>
      <c r="C87" s="16" t="s">
        <v>291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f t="shared" si="85"/>
        <v>0</v>
      </c>
      <c r="J87" s="1">
        <v>0</v>
      </c>
      <c r="K87" s="1">
        <v>0</v>
      </c>
      <c r="L87" s="26">
        <f t="shared" si="66"/>
        <v>0</v>
      </c>
      <c r="M87" s="1">
        <v>0</v>
      </c>
      <c r="N87" s="1">
        <v>0</v>
      </c>
      <c r="O87" s="26">
        <f t="shared" si="68"/>
        <v>0</v>
      </c>
      <c r="P87" s="26">
        <f t="shared" si="69"/>
        <v>0</v>
      </c>
      <c r="Q87" s="26">
        <f t="shared" si="70"/>
        <v>0</v>
      </c>
    </row>
    <row r="88" spans="2:17" x14ac:dyDescent="0.3">
      <c r="B88" s="2" t="s">
        <v>355</v>
      </c>
      <c r="C88" s="16" t="s">
        <v>292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f t="shared" si="85"/>
        <v>0</v>
      </c>
      <c r="J88" s="1">
        <v>0</v>
      </c>
      <c r="K88" s="1">
        <v>0</v>
      </c>
      <c r="L88" s="26">
        <f t="shared" si="66"/>
        <v>0</v>
      </c>
      <c r="M88" s="1">
        <v>0</v>
      </c>
      <c r="N88" s="1">
        <v>0</v>
      </c>
      <c r="O88" s="26">
        <f t="shared" si="68"/>
        <v>0</v>
      </c>
      <c r="P88" s="26">
        <f t="shared" si="69"/>
        <v>0</v>
      </c>
      <c r="Q88" s="26">
        <f t="shared" si="70"/>
        <v>0</v>
      </c>
    </row>
    <row r="89" spans="2:17" x14ac:dyDescent="0.3">
      <c r="B89" s="3" t="s">
        <v>225</v>
      </c>
      <c r="C89" s="18" t="s">
        <v>293</v>
      </c>
      <c r="D89" s="5">
        <f t="shared" ref="D89:J89" si="86">+D90+D93+D101+D105+D113</f>
        <v>73021300</v>
      </c>
      <c r="E89" s="5">
        <f t="shared" si="86"/>
        <v>0</v>
      </c>
      <c r="F89" s="5">
        <f t="shared" si="86"/>
        <v>0</v>
      </c>
      <c r="G89" s="5">
        <f t="shared" si="86"/>
        <v>0</v>
      </c>
      <c r="H89" s="5">
        <f t="shared" si="86"/>
        <v>0</v>
      </c>
      <c r="I89" s="5">
        <f t="shared" si="86"/>
        <v>73021300</v>
      </c>
      <c r="J89" s="5">
        <f t="shared" si="86"/>
        <v>0</v>
      </c>
      <c r="K89" s="5">
        <f t="shared" ref="K89" si="87">+K90+K93+K101+K105+K113</f>
        <v>0</v>
      </c>
      <c r="L89" s="5">
        <f t="shared" si="66"/>
        <v>0</v>
      </c>
      <c r="M89" s="5">
        <f t="shared" ref="M89:N89" si="88">+M90+M93+M101+M105+M113</f>
        <v>0</v>
      </c>
      <c r="N89" s="5">
        <f t="shared" si="88"/>
        <v>0</v>
      </c>
      <c r="O89" s="5">
        <f t="shared" si="68"/>
        <v>0</v>
      </c>
      <c r="P89" s="5">
        <f t="shared" si="69"/>
        <v>73021300</v>
      </c>
      <c r="Q89" s="5">
        <f t="shared" si="70"/>
        <v>0</v>
      </c>
    </row>
    <row r="90" spans="2:17" x14ac:dyDescent="0.3">
      <c r="B90" s="3" t="s">
        <v>226</v>
      </c>
      <c r="C90" s="18" t="s">
        <v>294</v>
      </c>
      <c r="D90" s="5">
        <f t="shared" ref="D90:J90" si="89">+D91+D92</f>
        <v>55000000</v>
      </c>
      <c r="E90" s="5">
        <f t="shared" si="89"/>
        <v>0</v>
      </c>
      <c r="F90" s="5">
        <f t="shared" si="89"/>
        <v>0</v>
      </c>
      <c r="G90" s="5">
        <f t="shared" si="89"/>
        <v>0</v>
      </c>
      <c r="H90" s="5">
        <f t="shared" si="89"/>
        <v>0</v>
      </c>
      <c r="I90" s="5">
        <f t="shared" si="89"/>
        <v>55000000</v>
      </c>
      <c r="J90" s="5">
        <f t="shared" si="89"/>
        <v>0</v>
      </c>
      <c r="K90" s="5">
        <f t="shared" ref="K90" si="90">+K91+K92</f>
        <v>0</v>
      </c>
      <c r="L90" s="5">
        <f t="shared" si="66"/>
        <v>0</v>
      </c>
      <c r="M90" s="5">
        <f t="shared" ref="M90:N90" si="91">+M91+M92</f>
        <v>0</v>
      </c>
      <c r="N90" s="5">
        <f t="shared" si="91"/>
        <v>0</v>
      </c>
      <c r="O90" s="5">
        <f t="shared" si="68"/>
        <v>0</v>
      </c>
      <c r="P90" s="5">
        <f t="shared" si="69"/>
        <v>55000000</v>
      </c>
      <c r="Q90" s="5">
        <f t="shared" si="70"/>
        <v>0</v>
      </c>
    </row>
    <row r="91" spans="2:17" x14ac:dyDescent="0.3">
      <c r="B91" s="2" t="s">
        <v>227</v>
      </c>
      <c r="C91" s="16" t="s">
        <v>295</v>
      </c>
      <c r="D91" s="1">
        <v>20000000</v>
      </c>
      <c r="E91" s="1">
        <v>0</v>
      </c>
      <c r="F91" s="1">
        <v>0</v>
      </c>
      <c r="G91" s="1">
        <v>0</v>
      </c>
      <c r="H91" s="1">
        <v>0</v>
      </c>
      <c r="I91" s="1">
        <f t="shared" ref="I91:I92" si="92">+D91+E91-F91+G91-H91</f>
        <v>20000000</v>
      </c>
      <c r="J91" s="1">
        <v>0</v>
      </c>
      <c r="K91" s="1">
        <v>0</v>
      </c>
      <c r="L91" s="26">
        <f t="shared" si="66"/>
        <v>0</v>
      </c>
      <c r="M91" s="1">
        <v>0</v>
      </c>
      <c r="N91" s="1">
        <v>0</v>
      </c>
      <c r="O91" s="26">
        <f t="shared" si="68"/>
        <v>0</v>
      </c>
      <c r="P91" s="26">
        <f t="shared" si="69"/>
        <v>20000000</v>
      </c>
      <c r="Q91" s="26">
        <f t="shared" si="70"/>
        <v>0</v>
      </c>
    </row>
    <row r="92" spans="2:17" x14ac:dyDescent="0.3">
      <c r="B92" s="2" t="s">
        <v>228</v>
      </c>
      <c r="C92" s="16" t="s">
        <v>296</v>
      </c>
      <c r="D92" s="1">
        <v>35000000</v>
      </c>
      <c r="E92" s="1">
        <v>0</v>
      </c>
      <c r="F92" s="1">
        <v>0</v>
      </c>
      <c r="G92" s="1">
        <v>0</v>
      </c>
      <c r="H92" s="1">
        <v>0</v>
      </c>
      <c r="I92" s="1">
        <f t="shared" si="92"/>
        <v>35000000</v>
      </c>
      <c r="J92" s="1">
        <v>0</v>
      </c>
      <c r="K92" s="1">
        <v>0</v>
      </c>
      <c r="L92" s="26">
        <f t="shared" si="66"/>
        <v>0</v>
      </c>
      <c r="M92" s="1">
        <v>0</v>
      </c>
      <c r="N92" s="1">
        <v>0</v>
      </c>
      <c r="O92" s="26">
        <f t="shared" si="68"/>
        <v>0</v>
      </c>
      <c r="P92" s="26">
        <f t="shared" si="69"/>
        <v>35000000</v>
      </c>
      <c r="Q92" s="26">
        <f t="shared" si="70"/>
        <v>0</v>
      </c>
    </row>
    <row r="93" spans="2:17" x14ac:dyDescent="0.3">
      <c r="B93" s="3" t="s">
        <v>229</v>
      </c>
      <c r="C93" s="18" t="s">
        <v>297</v>
      </c>
      <c r="D93" s="5">
        <f t="shared" ref="D93:K93" si="93">+D94+D95+D96+D97+D98+D99+D100</f>
        <v>11021300</v>
      </c>
      <c r="E93" s="5">
        <f t="shared" si="93"/>
        <v>0</v>
      </c>
      <c r="F93" s="5">
        <f t="shared" si="93"/>
        <v>0</v>
      </c>
      <c r="G93" s="5">
        <f t="shared" si="93"/>
        <v>0</v>
      </c>
      <c r="H93" s="5">
        <f t="shared" si="93"/>
        <v>0</v>
      </c>
      <c r="I93" s="5">
        <f t="shared" si="93"/>
        <v>11021300</v>
      </c>
      <c r="J93" s="5">
        <f t="shared" si="93"/>
        <v>0</v>
      </c>
      <c r="K93" s="5">
        <f t="shared" si="93"/>
        <v>0</v>
      </c>
      <c r="L93" s="5">
        <f>+J93+K93</f>
        <v>0</v>
      </c>
      <c r="M93" s="5">
        <f>+M94+M95+M96+M97+M98+M99+M100</f>
        <v>0</v>
      </c>
      <c r="N93" s="5">
        <f>+N94+N95+N96+N97+N98+N99+N100</f>
        <v>0</v>
      </c>
      <c r="O93" s="5">
        <f>+M93+N93</f>
        <v>0</v>
      </c>
      <c r="P93" s="5">
        <f>+I93-L93</f>
        <v>11021300</v>
      </c>
      <c r="Q93" s="5">
        <f>+L93-O93</f>
        <v>0</v>
      </c>
    </row>
    <row r="94" spans="2:17" x14ac:dyDescent="0.3">
      <c r="B94" s="2" t="s">
        <v>230</v>
      </c>
      <c r="C94" s="16" t="s">
        <v>298</v>
      </c>
      <c r="D94" s="1">
        <v>0</v>
      </c>
      <c r="E94" s="1">
        <v>0</v>
      </c>
      <c r="F94" s="1">
        <v>0</v>
      </c>
      <c r="G94" s="1">
        <v>0</v>
      </c>
      <c r="H94" s="1">
        <v>0</v>
      </c>
      <c r="I94" s="1">
        <f t="shared" ref="I94:I100" si="94">+D94+E94-F94+G94-H94</f>
        <v>0</v>
      </c>
      <c r="J94" s="1">
        <v>0</v>
      </c>
      <c r="K94" s="1">
        <v>0</v>
      </c>
      <c r="L94" s="26">
        <f t="shared" si="66"/>
        <v>0</v>
      </c>
      <c r="M94" s="1">
        <v>0</v>
      </c>
      <c r="N94" s="1">
        <v>0</v>
      </c>
      <c r="O94" s="26">
        <f t="shared" si="68"/>
        <v>0</v>
      </c>
      <c r="P94" s="26">
        <f t="shared" si="69"/>
        <v>0</v>
      </c>
      <c r="Q94" s="26">
        <f t="shared" si="70"/>
        <v>0</v>
      </c>
    </row>
    <row r="95" spans="2:17" x14ac:dyDescent="0.3">
      <c r="B95" s="2" t="s">
        <v>231</v>
      </c>
      <c r="C95" s="16" t="s">
        <v>359</v>
      </c>
      <c r="D95" s="1">
        <v>5000000</v>
      </c>
      <c r="E95" s="1">
        <v>0</v>
      </c>
      <c r="F95" s="1">
        <v>0</v>
      </c>
      <c r="G95" s="1">
        <v>0</v>
      </c>
      <c r="H95" s="1">
        <v>0</v>
      </c>
      <c r="I95" s="1">
        <f t="shared" si="94"/>
        <v>5000000</v>
      </c>
      <c r="J95" s="1">
        <v>0</v>
      </c>
      <c r="K95" s="1">
        <v>0</v>
      </c>
      <c r="L95" s="26">
        <f t="shared" si="66"/>
        <v>0</v>
      </c>
      <c r="M95" s="1">
        <v>0</v>
      </c>
      <c r="N95" s="1">
        <v>0</v>
      </c>
      <c r="O95" s="26">
        <f t="shared" si="68"/>
        <v>0</v>
      </c>
      <c r="P95" s="26">
        <f t="shared" si="69"/>
        <v>5000000</v>
      </c>
      <c r="Q95" s="26">
        <f t="shared" si="70"/>
        <v>0</v>
      </c>
    </row>
    <row r="96" spans="2:17" x14ac:dyDescent="0.3">
      <c r="B96" s="2" t="s">
        <v>232</v>
      </c>
      <c r="C96" s="16" t="s">
        <v>360</v>
      </c>
      <c r="D96" s="1">
        <v>0</v>
      </c>
      <c r="E96" s="1">
        <v>0</v>
      </c>
      <c r="F96" s="1">
        <v>0</v>
      </c>
      <c r="G96" s="1">
        <v>0</v>
      </c>
      <c r="H96" s="1">
        <v>0</v>
      </c>
      <c r="I96" s="1">
        <f t="shared" si="94"/>
        <v>0</v>
      </c>
      <c r="J96" s="1">
        <v>0</v>
      </c>
      <c r="K96" s="1">
        <v>0</v>
      </c>
      <c r="L96" s="26">
        <f t="shared" si="66"/>
        <v>0</v>
      </c>
      <c r="M96" s="1">
        <v>0</v>
      </c>
      <c r="N96" s="1">
        <v>0</v>
      </c>
      <c r="O96" s="26">
        <f t="shared" si="68"/>
        <v>0</v>
      </c>
      <c r="P96" s="26">
        <f t="shared" si="69"/>
        <v>0</v>
      </c>
      <c r="Q96" s="26">
        <f t="shared" si="70"/>
        <v>0</v>
      </c>
    </row>
    <row r="97" spans="2:17" x14ac:dyDescent="0.3">
      <c r="B97" s="2" t="s">
        <v>233</v>
      </c>
      <c r="C97" s="16" t="s">
        <v>299</v>
      </c>
      <c r="D97" s="1">
        <f>5000000+21300</f>
        <v>5021300</v>
      </c>
      <c r="E97" s="1">
        <v>0</v>
      </c>
      <c r="F97" s="1">
        <v>0</v>
      </c>
      <c r="G97" s="1">
        <v>0</v>
      </c>
      <c r="H97" s="1">
        <v>0</v>
      </c>
      <c r="I97" s="1">
        <f t="shared" si="94"/>
        <v>5021300</v>
      </c>
      <c r="J97" s="1">
        <v>0</v>
      </c>
      <c r="K97" s="1">
        <v>0</v>
      </c>
      <c r="L97" s="26">
        <f t="shared" si="66"/>
        <v>0</v>
      </c>
      <c r="M97" s="1">
        <v>0</v>
      </c>
      <c r="N97" s="1">
        <v>0</v>
      </c>
      <c r="O97" s="26">
        <f t="shared" si="68"/>
        <v>0</v>
      </c>
      <c r="P97" s="26">
        <f t="shared" si="69"/>
        <v>5021300</v>
      </c>
      <c r="Q97" s="26">
        <f t="shared" si="70"/>
        <v>0</v>
      </c>
    </row>
    <row r="98" spans="2:17" x14ac:dyDescent="0.3">
      <c r="B98" s="2" t="s">
        <v>234</v>
      </c>
      <c r="C98" s="16" t="s">
        <v>300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>
        <f t="shared" si="94"/>
        <v>0</v>
      </c>
      <c r="J98" s="1">
        <v>0</v>
      </c>
      <c r="K98" s="1">
        <v>0</v>
      </c>
      <c r="L98" s="26">
        <f t="shared" si="66"/>
        <v>0</v>
      </c>
      <c r="M98" s="1">
        <v>0</v>
      </c>
      <c r="N98" s="1">
        <v>0</v>
      </c>
      <c r="O98" s="26">
        <f t="shared" si="68"/>
        <v>0</v>
      </c>
      <c r="P98" s="26">
        <f t="shared" si="69"/>
        <v>0</v>
      </c>
      <c r="Q98" s="26">
        <f t="shared" si="70"/>
        <v>0</v>
      </c>
    </row>
    <row r="99" spans="2:17" x14ac:dyDescent="0.3">
      <c r="B99" s="2" t="s">
        <v>235</v>
      </c>
      <c r="C99" s="16" t="s">
        <v>301</v>
      </c>
      <c r="D99" s="1">
        <v>1000000</v>
      </c>
      <c r="E99" s="1">
        <v>0</v>
      </c>
      <c r="F99" s="1">
        <v>0</v>
      </c>
      <c r="G99" s="1">
        <v>0</v>
      </c>
      <c r="H99" s="1">
        <v>0</v>
      </c>
      <c r="I99" s="1">
        <f t="shared" si="94"/>
        <v>1000000</v>
      </c>
      <c r="J99" s="1">
        <v>0</v>
      </c>
      <c r="K99" s="1">
        <v>0</v>
      </c>
      <c r="L99" s="26">
        <f t="shared" si="66"/>
        <v>0</v>
      </c>
      <c r="M99" s="1">
        <v>0</v>
      </c>
      <c r="N99" s="1">
        <v>0</v>
      </c>
      <c r="O99" s="26">
        <f t="shared" si="68"/>
        <v>0</v>
      </c>
      <c r="P99" s="26">
        <f t="shared" si="69"/>
        <v>1000000</v>
      </c>
      <c r="Q99" s="26">
        <f t="shared" si="70"/>
        <v>0</v>
      </c>
    </row>
    <row r="100" spans="2:17" x14ac:dyDescent="0.3">
      <c r="B100" s="2" t="s">
        <v>354</v>
      </c>
      <c r="C100" s="16" t="s">
        <v>302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>
        <f t="shared" si="94"/>
        <v>0</v>
      </c>
      <c r="J100" s="1">
        <v>0</v>
      </c>
      <c r="K100" s="1">
        <v>0</v>
      </c>
      <c r="L100" s="26">
        <f t="shared" si="66"/>
        <v>0</v>
      </c>
      <c r="M100" s="1">
        <v>0</v>
      </c>
      <c r="N100" s="1">
        <v>0</v>
      </c>
      <c r="O100" s="26">
        <f t="shared" si="68"/>
        <v>0</v>
      </c>
      <c r="P100" s="26">
        <f t="shared" si="69"/>
        <v>0</v>
      </c>
      <c r="Q100" s="26">
        <f t="shared" si="70"/>
        <v>0</v>
      </c>
    </row>
    <row r="101" spans="2:17" x14ac:dyDescent="0.3">
      <c r="B101" s="3" t="s">
        <v>236</v>
      </c>
      <c r="C101" s="18" t="s">
        <v>303</v>
      </c>
      <c r="D101" s="5">
        <f t="shared" ref="D101:J101" si="95">+D102+D103+D104</f>
        <v>0</v>
      </c>
      <c r="E101" s="5">
        <f t="shared" si="95"/>
        <v>0</v>
      </c>
      <c r="F101" s="5">
        <f t="shared" si="95"/>
        <v>0</v>
      </c>
      <c r="G101" s="5">
        <f t="shared" si="95"/>
        <v>0</v>
      </c>
      <c r="H101" s="5">
        <f t="shared" si="95"/>
        <v>0</v>
      </c>
      <c r="I101" s="5">
        <f t="shared" si="95"/>
        <v>0</v>
      </c>
      <c r="J101" s="5">
        <f t="shared" si="95"/>
        <v>0</v>
      </c>
      <c r="K101" s="5">
        <f t="shared" ref="K101" si="96">+K102+K103+K104</f>
        <v>0</v>
      </c>
      <c r="L101" s="5">
        <f t="shared" si="66"/>
        <v>0</v>
      </c>
      <c r="M101" s="5">
        <f t="shared" ref="M101:N101" si="97">+M102+M103+M104</f>
        <v>0</v>
      </c>
      <c r="N101" s="5">
        <f t="shared" si="97"/>
        <v>0</v>
      </c>
      <c r="O101" s="5">
        <f t="shared" si="68"/>
        <v>0</v>
      </c>
      <c r="P101" s="5">
        <f t="shared" si="69"/>
        <v>0</v>
      </c>
      <c r="Q101" s="5">
        <f t="shared" si="70"/>
        <v>0</v>
      </c>
    </row>
    <row r="102" spans="2:17" x14ac:dyDescent="0.3">
      <c r="B102" s="2" t="s">
        <v>237</v>
      </c>
      <c r="C102" s="16" t="s">
        <v>304</v>
      </c>
      <c r="D102" s="1">
        <v>0</v>
      </c>
      <c r="E102" s="1">
        <v>0</v>
      </c>
      <c r="F102" s="1">
        <v>0</v>
      </c>
      <c r="G102" s="1">
        <v>0</v>
      </c>
      <c r="H102" s="1">
        <v>0</v>
      </c>
      <c r="I102" s="1">
        <f t="shared" ref="I102:I104" si="98">+D102+E102-F102+G102-H102</f>
        <v>0</v>
      </c>
      <c r="J102" s="1">
        <v>0</v>
      </c>
      <c r="K102" s="1">
        <v>0</v>
      </c>
      <c r="L102" s="26">
        <f t="shared" si="66"/>
        <v>0</v>
      </c>
      <c r="M102" s="1">
        <v>0</v>
      </c>
      <c r="N102" s="1">
        <v>0</v>
      </c>
      <c r="O102" s="26">
        <f t="shared" si="68"/>
        <v>0</v>
      </c>
      <c r="P102" s="26">
        <f t="shared" si="69"/>
        <v>0</v>
      </c>
      <c r="Q102" s="26">
        <f t="shared" si="70"/>
        <v>0</v>
      </c>
    </row>
    <row r="103" spans="2:17" x14ac:dyDescent="0.3">
      <c r="B103" s="2" t="s">
        <v>238</v>
      </c>
      <c r="C103" s="16" t="s">
        <v>305</v>
      </c>
      <c r="D103" s="1">
        <v>0</v>
      </c>
      <c r="E103" s="1">
        <v>0</v>
      </c>
      <c r="F103" s="1">
        <v>0</v>
      </c>
      <c r="G103" s="1">
        <v>0</v>
      </c>
      <c r="H103" s="1">
        <v>0</v>
      </c>
      <c r="I103" s="1">
        <f t="shared" si="98"/>
        <v>0</v>
      </c>
      <c r="J103" s="1">
        <v>0</v>
      </c>
      <c r="K103" s="1">
        <v>0</v>
      </c>
      <c r="L103" s="26">
        <f t="shared" si="66"/>
        <v>0</v>
      </c>
      <c r="M103" s="1">
        <v>0</v>
      </c>
      <c r="N103" s="1">
        <v>0</v>
      </c>
      <c r="O103" s="26">
        <f t="shared" si="68"/>
        <v>0</v>
      </c>
      <c r="P103" s="26">
        <f t="shared" si="69"/>
        <v>0</v>
      </c>
      <c r="Q103" s="26">
        <f t="shared" si="70"/>
        <v>0</v>
      </c>
    </row>
    <row r="104" spans="2:17" x14ac:dyDescent="0.3">
      <c r="B104" s="2" t="s">
        <v>239</v>
      </c>
      <c r="C104" s="16" t="s">
        <v>306</v>
      </c>
      <c r="D104" s="1">
        <v>0</v>
      </c>
      <c r="E104" s="1">
        <v>0</v>
      </c>
      <c r="F104" s="1">
        <v>0</v>
      </c>
      <c r="G104" s="1">
        <v>0</v>
      </c>
      <c r="H104" s="1">
        <v>0</v>
      </c>
      <c r="I104" s="1">
        <f t="shared" si="98"/>
        <v>0</v>
      </c>
      <c r="J104" s="1">
        <v>0</v>
      </c>
      <c r="K104" s="1">
        <v>0</v>
      </c>
      <c r="L104" s="26">
        <f t="shared" si="66"/>
        <v>0</v>
      </c>
      <c r="M104" s="1">
        <v>0</v>
      </c>
      <c r="N104" s="1">
        <v>0</v>
      </c>
      <c r="O104" s="26">
        <f t="shared" si="68"/>
        <v>0</v>
      </c>
      <c r="P104" s="26">
        <f t="shared" si="69"/>
        <v>0</v>
      </c>
      <c r="Q104" s="26">
        <f t="shared" si="70"/>
        <v>0</v>
      </c>
    </row>
    <row r="105" spans="2:17" x14ac:dyDescent="0.3">
      <c r="B105" s="3" t="s">
        <v>240</v>
      </c>
      <c r="C105" s="18" t="s">
        <v>307</v>
      </c>
      <c r="D105" s="5">
        <f t="shared" ref="D105:K105" si="99">+D106+D107+D108+D109+D110+D111+D112</f>
        <v>7000000</v>
      </c>
      <c r="E105" s="5">
        <f t="shared" si="99"/>
        <v>0</v>
      </c>
      <c r="F105" s="5">
        <f t="shared" si="99"/>
        <v>0</v>
      </c>
      <c r="G105" s="5">
        <f t="shared" si="99"/>
        <v>0</v>
      </c>
      <c r="H105" s="5">
        <f t="shared" si="99"/>
        <v>0</v>
      </c>
      <c r="I105" s="5">
        <f t="shared" si="99"/>
        <v>7000000</v>
      </c>
      <c r="J105" s="5">
        <f t="shared" si="99"/>
        <v>0</v>
      </c>
      <c r="K105" s="5">
        <f t="shared" si="99"/>
        <v>0</v>
      </c>
      <c r="L105" s="5">
        <f>+J105+K105</f>
        <v>0</v>
      </c>
      <c r="M105" s="5">
        <f>+M106+M107+M108+M109+M110+M111+M112</f>
        <v>0</v>
      </c>
      <c r="N105" s="5">
        <f>+N106+N107+N108+N109+N110+N111+N112</f>
        <v>0</v>
      </c>
      <c r="O105" s="5">
        <f>+M105+N105</f>
        <v>0</v>
      </c>
      <c r="P105" s="5">
        <f>+I105-L105</f>
        <v>7000000</v>
      </c>
      <c r="Q105" s="5">
        <f>+L105-O105</f>
        <v>0</v>
      </c>
    </row>
    <row r="106" spans="2:17" x14ac:dyDescent="0.3">
      <c r="B106" s="2" t="s">
        <v>241</v>
      </c>
      <c r="C106" s="16" t="s">
        <v>308</v>
      </c>
      <c r="D106" s="1">
        <v>0</v>
      </c>
      <c r="E106" s="1">
        <v>0</v>
      </c>
      <c r="F106" s="1">
        <v>0</v>
      </c>
      <c r="G106" s="1">
        <v>0</v>
      </c>
      <c r="H106" s="1">
        <v>0</v>
      </c>
      <c r="I106" s="1">
        <f t="shared" ref="I106:I112" si="100">+D106+E106-F106+G106-H106</f>
        <v>0</v>
      </c>
      <c r="J106" s="1">
        <v>0</v>
      </c>
      <c r="K106" s="1">
        <v>0</v>
      </c>
      <c r="L106" s="26">
        <f>+J106+K106</f>
        <v>0</v>
      </c>
      <c r="M106" s="1">
        <v>0</v>
      </c>
      <c r="N106" s="1">
        <v>0</v>
      </c>
      <c r="O106" s="26">
        <f t="shared" si="68"/>
        <v>0</v>
      </c>
      <c r="P106" s="26">
        <f t="shared" si="69"/>
        <v>0</v>
      </c>
      <c r="Q106" s="26">
        <f t="shared" si="70"/>
        <v>0</v>
      </c>
    </row>
    <row r="107" spans="2:17" x14ac:dyDescent="0.3">
      <c r="B107" s="2" t="s">
        <v>242</v>
      </c>
      <c r="C107" s="16" t="s">
        <v>309</v>
      </c>
      <c r="D107" s="1">
        <v>0</v>
      </c>
      <c r="E107" s="1">
        <v>0</v>
      </c>
      <c r="F107" s="1">
        <v>0</v>
      </c>
      <c r="G107" s="1">
        <v>0</v>
      </c>
      <c r="H107" s="1">
        <v>0</v>
      </c>
      <c r="I107" s="1">
        <f t="shared" si="100"/>
        <v>0</v>
      </c>
      <c r="J107" s="1">
        <v>0</v>
      </c>
      <c r="K107" s="1">
        <v>0</v>
      </c>
      <c r="L107" s="26">
        <f t="shared" si="66"/>
        <v>0</v>
      </c>
      <c r="M107" s="1">
        <v>0</v>
      </c>
      <c r="N107" s="1">
        <v>0</v>
      </c>
      <c r="O107" s="26">
        <f t="shared" si="68"/>
        <v>0</v>
      </c>
      <c r="P107" s="26">
        <f t="shared" si="69"/>
        <v>0</v>
      </c>
      <c r="Q107" s="26">
        <f t="shared" si="70"/>
        <v>0</v>
      </c>
    </row>
    <row r="108" spans="2:17" x14ac:dyDescent="0.3">
      <c r="B108" s="2" t="s">
        <v>243</v>
      </c>
      <c r="C108" s="16" t="s">
        <v>310</v>
      </c>
      <c r="D108" s="1">
        <v>0</v>
      </c>
      <c r="E108" s="1">
        <v>0</v>
      </c>
      <c r="F108" s="1">
        <v>0</v>
      </c>
      <c r="G108" s="1">
        <v>0</v>
      </c>
      <c r="H108" s="1">
        <v>0</v>
      </c>
      <c r="I108" s="1">
        <f t="shared" si="100"/>
        <v>0</v>
      </c>
      <c r="J108" s="1">
        <v>0</v>
      </c>
      <c r="K108" s="1">
        <v>0</v>
      </c>
      <c r="L108" s="26">
        <f t="shared" si="66"/>
        <v>0</v>
      </c>
      <c r="M108" s="1">
        <v>0</v>
      </c>
      <c r="N108" s="1">
        <v>0</v>
      </c>
      <c r="O108" s="26">
        <f t="shared" si="68"/>
        <v>0</v>
      </c>
      <c r="P108" s="26">
        <f t="shared" si="69"/>
        <v>0</v>
      </c>
      <c r="Q108" s="26">
        <f t="shared" si="70"/>
        <v>0</v>
      </c>
    </row>
    <row r="109" spans="2:17" x14ac:dyDescent="0.3">
      <c r="B109" s="2" t="s">
        <v>244</v>
      </c>
      <c r="C109" s="16" t="s">
        <v>311</v>
      </c>
      <c r="D109" s="1">
        <v>0</v>
      </c>
      <c r="E109" s="1">
        <v>0</v>
      </c>
      <c r="F109" s="1">
        <v>0</v>
      </c>
      <c r="G109" s="1">
        <v>0</v>
      </c>
      <c r="H109" s="1">
        <v>0</v>
      </c>
      <c r="I109" s="1">
        <f t="shared" si="100"/>
        <v>0</v>
      </c>
      <c r="J109" s="1">
        <v>0</v>
      </c>
      <c r="K109" s="1">
        <v>0</v>
      </c>
      <c r="L109" s="26">
        <f t="shared" si="66"/>
        <v>0</v>
      </c>
      <c r="M109" s="1">
        <v>0</v>
      </c>
      <c r="N109" s="1">
        <v>0</v>
      </c>
      <c r="O109" s="26">
        <f t="shared" si="68"/>
        <v>0</v>
      </c>
      <c r="P109" s="26">
        <f t="shared" si="69"/>
        <v>0</v>
      </c>
      <c r="Q109" s="26">
        <f t="shared" si="70"/>
        <v>0</v>
      </c>
    </row>
    <row r="110" spans="2:17" x14ac:dyDescent="0.3">
      <c r="B110" s="2" t="s">
        <v>245</v>
      </c>
      <c r="C110" s="20" t="s">
        <v>352</v>
      </c>
      <c r="D110" s="1">
        <v>7000000</v>
      </c>
      <c r="E110" s="1">
        <v>0</v>
      </c>
      <c r="F110" s="1">
        <v>0</v>
      </c>
      <c r="G110" s="1">
        <v>0</v>
      </c>
      <c r="H110" s="1">
        <v>0</v>
      </c>
      <c r="I110" s="1">
        <f t="shared" si="100"/>
        <v>7000000</v>
      </c>
      <c r="J110" s="1">
        <v>0</v>
      </c>
      <c r="K110" s="1">
        <v>0</v>
      </c>
      <c r="L110" s="26">
        <f>+J110+K110</f>
        <v>0</v>
      </c>
      <c r="M110" s="1">
        <v>0</v>
      </c>
      <c r="N110" s="1">
        <v>0</v>
      </c>
      <c r="O110" s="26">
        <f t="shared" si="68"/>
        <v>0</v>
      </c>
      <c r="P110" s="26">
        <f t="shared" si="69"/>
        <v>7000000</v>
      </c>
      <c r="Q110" s="26">
        <f t="shared" si="70"/>
        <v>0</v>
      </c>
    </row>
    <row r="111" spans="2:17" x14ac:dyDescent="0.3">
      <c r="B111" s="2" t="s">
        <v>246</v>
      </c>
      <c r="C111" s="20" t="s">
        <v>353</v>
      </c>
      <c r="D111" s="1">
        <v>0</v>
      </c>
      <c r="E111" s="1">
        <v>0</v>
      </c>
      <c r="F111" s="1">
        <v>0</v>
      </c>
      <c r="G111" s="1">
        <v>0</v>
      </c>
      <c r="H111" s="1">
        <v>0</v>
      </c>
      <c r="I111" s="1">
        <f t="shared" si="100"/>
        <v>0</v>
      </c>
      <c r="J111" s="1">
        <v>0</v>
      </c>
      <c r="K111" s="1">
        <v>0</v>
      </c>
      <c r="L111" s="26">
        <f>+J111+K111</f>
        <v>0</v>
      </c>
      <c r="M111" s="1">
        <v>0</v>
      </c>
      <c r="N111" s="1">
        <v>0</v>
      </c>
      <c r="O111" s="26">
        <f>+M111+N111</f>
        <v>0</v>
      </c>
      <c r="P111" s="26">
        <f t="shared" si="69"/>
        <v>0</v>
      </c>
      <c r="Q111" s="26">
        <f t="shared" si="70"/>
        <v>0</v>
      </c>
    </row>
    <row r="112" spans="2:17" x14ac:dyDescent="0.3">
      <c r="B112" s="2" t="s">
        <v>351</v>
      </c>
      <c r="C112" s="16" t="s">
        <v>330</v>
      </c>
      <c r="D112" s="1">
        <v>0</v>
      </c>
      <c r="E112" s="1">
        <v>0</v>
      </c>
      <c r="F112" s="1">
        <v>0</v>
      </c>
      <c r="G112" s="1">
        <v>0</v>
      </c>
      <c r="H112" s="1">
        <v>0</v>
      </c>
      <c r="I112" s="1">
        <f t="shared" si="100"/>
        <v>0</v>
      </c>
      <c r="J112" s="1">
        <v>0</v>
      </c>
      <c r="K112" s="1">
        <v>0</v>
      </c>
      <c r="L112" s="26">
        <f t="shared" si="66"/>
        <v>0</v>
      </c>
      <c r="M112" s="1">
        <v>0</v>
      </c>
      <c r="N112" s="1">
        <v>0</v>
      </c>
      <c r="O112" s="26">
        <f t="shared" si="68"/>
        <v>0</v>
      </c>
      <c r="P112" s="26">
        <f t="shared" si="69"/>
        <v>0</v>
      </c>
      <c r="Q112" s="26">
        <f t="shared" si="70"/>
        <v>0</v>
      </c>
    </row>
    <row r="113" spans="2:17" x14ac:dyDescent="0.3">
      <c r="B113" s="3" t="s">
        <v>247</v>
      </c>
      <c r="C113" s="18" t="s">
        <v>312</v>
      </c>
      <c r="D113" s="5">
        <f t="shared" ref="D113:J113" si="101">+D114+D115</f>
        <v>0</v>
      </c>
      <c r="E113" s="5">
        <f t="shared" si="101"/>
        <v>0</v>
      </c>
      <c r="F113" s="5">
        <f t="shared" si="101"/>
        <v>0</v>
      </c>
      <c r="G113" s="5">
        <f t="shared" si="101"/>
        <v>0</v>
      </c>
      <c r="H113" s="5">
        <f t="shared" si="101"/>
        <v>0</v>
      </c>
      <c r="I113" s="5">
        <f t="shared" si="101"/>
        <v>0</v>
      </c>
      <c r="J113" s="5">
        <f t="shared" si="101"/>
        <v>0</v>
      </c>
      <c r="K113" s="5">
        <f t="shared" ref="K113" si="102">+K114+K115</f>
        <v>0</v>
      </c>
      <c r="L113" s="5">
        <f t="shared" si="66"/>
        <v>0</v>
      </c>
      <c r="M113" s="5">
        <f t="shared" ref="M113:N113" si="103">+M114+M115</f>
        <v>0</v>
      </c>
      <c r="N113" s="5">
        <f t="shared" si="103"/>
        <v>0</v>
      </c>
      <c r="O113" s="5">
        <f t="shared" si="68"/>
        <v>0</v>
      </c>
      <c r="P113" s="5">
        <f t="shared" si="69"/>
        <v>0</v>
      </c>
      <c r="Q113" s="5">
        <f t="shared" si="70"/>
        <v>0</v>
      </c>
    </row>
    <row r="114" spans="2:17" x14ac:dyDescent="0.3">
      <c r="B114" s="2" t="s">
        <v>248</v>
      </c>
      <c r="C114" s="16" t="s">
        <v>313</v>
      </c>
      <c r="D114" s="1">
        <v>0</v>
      </c>
      <c r="E114" s="1">
        <v>0</v>
      </c>
      <c r="F114" s="1">
        <v>0</v>
      </c>
      <c r="G114" s="1">
        <v>0</v>
      </c>
      <c r="H114" s="1">
        <v>0</v>
      </c>
      <c r="I114" s="1">
        <f t="shared" ref="I114:I115" si="104">+D114+E114-F114+G114-H114</f>
        <v>0</v>
      </c>
      <c r="J114" s="1">
        <v>0</v>
      </c>
      <c r="K114" s="1">
        <v>0</v>
      </c>
      <c r="L114" s="26">
        <f t="shared" si="66"/>
        <v>0</v>
      </c>
      <c r="M114" s="1">
        <v>0</v>
      </c>
      <c r="N114" s="1">
        <v>0</v>
      </c>
      <c r="O114" s="26">
        <f t="shared" si="68"/>
        <v>0</v>
      </c>
      <c r="P114" s="26">
        <f t="shared" si="69"/>
        <v>0</v>
      </c>
      <c r="Q114" s="26">
        <f t="shared" si="70"/>
        <v>0</v>
      </c>
    </row>
    <row r="115" spans="2:17" x14ac:dyDescent="0.3">
      <c r="B115" s="2" t="s">
        <v>249</v>
      </c>
      <c r="C115" s="16" t="s">
        <v>314</v>
      </c>
      <c r="D115" s="1">
        <v>0</v>
      </c>
      <c r="E115" s="1">
        <v>0</v>
      </c>
      <c r="F115" s="1">
        <v>0</v>
      </c>
      <c r="G115" s="1">
        <v>0</v>
      </c>
      <c r="H115" s="1">
        <v>0</v>
      </c>
      <c r="I115" s="1">
        <f t="shared" si="104"/>
        <v>0</v>
      </c>
      <c r="J115" s="1">
        <v>0</v>
      </c>
      <c r="K115" s="1">
        <v>0</v>
      </c>
      <c r="L115" s="26">
        <f t="shared" si="66"/>
        <v>0</v>
      </c>
      <c r="M115" s="1">
        <v>0</v>
      </c>
      <c r="N115" s="1">
        <v>0</v>
      </c>
      <c r="O115" s="26">
        <f t="shared" si="68"/>
        <v>0</v>
      </c>
      <c r="P115" s="26">
        <f t="shared" si="69"/>
        <v>0</v>
      </c>
      <c r="Q115" s="26">
        <f t="shared" si="70"/>
        <v>0</v>
      </c>
    </row>
    <row r="116" spans="2:17" x14ac:dyDescent="0.3">
      <c r="B116" s="68" t="s">
        <v>329</v>
      </c>
      <c r="C116" s="68"/>
      <c r="D116" s="22">
        <f>+D5</f>
        <v>83021300</v>
      </c>
      <c r="E116" s="22">
        <f t="shared" ref="E116:J116" si="105">+E5</f>
        <v>0</v>
      </c>
      <c r="F116" s="22">
        <f t="shared" si="105"/>
        <v>0</v>
      </c>
      <c r="G116" s="22">
        <f t="shared" si="105"/>
        <v>0</v>
      </c>
      <c r="H116" s="22">
        <f t="shared" si="105"/>
        <v>0</v>
      </c>
      <c r="I116" s="22">
        <f t="shared" si="105"/>
        <v>83021300</v>
      </c>
      <c r="J116" s="22">
        <f t="shared" si="105"/>
        <v>0</v>
      </c>
      <c r="K116" s="22">
        <v>0</v>
      </c>
      <c r="L116" s="22">
        <f t="shared" si="66"/>
        <v>0</v>
      </c>
      <c r="M116" s="22">
        <f t="shared" ref="M116" si="106">+M5</f>
        <v>0</v>
      </c>
      <c r="N116" s="22">
        <v>0</v>
      </c>
      <c r="O116" s="22">
        <f t="shared" si="68"/>
        <v>0</v>
      </c>
      <c r="P116" s="22">
        <f t="shared" si="69"/>
        <v>83021300</v>
      </c>
      <c r="Q116" s="22">
        <f t="shared" si="70"/>
        <v>0</v>
      </c>
    </row>
    <row r="118" spans="2:17" x14ac:dyDescent="0.3">
      <c r="C118" s="23" t="s">
        <v>318</v>
      </c>
      <c r="D118" s="24">
        <f>+INGRESOS!D4-GASTOS!D5</f>
        <v>0</v>
      </c>
    </row>
  </sheetData>
  <mergeCells count="12">
    <mergeCell ref="M3:O3"/>
    <mergeCell ref="P3:Q3"/>
    <mergeCell ref="F3:F4"/>
    <mergeCell ref="G3:G4"/>
    <mergeCell ref="H3:H4"/>
    <mergeCell ref="I3:I4"/>
    <mergeCell ref="J3:L3"/>
    <mergeCell ref="B116:C116"/>
    <mergeCell ref="B3:B4"/>
    <mergeCell ref="C3:C4"/>
    <mergeCell ref="D3:D4"/>
    <mergeCell ref="E3:E4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8EEE1-5BAF-4EF7-B91A-C37366B7B81E}">
  <sheetPr codeName="Hoja11"/>
  <dimension ref="A1:E1000"/>
  <sheetViews>
    <sheetView workbookViewId="0"/>
  </sheetViews>
  <sheetFormatPr baseColWidth="10" defaultRowHeight="14.4" x14ac:dyDescent="0.3"/>
  <cols>
    <col min="1" max="1" width="25.77734375" customWidth="1"/>
    <col min="2" max="2" width="40.77734375" customWidth="1"/>
    <col min="3" max="3" width="60.77734375" customWidth="1"/>
    <col min="4" max="4" width="12.77734375" customWidth="1"/>
    <col min="5" max="5" width="14.77734375" customWidth="1"/>
  </cols>
  <sheetData>
    <row r="1" spans="1:5" x14ac:dyDescent="0.3">
      <c r="A1" s="47" t="s">
        <v>387</v>
      </c>
      <c r="B1" s="47" t="s">
        <v>388</v>
      </c>
      <c r="C1" s="47" t="s">
        <v>461</v>
      </c>
      <c r="D1" s="47" t="s">
        <v>462</v>
      </c>
      <c r="E1" s="47" t="s">
        <v>463</v>
      </c>
    </row>
    <row r="2" spans="1:5" x14ac:dyDescent="0.3">
      <c r="E2" s="36"/>
    </row>
    <row r="3" spans="1:5" x14ac:dyDescent="0.3">
      <c r="E3" s="36"/>
    </row>
    <row r="4" spans="1:5" x14ac:dyDescent="0.3">
      <c r="E4" s="36"/>
    </row>
    <row r="5" spans="1:5" x14ac:dyDescent="0.3">
      <c r="E5" s="36"/>
    </row>
    <row r="6" spans="1:5" x14ac:dyDescent="0.3">
      <c r="E6" s="36"/>
    </row>
    <row r="7" spans="1:5" x14ac:dyDescent="0.3">
      <c r="E7" s="36"/>
    </row>
    <row r="8" spans="1:5" x14ac:dyDescent="0.3">
      <c r="E8" s="36"/>
    </row>
    <row r="9" spans="1:5" x14ac:dyDescent="0.3">
      <c r="E9" s="36"/>
    </row>
    <row r="10" spans="1:5" x14ac:dyDescent="0.3">
      <c r="E10" s="36"/>
    </row>
    <row r="11" spans="1:5" x14ac:dyDescent="0.3">
      <c r="E11" s="36"/>
    </row>
    <row r="12" spans="1:5" x14ac:dyDescent="0.3">
      <c r="E12" s="36"/>
    </row>
    <row r="13" spans="1:5" x14ac:dyDescent="0.3">
      <c r="E13" s="36"/>
    </row>
    <row r="14" spans="1:5" x14ac:dyDescent="0.3">
      <c r="E14" s="36"/>
    </row>
    <row r="15" spans="1:5" x14ac:dyDescent="0.3">
      <c r="E15" s="36"/>
    </row>
    <row r="16" spans="1:5" x14ac:dyDescent="0.3">
      <c r="E16" s="36"/>
    </row>
    <row r="17" spans="5:5" x14ac:dyDescent="0.3">
      <c r="E17" s="36"/>
    </row>
    <row r="18" spans="5:5" x14ac:dyDescent="0.3">
      <c r="E18" s="36"/>
    </row>
    <row r="19" spans="5:5" x14ac:dyDescent="0.3">
      <c r="E19" s="36"/>
    </row>
    <row r="20" spans="5:5" x14ac:dyDescent="0.3">
      <c r="E20" s="36"/>
    </row>
    <row r="21" spans="5:5" x14ac:dyDescent="0.3">
      <c r="E21" s="36"/>
    </row>
    <row r="22" spans="5:5" x14ac:dyDescent="0.3">
      <c r="E22" s="36"/>
    </row>
    <row r="23" spans="5:5" x14ac:dyDescent="0.3">
      <c r="E23" s="36"/>
    </row>
    <row r="24" spans="5:5" x14ac:dyDescent="0.3">
      <c r="E24" s="36"/>
    </row>
    <row r="25" spans="5:5" x14ac:dyDescent="0.3">
      <c r="E25" s="36"/>
    </row>
    <row r="26" spans="5:5" x14ac:dyDescent="0.3">
      <c r="E26" s="36"/>
    </row>
    <row r="27" spans="5:5" x14ac:dyDescent="0.3">
      <c r="E27" s="36"/>
    </row>
    <row r="28" spans="5:5" x14ac:dyDescent="0.3">
      <c r="E28" s="36"/>
    </row>
    <row r="29" spans="5:5" x14ac:dyDescent="0.3">
      <c r="E29" s="36"/>
    </row>
    <row r="30" spans="5:5" x14ac:dyDescent="0.3">
      <c r="E30" s="36"/>
    </row>
    <row r="31" spans="5:5" x14ac:dyDescent="0.3">
      <c r="E31" s="36"/>
    </row>
    <row r="32" spans="5:5" x14ac:dyDescent="0.3">
      <c r="E32" s="36"/>
    </row>
    <row r="33" spans="5:5" x14ac:dyDescent="0.3">
      <c r="E33" s="36"/>
    </row>
    <row r="34" spans="5:5" x14ac:dyDescent="0.3">
      <c r="E34" s="36"/>
    </row>
    <row r="35" spans="5:5" x14ac:dyDescent="0.3">
      <c r="E35" s="36"/>
    </row>
    <row r="36" spans="5:5" x14ac:dyDescent="0.3">
      <c r="E36" s="36"/>
    </row>
    <row r="37" spans="5:5" x14ac:dyDescent="0.3">
      <c r="E37" s="36"/>
    </row>
    <row r="38" spans="5:5" x14ac:dyDescent="0.3">
      <c r="E38" s="36"/>
    </row>
    <row r="39" spans="5:5" x14ac:dyDescent="0.3">
      <c r="E39" s="36"/>
    </row>
    <row r="40" spans="5:5" x14ac:dyDescent="0.3">
      <c r="E40" s="36"/>
    </row>
    <row r="41" spans="5:5" x14ac:dyDescent="0.3">
      <c r="E41" s="36"/>
    </row>
    <row r="42" spans="5:5" x14ac:dyDescent="0.3">
      <c r="E42" s="36"/>
    </row>
    <row r="43" spans="5:5" x14ac:dyDescent="0.3">
      <c r="E43" s="36"/>
    </row>
    <row r="44" spans="5:5" x14ac:dyDescent="0.3">
      <c r="E44" s="36"/>
    </row>
    <row r="45" spans="5:5" x14ac:dyDescent="0.3">
      <c r="E45" s="36"/>
    </row>
    <row r="46" spans="5:5" x14ac:dyDescent="0.3">
      <c r="E46" s="36"/>
    </row>
    <row r="47" spans="5:5" x14ac:dyDescent="0.3">
      <c r="E47" s="36"/>
    </row>
    <row r="48" spans="5:5" x14ac:dyDescent="0.3">
      <c r="E48" s="36"/>
    </row>
    <row r="49" spans="5:5" x14ac:dyDescent="0.3">
      <c r="E49" s="36"/>
    </row>
    <row r="50" spans="5:5" x14ac:dyDescent="0.3">
      <c r="E50" s="36"/>
    </row>
    <row r="51" spans="5:5" x14ac:dyDescent="0.3">
      <c r="E51" s="36"/>
    </row>
    <row r="52" spans="5:5" x14ac:dyDescent="0.3">
      <c r="E52" s="36"/>
    </row>
    <row r="53" spans="5:5" x14ac:dyDescent="0.3">
      <c r="E53" s="36"/>
    </row>
    <row r="54" spans="5:5" x14ac:dyDescent="0.3">
      <c r="E54" s="36"/>
    </row>
    <row r="55" spans="5:5" x14ac:dyDescent="0.3">
      <c r="E55" s="36"/>
    </row>
    <row r="56" spans="5:5" x14ac:dyDescent="0.3">
      <c r="E56" s="36"/>
    </row>
    <row r="57" spans="5:5" x14ac:dyDescent="0.3">
      <c r="E57" s="36"/>
    </row>
    <row r="58" spans="5:5" x14ac:dyDescent="0.3">
      <c r="E58" s="36"/>
    </row>
    <row r="59" spans="5:5" x14ac:dyDescent="0.3">
      <c r="E59" s="36"/>
    </row>
    <row r="60" spans="5:5" x14ac:dyDescent="0.3">
      <c r="E60" s="36"/>
    </row>
    <row r="61" spans="5:5" x14ac:dyDescent="0.3">
      <c r="E61" s="36"/>
    </row>
    <row r="62" spans="5:5" x14ac:dyDescent="0.3">
      <c r="E62" s="36"/>
    </row>
    <row r="63" spans="5:5" x14ac:dyDescent="0.3">
      <c r="E63" s="36"/>
    </row>
    <row r="64" spans="5:5" x14ac:dyDescent="0.3">
      <c r="E64" s="36"/>
    </row>
    <row r="65" spans="5:5" x14ac:dyDescent="0.3">
      <c r="E65" s="36"/>
    </row>
    <row r="66" spans="5:5" x14ac:dyDescent="0.3">
      <c r="E66" s="36"/>
    </row>
    <row r="67" spans="5:5" x14ac:dyDescent="0.3">
      <c r="E67" s="36"/>
    </row>
    <row r="68" spans="5:5" x14ac:dyDescent="0.3">
      <c r="E68" s="36"/>
    </row>
    <row r="69" spans="5:5" x14ac:dyDescent="0.3">
      <c r="E69" s="36"/>
    </row>
    <row r="70" spans="5:5" x14ac:dyDescent="0.3">
      <c r="E70" s="36"/>
    </row>
    <row r="71" spans="5:5" x14ac:dyDescent="0.3">
      <c r="E71" s="36"/>
    </row>
    <row r="72" spans="5:5" x14ac:dyDescent="0.3">
      <c r="E72" s="36"/>
    </row>
    <row r="73" spans="5:5" x14ac:dyDescent="0.3">
      <c r="E73" s="36"/>
    </row>
    <row r="74" spans="5:5" x14ac:dyDescent="0.3">
      <c r="E74" s="36"/>
    </row>
    <row r="75" spans="5:5" x14ac:dyDescent="0.3">
      <c r="E75" s="36"/>
    </row>
    <row r="76" spans="5:5" x14ac:dyDescent="0.3">
      <c r="E76" s="36"/>
    </row>
    <row r="77" spans="5:5" x14ac:dyDescent="0.3">
      <c r="E77" s="36"/>
    </row>
    <row r="78" spans="5:5" x14ac:dyDescent="0.3">
      <c r="E78" s="36"/>
    </row>
    <row r="79" spans="5:5" x14ac:dyDescent="0.3">
      <c r="E79" s="36"/>
    </row>
    <row r="80" spans="5:5" x14ac:dyDescent="0.3">
      <c r="E80" s="36"/>
    </row>
    <row r="81" spans="5:5" x14ac:dyDescent="0.3">
      <c r="E81" s="36"/>
    </row>
    <row r="82" spans="5:5" x14ac:dyDescent="0.3">
      <c r="E82" s="36"/>
    </row>
    <row r="83" spans="5:5" x14ac:dyDescent="0.3">
      <c r="E83" s="36"/>
    </row>
    <row r="84" spans="5:5" x14ac:dyDescent="0.3">
      <c r="E84" s="36"/>
    </row>
    <row r="85" spans="5:5" x14ac:dyDescent="0.3">
      <c r="E85" s="36"/>
    </row>
    <row r="86" spans="5:5" x14ac:dyDescent="0.3">
      <c r="E86" s="36"/>
    </row>
    <row r="87" spans="5:5" x14ac:dyDescent="0.3">
      <c r="E87" s="36"/>
    </row>
    <row r="88" spans="5:5" x14ac:dyDescent="0.3">
      <c r="E88" s="36"/>
    </row>
    <row r="89" spans="5:5" x14ac:dyDescent="0.3">
      <c r="E89" s="36"/>
    </row>
    <row r="90" spans="5:5" x14ac:dyDescent="0.3">
      <c r="E90" s="36"/>
    </row>
    <row r="91" spans="5:5" x14ac:dyDescent="0.3">
      <c r="E91" s="36"/>
    </row>
    <row r="92" spans="5:5" x14ac:dyDescent="0.3">
      <c r="E92" s="36"/>
    </row>
    <row r="93" spans="5:5" x14ac:dyDescent="0.3">
      <c r="E93" s="36"/>
    </row>
    <row r="94" spans="5:5" x14ac:dyDescent="0.3">
      <c r="E94" s="36"/>
    </row>
    <row r="95" spans="5:5" x14ac:dyDescent="0.3">
      <c r="E95" s="36"/>
    </row>
    <row r="96" spans="5:5" x14ac:dyDescent="0.3">
      <c r="E96" s="36"/>
    </row>
    <row r="97" spans="5:5" x14ac:dyDescent="0.3">
      <c r="E97" s="36"/>
    </row>
    <row r="98" spans="5:5" x14ac:dyDescent="0.3">
      <c r="E98" s="36"/>
    </row>
    <row r="99" spans="5:5" x14ac:dyDescent="0.3">
      <c r="E99" s="36"/>
    </row>
    <row r="100" spans="5:5" x14ac:dyDescent="0.3">
      <c r="E100" s="36"/>
    </row>
    <row r="101" spans="5:5" x14ac:dyDescent="0.3">
      <c r="E101" s="36"/>
    </row>
    <row r="102" spans="5:5" x14ac:dyDescent="0.3">
      <c r="E102" s="36"/>
    </row>
    <row r="103" spans="5:5" x14ac:dyDescent="0.3">
      <c r="E103" s="36"/>
    </row>
    <row r="104" spans="5:5" x14ac:dyDescent="0.3">
      <c r="E104" s="36"/>
    </row>
    <row r="105" spans="5:5" x14ac:dyDescent="0.3">
      <c r="E105" s="36"/>
    </row>
    <row r="106" spans="5:5" x14ac:dyDescent="0.3">
      <c r="E106" s="36"/>
    </row>
    <row r="107" spans="5:5" x14ac:dyDescent="0.3">
      <c r="E107" s="36"/>
    </row>
    <row r="108" spans="5:5" x14ac:dyDescent="0.3">
      <c r="E108" s="36"/>
    </row>
    <row r="109" spans="5:5" x14ac:dyDescent="0.3">
      <c r="E109" s="36"/>
    </row>
    <row r="110" spans="5:5" x14ac:dyDescent="0.3">
      <c r="E110" s="36"/>
    </row>
    <row r="111" spans="5:5" x14ac:dyDescent="0.3">
      <c r="E111" s="36"/>
    </row>
    <row r="112" spans="5:5" x14ac:dyDescent="0.3">
      <c r="E112" s="36"/>
    </row>
    <row r="113" spans="5:5" x14ac:dyDescent="0.3">
      <c r="E113" s="36"/>
    </row>
    <row r="114" spans="5:5" x14ac:dyDescent="0.3">
      <c r="E114" s="36"/>
    </row>
    <row r="115" spans="5:5" x14ac:dyDescent="0.3">
      <c r="E115" s="36"/>
    </row>
    <row r="116" spans="5:5" x14ac:dyDescent="0.3">
      <c r="E116" s="36"/>
    </row>
    <row r="117" spans="5:5" x14ac:dyDescent="0.3">
      <c r="E117" s="36"/>
    </row>
    <row r="118" spans="5:5" x14ac:dyDescent="0.3">
      <c r="E118" s="36"/>
    </row>
    <row r="119" spans="5:5" x14ac:dyDescent="0.3">
      <c r="E119" s="36"/>
    </row>
    <row r="120" spans="5:5" x14ac:dyDescent="0.3">
      <c r="E120" s="36"/>
    </row>
    <row r="121" spans="5:5" x14ac:dyDescent="0.3">
      <c r="E121" s="36"/>
    </row>
    <row r="122" spans="5:5" x14ac:dyDescent="0.3">
      <c r="E122" s="36"/>
    </row>
    <row r="123" spans="5:5" x14ac:dyDescent="0.3">
      <c r="E123" s="36"/>
    </row>
    <row r="124" spans="5:5" x14ac:dyDescent="0.3">
      <c r="E124" s="36"/>
    </row>
    <row r="125" spans="5:5" x14ac:dyDescent="0.3">
      <c r="E125" s="36"/>
    </row>
    <row r="126" spans="5:5" x14ac:dyDescent="0.3">
      <c r="E126" s="36"/>
    </row>
    <row r="127" spans="5:5" x14ac:dyDescent="0.3">
      <c r="E127" s="36"/>
    </row>
    <row r="128" spans="5:5" x14ac:dyDescent="0.3">
      <c r="E128" s="36"/>
    </row>
    <row r="129" spans="5:5" x14ac:dyDescent="0.3">
      <c r="E129" s="36"/>
    </row>
    <row r="130" spans="5:5" x14ac:dyDescent="0.3">
      <c r="E130" s="36"/>
    </row>
    <row r="131" spans="5:5" x14ac:dyDescent="0.3">
      <c r="E131" s="36"/>
    </row>
    <row r="132" spans="5:5" x14ac:dyDescent="0.3">
      <c r="E132" s="36"/>
    </row>
    <row r="133" spans="5:5" x14ac:dyDescent="0.3">
      <c r="E133" s="36"/>
    </row>
    <row r="134" spans="5:5" x14ac:dyDescent="0.3">
      <c r="E134" s="36"/>
    </row>
    <row r="135" spans="5:5" x14ac:dyDescent="0.3">
      <c r="E135" s="36"/>
    </row>
    <row r="136" spans="5:5" x14ac:dyDescent="0.3">
      <c r="E136" s="36"/>
    </row>
    <row r="137" spans="5:5" x14ac:dyDescent="0.3">
      <c r="E137" s="36"/>
    </row>
    <row r="138" spans="5:5" x14ac:dyDescent="0.3">
      <c r="E138" s="36"/>
    </row>
    <row r="139" spans="5:5" x14ac:dyDescent="0.3">
      <c r="E139" s="36"/>
    </row>
    <row r="140" spans="5:5" x14ac:dyDescent="0.3">
      <c r="E140" s="36"/>
    </row>
    <row r="141" spans="5:5" x14ac:dyDescent="0.3">
      <c r="E141" s="36"/>
    </row>
    <row r="142" spans="5:5" x14ac:dyDescent="0.3">
      <c r="E142" s="36"/>
    </row>
    <row r="143" spans="5:5" x14ac:dyDescent="0.3">
      <c r="E143" s="36"/>
    </row>
    <row r="144" spans="5:5" x14ac:dyDescent="0.3">
      <c r="E144" s="36"/>
    </row>
    <row r="145" spans="5:5" x14ac:dyDescent="0.3">
      <c r="E145" s="36"/>
    </row>
    <row r="146" spans="5:5" x14ac:dyDescent="0.3">
      <c r="E146" s="36"/>
    </row>
    <row r="147" spans="5:5" x14ac:dyDescent="0.3">
      <c r="E147" s="36"/>
    </row>
    <row r="148" spans="5:5" x14ac:dyDescent="0.3">
      <c r="E148" s="36"/>
    </row>
    <row r="149" spans="5:5" x14ac:dyDescent="0.3">
      <c r="E149" s="36"/>
    </row>
    <row r="150" spans="5:5" x14ac:dyDescent="0.3">
      <c r="E150" s="36"/>
    </row>
    <row r="151" spans="5:5" x14ac:dyDescent="0.3">
      <c r="E151" s="36"/>
    </row>
    <row r="152" spans="5:5" x14ac:dyDescent="0.3">
      <c r="E152" s="36"/>
    </row>
    <row r="153" spans="5:5" x14ac:dyDescent="0.3">
      <c r="E153" s="36"/>
    </row>
    <row r="154" spans="5:5" x14ac:dyDescent="0.3">
      <c r="E154" s="36"/>
    </row>
    <row r="155" spans="5:5" x14ac:dyDescent="0.3">
      <c r="E155" s="36"/>
    </row>
    <row r="156" spans="5:5" x14ac:dyDescent="0.3">
      <c r="E156" s="36"/>
    </row>
    <row r="157" spans="5:5" x14ac:dyDescent="0.3">
      <c r="E157" s="36"/>
    </row>
    <row r="158" spans="5:5" x14ac:dyDescent="0.3">
      <c r="E158" s="36"/>
    </row>
    <row r="159" spans="5:5" x14ac:dyDescent="0.3">
      <c r="E159" s="36"/>
    </row>
    <row r="160" spans="5:5" x14ac:dyDescent="0.3">
      <c r="E160" s="36"/>
    </row>
    <row r="161" spans="5:5" x14ac:dyDescent="0.3">
      <c r="E161" s="36"/>
    </row>
    <row r="162" spans="5:5" x14ac:dyDescent="0.3">
      <c r="E162" s="36"/>
    </row>
    <row r="163" spans="5:5" x14ac:dyDescent="0.3">
      <c r="E163" s="36"/>
    </row>
    <row r="164" spans="5:5" x14ac:dyDescent="0.3">
      <c r="E164" s="36"/>
    </row>
    <row r="165" spans="5:5" x14ac:dyDescent="0.3">
      <c r="E165" s="36"/>
    </row>
    <row r="166" spans="5:5" x14ac:dyDescent="0.3">
      <c r="E166" s="36"/>
    </row>
    <row r="167" spans="5:5" x14ac:dyDescent="0.3">
      <c r="E167" s="36"/>
    </row>
    <row r="168" spans="5:5" x14ac:dyDescent="0.3">
      <c r="E168" s="36"/>
    </row>
    <row r="169" spans="5:5" x14ac:dyDescent="0.3">
      <c r="E169" s="36"/>
    </row>
    <row r="170" spans="5:5" x14ac:dyDescent="0.3">
      <c r="E170" s="36"/>
    </row>
    <row r="171" spans="5:5" x14ac:dyDescent="0.3">
      <c r="E171" s="36"/>
    </row>
    <row r="172" spans="5:5" x14ac:dyDescent="0.3">
      <c r="E172" s="36"/>
    </row>
    <row r="173" spans="5:5" x14ac:dyDescent="0.3">
      <c r="E173" s="36"/>
    </row>
    <row r="174" spans="5:5" x14ac:dyDescent="0.3">
      <c r="E174" s="36"/>
    </row>
    <row r="175" spans="5:5" x14ac:dyDescent="0.3">
      <c r="E175" s="36"/>
    </row>
    <row r="176" spans="5:5" x14ac:dyDescent="0.3">
      <c r="E176" s="36"/>
    </row>
    <row r="177" spans="5:5" x14ac:dyDescent="0.3">
      <c r="E177" s="36"/>
    </row>
    <row r="178" spans="5:5" x14ac:dyDescent="0.3">
      <c r="E178" s="36"/>
    </row>
    <row r="179" spans="5:5" x14ac:dyDescent="0.3">
      <c r="E179" s="36"/>
    </row>
    <row r="180" spans="5:5" x14ac:dyDescent="0.3">
      <c r="E180" s="36"/>
    </row>
    <row r="181" spans="5:5" x14ac:dyDescent="0.3">
      <c r="E181" s="36"/>
    </row>
    <row r="182" spans="5:5" x14ac:dyDescent="0.3">
      <c r="E182" s="36"/>
    </row>
    <row r="183" spans="5:5" x14ac:dyDescent="0.3">
      <c r="E183" s="36"/>
    </row>
    <row r="184" spans="5:5" x14ac:dyDescent="0.3">
      <c r="E184" s="36"/>
    </row>
    <row r="185" spans="5:5" x14ac:dyDescent="0.3">
      <c r="E185" s="36"/>
    </row>
    <row r="186" spans="5:5" x14ac:dyDescent="0.3">
      <c r="E186" s="36"/>
    </row>
    <row r="187" spans="5:5" x14ac:dyDescent="0.3">
      <c r="E187" s="36"/>
    </row>
    <row r="188" spans="5:5" x14ac:dyDescent="0.3">
      <c r="E188" s="36"/>
    </row>
    <row r="189" spans="5:5" x14ac:dyDescent="0.3">
      <c r="E189" s="36"/>
    </row>
    <row r="190" spans="5:5" x14ac:dyDescent="0.3">
      <c r="E190" s="36"/>
    </row>
    <row r="191" spans="5:5" x14ac:dyDescent="0.3">
      <c r="E191" s="36"/>
    </row>
    <row r="192" spans="5:5" x14ac:dyDescent="0.3">
      <c r="E192" s="36"/>
    </row>
    <row r="193" spans="5:5" x14ac:dyDescent="0.3">
      <c r="E193" s="36"/>
    </row>
    <row r="194" spans="5:5" x14ac:dyDescent="0.3">
      <c r="E194" s="36"/>
    </row>
    <row r="195" spans="5:5" x14ac:dyDescent="0.3">
      <c r="E195" s="36"/>
    </row>
    <row r="196" spans="5:5" x14ac:dyDescent="0.3">
      <c r="E196" s="36"/>
    </row>
    <row r="197" spans="5:5" x14ac:dyDescent="0.3">
      <c r="E197" s="36"/>
    </row>
    <row r="198" spans="5:5" x14ac:dyDescent="0.3">
      <c r="E198" s="36"/>
    </row>
    <row r="199" spans="5:5" x14ac:dyDescent="0.3">
      <c r="E199" s="36"/>
    </row>
    <row r="200" spans="5:5" x14ac:dyDescent="0.3">
      <c r="E200" s="36"/>
    </row>
    <row r="201" spans="5:5" x14ac:dyDescent="0.3">
      <c r="E201" s="36"/>
    </row>
    <row r="202" spans="5:5" x14ac:dyDescent="0.3">
      <c r="E202" s="36"/>
    </row>
    <row r="203" spans="5:5" x14ac:dyDescent="0.3">
      <c r="E203" s="36"/>
    </row>
    <row r="204" spans="5:5" x14ac:dyDescent="0.3">
      <c r="E204" s="36"/>
    </row>
    <row r="205" spans="5:5" x14ac:dyDescent="0.3">
      <c r="E205" s="36"/>
    </row>
    <row r="206" spans="5:5" x14ac:dyDescent="0.3">
      <c r="E206" s="36"/>
    </row>
    <row r="207" spans="5:5" x14ac:dyDescent="0.3">
      <c r="E207" s="36"/>
    </row>
    <row r="208" spans="5:5" x14ac:dyDescent="0.3">
      <c r="E208" s="36"/>
    </row>
    <row r="209" spans="5:5" x14ac:dyDescent="0.3">
      <c r="E209" s="36"/>
    </row>
    <row r="210" spans="5:5" x14ac:dyDescent="0.3">
      <c r="E210" s="36"/>
    </row>
    <row r="211" spans="5:5" x14ac:dyDescent="0.3">
      <c r="E211" s="36"/>
    </row>
    <row r="212" spans="5:5" x14ac:dyDescent="0.3">
      <c r="E212" s="36"/>
    </row>
    <row r="213" spans="5:5" x14ac:dyDescent="0.3">
      <c r="E213" s="36"/>
    </row>
    <row r="214" spans="5:5" x14ac:dyDescent="0.3">
      <c r="E214" s="36"/>
    </row>
    <row r="215" spans="5:5" x14ac:dyDescent="0.3">
      <c r="E215" s="36"/>
    </row>
    <row r="216" spans="5:5" x14ac:dyDescent="0.3">
      <c r="E216" s="36"/>
    </row>
    <row r="217" spans="5:5" x14ac:dyDescent="0.3">
      <c r="E217" s="36"/>
    </row>
    <row r="218" spans="5:5" x14ac:dyDescent="0.3">
      <c r="E218" s="36"/>
    </row>
    <row r="219" spans="5:5" x14ac:dyDescent="0.3">
      <c r="E219" s="36"/>
    </row>
    <row r="220" spans="5:5" x14ac:dyDescent="0.3">
      <c r="E220" s="36"/>
    </row>
    <row r="221" spans="5:5" x14ac:dyDescent="0.3">
      <c r="E221" s="36"/>
    </row>
    <row r="222" spans="5:5" x14ac:dyDescent="0.3">
      <c r="E222" s="36"/>
    </row>
    <row r="223" spans="5:5" x14ac:dyDescent="0.3">
      <c r="E223" s="36"/>
    </row>
    <row r="224" spans="5:5" x14ac:dyDescent="0.3">
      <c r="E224" s="36"/>
    </row>
    <row r="225" spans="5:5" x14ac:dyDescent="0.3">
      <c r="E225" s="36"/>
    </row>
    <row r="226" spans="5:5" x14ac:dyDescent="0.3">
      <c r="E226" s="36"/>
    </row>
    <row r="227" spans="5:5" x14ac:dyDescent="0.3">
      <c r="E227" s="36"/>
    </row>
    <row r="228" spans="5:5" x14ac:dyDescent="0.3">
      <c r="E228" s="36"/>
    </row>
    <row r="229" spans="5:5" x14ac:dyDescent="0.3">
      <c r="E229" s="36"/>
    </row>
    <row r="230" spans="5:5" x14ac:dyDescent="0.3">
      <c r="E230" s="36"/>
    </row>
    <row r="231" spans="5:5" x14ac:dyDescent="0.3">
      <c r="E231" s="36"/>
    </row>
    <row r="232" spans="5:5" x14ac:dyDescent="0.3">
      <c r="E232" s="36"/>
    </row>
    <row r="233" spans="5:5" x14ac:dyDescent="0.3">
      <c r="E233" s="36"/>
    </row>
    <row r="234" spans="5:5" x14ac:dyDescent="0.3">
      <c r="E234" s="36"/>
    </row>
    <row r="235" spans="5:5" x14ac:dyDescent="0.3">
      <c r="E235" s="36"/>
    </row>
    <row r="236" spans="5:5" x14ac:dyDescent="0.3">
      <c r="E236" s="36"/>
    </row>
    <row r="237" spans="5:5" x14ac:dyDescent="0.3">
      <c r="E237" s="36"/>
    </row>
    <row r="238" spans="5:5" x14ac:dyDescent="0.3">
      <c r="E238" s="36"/>
    </row>
    <row r="239" spans="5:5" x14ac:dyDescent="0.3">
      <c r="E239" s="36"/>
    </row>
    <row r="240" spans="5:5" x14ac:dyDescent="0.3">
      <c r="E240" s="36"/>
    </row>
    <row r="241" spans="5:5" x14ac:dyDescent="0.3">
      <c r="E241" s="36"/>
    </row>
    <row r="242" spans="5:5" x14ac:dyDescent="0.3">
      <c r="E242" s="36"/>
    </row>
    <row r="243" spans="5:5" x14ac:dyDescent="0.3">
      <c r="E243" s="36"/>
    </row>
    <row r="244" spans="5:5" x14ac:dyDescent="0.3">
      <c r="E244" s="36"/>
    </row>
    <row r="245" spans="5:5" x14ac:dyDescent="0.3">
      <c r="E245" s="36"/>
    </row>
    <row r="246" spans="5:5" x14ac:dyDescent="0.3">
      <c r="E246" s="36"/>
    </row>
    <row r="247" spans="5:5" x14ac:dyDescent="0.3">
      <c r="E247" s="36"/>
    </row>
    <row r="248" spans="5:5" x14ac:dyDescent="0.3">
      <c r="E248" s="36"/>
    </row>
    <row r="249" spans="5:5" x14ac:dyDescent="0.3">
      <c r="E249" s="36"/>
    </row>
    <row r="250" spans="5:5" x14ac:dyDescent="0.3">
      <c r="E250" s="36"/>
    </row>
    <row r="251" spans="5:5" x14ac:dyDescent="0.3">
      <c r="E251" s="36"/>
    </row>
    <row r="252" spans="5:5" x14ac:dyDescent="0.3">
      <c r="E252" s="36"/>
    </row>
    <row r="253" spans="5:5" x14ac:dyDescent="0.3">
      <c r="E253" s="36"/>
    </row>
    <row r="254" spans="5:5" x14ac:dyDescent="0.3">
      <c r="E254" s="36"/>
    </row>
    <row r="255" spans="5:5" x14ac:dyDescent="0.3">
      <c r="E255" s="36"/>
    </row>
    <row r="256" spans="5:5" x14ac:dyDescent="0.3">
      <c r="E256" s="36"/>
    </row>
    <row r="257" spans="5:5" x14ac:dyDescent="0.3">
      <c r="E257" s="36"/>
    </row>
    <row r="258" spans="5:5" x14ac:dyDescent="0.3">
      <c r="E258" s="36"/>
    </row>
    <row r="259" spans="5:5" x14ac:dyDescent="0.3">
      <c r="E259" s="36"/>
    </row>
    <row r="260" spans="5:5" x14ac:dyDescent="0.3">
      <c r="E260" s="36"/>
    </row>
    <row r="261" spans="5:5" x14ac:dyDescent="0.3">
      <c r="E261" s="36"/>
    </row>
    <row r="262" spans="5:5" x14ac:dyDescent="0.3">
      <c r="E262" s="36"/>
    </row>
    <row r="263" spans="5:5" x14ac:dyDescent="0.3">
      <c r="E263" s="36"/>
    </row>
    <row r="264" spans="5:5" x14ac:dyDescent="0.3">
      <c r="E264" s="36"/>
    </row>
    <row r="265" spans="5:5" x14ac:dyDescent="0.3">
      <c r="E265" s="36"/>
    </row>
    <row r="266" spans="5:5" x14ac:dyDescent="0.3">
      <c r="E266" s="36"/>
    </row>
    <row r="267" spans="5:5" x14ac:dyDescent="0.3">
      <c r="E267" s="36"/>
    </row>
    <row r="268" spans="5:5" x14ac:dyDescent="0.3">
      <c r="E268" s="36"/>
    </row>
    <row r="269" spans="5:5" x14ac:dyDescent="0.3">
      <c r="E269" s="36"/>
    </row>
    <row r="270" spans="5:5" x14ac:dyDescent="0.3">
      <c r="E270" s="36"/>
    </row>
    <row r="271" spans="5:5" x14ac:dyDescent="0.3">
      <c r="E271" s="36"/>
    </row>
    <row r="272" spans="5:5" x14ac:dyDescent="0.3">
      <c r="E272" s="36"/>
    </row>
    <row r="273" spans="5:5" x14ac:dyDescent="0.3">
      <c r="E273" s="36"/>
    </row>
    <row r="274" spans="5:5" x14ac:dyDescent="0.3">
      <c r="E274" s="36"/>
    </row>
    <row r="275" spans="5:5" x14ac:dyDescent="0.3">
      <c r="E275" s="36"/>
    </row>
    <row r="276" spans="5:5" x14ac:dyDescent="0.3">
      <c r="E276" s="36"/>
    </row>
    <row r="277" spans="5:5" x14ac:dyDescent="0.3">
      <c r="E277" s="36"/>
    </row>
    <row r="278" spans="5:5" x14ac:dyDescent="0.3">
      <c r="E278" s="36"/>
    </row>
    <row r="279" spans="5:5" x14ac:dyDescent="0.3">
      <c r="E279" s="36"/>
    </row>
    <row r="280" spans="5:5" x14ac:dyDescent="0.3">
      <c r="E280" s="36"/>
    </row>
    <row r="281" spans="5:5" x14ac:dyDescent="0.3">
      <c r="E281" s="36"/>
    </row>
    <row r="282" spans="5:5" x14ac:dyDescent="0.3">
      <c r="E282" s="36"/>
    </row>
    <row r="283" spans="5:5" x14ac:dyDescent="0.3">
      <c r="E283" s="36"/>
    </row>
    <row r="284" spans="5:5" x14ac:dyDescent="0.3">
      <c r="E284" s="36"/>
    </row>
    <row r="285" spans="5:5" x14ac:dyDescent="0.3">
      <c r="E285" s="36"/>
    </row>
    <row r="286" spans="5:5" x14ac:dyDescent="0.3">
      <c r="E286" s="36"/>
    </row>
    <row r="287" spans="5:5" x14ac:dyDescent="0.3">
      <c r="E287" s="36"/>
    </row>
    <row r="288" spans="5:5" x14ac:dyDescent="0.3">
      <c r="E288" s="36"/>
    </row>
    <row r="289" spans="5:5" x14ac:dyDescent="0.3">
      <c r="E289" s="36"/>
    </row>
    <row r="290" spans="5:5" x14ac:dyDescent="0.3">
      <c r="E290" s="36"/>
    </row>
    <row r="291" spans="5:5" x14ac:dyDescent="0.3">
      <c r="E291" s="36"/>
    </row>
    <row r="292" spans="5:5" x14ac:dyDescent="0.3">
      <c r="E292" s="36"/>
    </row>
    <row r="293" spans="5:5" x14ac:dyDescent="0.3">
      <c r="E293" s="36"/>
    </row>
    <row r="294" spans="5:5" x14ac:dyDescent="0.3">
      <c r="E294" s="36"/>
    </row>
    <row r="295" spans="5:5" x14ac:dyDescent="0.3">
      <c r="E295" s="36"/>
    </row>
    <row r="296" spans="5:5" x14ac:dyDescent="0.3">
      <c r="E296" s="36"/>
    </row>
    <row r="297" spans="5:5" x14ac:dyDescent="0.3">
      <c r="E297" s="36"/>
    </row>
    <row r="298" spans="5:5" x14ac:dyDescent="0.3">
      <c r="E298" s="36"/>
    </row>
    <row r="299" spans="5:5" x14ac:dyDescent="0.3">
      <c r="E299" s="36"/>
    </row>
    <row r="300" spans="5:5" x14ac:dyDescent="0.3">
      <c r="E300" s="36"/>
    </row>
    <row r="301" spans="5:5" x14ac:dyDescent="0.3">
      <c r="E301" s="36"/>
    </row>
    <row r="302" spans="5:5" x14ac:dyDescent="0.3">
      <c r="E302" s="36"/>
    </row>
    <row r="303" spans="5:5" x14ac:dyDescent="0.3">
      <c r="E303" s="36"/>
    </row>
    <row r="304" spans="5:5" x14ac:dyDescent="0.3">
      <c r="E304" s="36"/>
    </row>
    <row r="305" spans="5:5" x14ac:dyDescent="0.3">
      <c r="E305" s="36"/>
    </row>
    <row r="306" spans="5:5" x14ac:dyDescent="0.3">
      <c r="E306" s="36"/>
    </row>
    <row r="307" spans="5:5" x14ac:dyDescent="0.3">
      <c r="E307" s="36"/>
    </row>
    <row r="308" spans="5:5" x14ac:dyDescent="0.3">
      <c r="E308" s="36"/>
    </row>
    <row r="309" spans="5:5" x14ac:dyDescent="0.3">
      <c r="E309" s="36"/>
    </row>
    <row r="310" spans="5:5" x14ac:dyDescent="0.3">
      <c r="E310" s="36"/>
    </row>
    <row r="311" spans="5:5" x14ac:dyDescent="0.3">
      <c r="E311" s="36"/>
    </row>
    <row r="312" spans="5:5" x14ac:dyDescent="0.3">
      <c r="E312" s="36"/>
    </row>
    <row r="313" spans="5:5" x14ac:dyDescent="0.3">
      <c r="E313" s="36"/>
    </row>
    <row r="314" spans="5:5" x14ac:dyDescent="0.3">
      <c r="E314" s="36"/>
    </row>
    <row r="315" spans="5:5" x14ac:dyDescent="0.3">
      <c r="E315" s="36"/>
    </row>
    <row r="316" spans="5:5" x14ac:dyDescent="0.3">
      <c r="E316" s="36"/>
    </row>
    <row r="317" spans="5:5" x14ac:dyDescent="0.3">
      <c r="E317" s="36"/>
    </row>
    <row r="318" spans="5:5" x14ac:dyDescent="0.3">
      <c r="E318" s="36"/>
    </row>
    <row r="319" spans="5:5" x14ac:dyDescent="0.3">
      <c r="E319" s="36"/>
    </row>
    <row r="320" spans="5:5" x14ac:dyDescent="0.3">
      <c r="E320" s="36"/>
    </row>
    <row r="321" spans="5:5" x14ac:dyDescent="0.3">
      <c r="E321" s="36"/>
    </row>
    <row r="322" spans="5:5" x14ac:dyDescent="0.3">
      <c r="E322" s="36"/>
    </row>
    <row r="323" spans="5:5" x14ac:dyDescent="0.3">
      <c r="E323" s="36"/>
    </row>
    <row r="324" spans="5:5" x14ac:dyDescent="0.3">
      <c r="E324" s="36"/>
    </row>
    <row r="325" spans="5:5" x14ac:dyDescent="0.3">
      <c r="E325" s="36"/>
    </row>
    <row r="326" spans="5:5" x14ac:dyDescent="0.3">
      <c r="E326" s="36"/>
    </row>
    <row r="327" spans="5:5" x14ac:dyDescent="0.3">
      <c r="E327" s="36"/>
    </row>
    <row r="328" spans="5:5" x14ac:dyDescent="0.3">
      <c r="E328" s="36"/>
    </row>
    <row r="329" spans="5:5" x14ac:dyDescent="0.3">
      <c r="E329" s="36"/>
    </row>
    <row r="330" spans="5:5" x14ac:dyDescent="0.3">
      <c r="E330" s="36"/>
    </row>
    <row r="331" spans="5:5" x14ac:dyDescent="0.3">
      <c r="E331" s="36"/>
    </row>
    <row r="332" spans="5:5" x14ac:dyDescent="0.3">
      <c r="E332" s="36"/>
    </row>
    <row r="333" spans="5:5" x14ac:dyDescent="0.3">
      <c r="E333" s="36"/>
    </row>
    <row r="334" spans="5:5" x14ac:dyDescent="0.3">
      <c r="E334" s="36"/>
    </row>
    <row r="335" spans="5:5" x14ac:dyDescent="0.3">
      <c r="E335" s="36"/>
    </row>
    <row r="336" spans="5:5" x14ac:dyDescent="0.3">
      <c r="E336" s="36"/>
    </row>
    <row r="337" spans="5:5" x14ac:dyDescent="0.3">
      <c r="E337" s="36"/>
    </row>
    <row r="338" spans="5:5" x14ac:dyDescent="0.3">
      <c r="E338" s="36"/>
    </row>
    <row r="339" spans="5:5" x14ac:dyDescent="0.3">
      <c r="E339" s="36"/>
    </row>
    <row r="340" spans="5:5" x14ac:dyDescent="0.3">
      <c r="E340" s="36"/>
    </row>
    <row r="341" spans="5:5" x14ac:dyDescent="0.3">
      <c r="E341" s="36"/>
    </row>
    <row r="342" spans="5:5" x14ac:dyDescent="0.3">
      <c r="E342" s="36"/>
    </row>
    <row r="343" spans="5:5" x14ac:dyDescent="0.3">
      <c r="E343" s="36"/>
    </row>
    <row r="344" spans="5:5" x14ac:dyDescent="0.3">
      <c r="E344" s="36"/>
    </row>
    <row r="345" spans="5:5" x14ac:dyDescent="0.3">
      <c r="E345" s="36"/>
    </row>
    <row r="346" spans="5:5" x14ac:dyDescent="0.3">
      <c r="E346" s="36"/>
    </row>
    <row r="347" spans="5:5" x14ac:dyDescent="0.3">
      <c r="E347" s="36"/>
    </row>
    <row r="348" spans="5:5" x14ac:dyDescent="0.3">
      <c r="E348" s="36"/>
    </row>
    <row r="349" spans="5:5" x14ac:dyDescent="0.3">
      <c r="E349" s="36"/>
    </row>
    <row r="350" spans="5:5" x14ac:dyDescent="0.3">
      <c r="E350" s="36"/>
    </row>
    <row r="351" spans="5:5" x14ac:dyDescent="0.3">
      <c r="E351" s="36"/>
    </row>
    <row r="352" spans="5:5" x14ac:dyDescent="0.3">
      <c r="E352" s="36"/>
    </row>
    <row r="353" spans="5:5" x14ac:dyDescent="0.3">
      <c r="E353" s="36"/>
    </row>
    <row r="354" spans="5:5" x14ac:dyDescent="0.3">
      <c r="E354" s="36"/>
    </row>
    <row r="355" spans="5:5" x14ac:dyDescent="0.3">
      <c r="E355" s="36"/>
    </row>
    <row r="356" spans="5:5" x14ac:dyDescent="0.3">
      <c r="E356" s="36"/>
    </row>
    <row r="357" spans="5:5" x14ac:dyDescent="0.3">
      <c r="E357" s="36"/>
    </row>
    <row r="358" spans="5:5" x14ac:dyDescent="0.3">
      <c r="E358" s="36"/>
    </row>
    <row r="359" spans="5:5" x14ac:dyDescent="0.3">
      <c r="E359" s="36"/>
    </row>
    <row r="360" spans="5:5" x14ac:dyDescent="0.3">
      <c r="E360" s="36"/>
    </row>
    <row r="361" spans="5:5" x14ac:dyDescent="0.3">
      <c r="E361" s="36"/>
    </row>
    <row r="362" spans="5:5" x14ac:dyDescent="0.3">
      <c r="E362" s="36"/>
    </row>
    <row r="363" spans="5:5" x14ac:dyDescent="0.3">
      <c r="E363" s="36"/>
    </row>
    <row r="364" spans="5:5" x14ac:dyDescent="0.3">
      <c r="E364" s="36"/>
    </row>
    <row r="365" spans="5:5" x14ac:dyDescent="0.3">
      <c r="E365" s="36"/>
    </row>
    <row r="366" spans="5:5" x14ac:dyDescent="0.3">
      <c r="E366" s="36"/>
    </row>
    <row r="367" spans="5:5" x14ac:dyDescent="0.3">
      <c r="E367" s="36"/>
    </row>
    <row r="368" spans="5:5" x14ac:dyDescent="0.3">
      <c r="E368" s="36"/>
    </row>
    <row r="369" spans="5:5" x14ac:dyDescent="0.3">
      <c r="E369" s="36"/>
    </row>
    <row r="370" spans="5:5" x14ac:dyDescent="0.3">
      <c r="E370" s="36"/>
    </row>
    <row r="371" spans="5:5" x14ac:dyDescent="0.3">
      <c r="E371" s="36"/>
    </row>
    <row r="372" spans="5:5" x14ac:dyDescent="0.3">
      <c r="E372" s="36"/>
    </row>
    <row r="373" spans="5:5" x14ac:dyDescent="0.3">
      <c r="E373" s="36"/>
    </row>
    <row r="374" spans="5:5" x14ac:dyDescent="0.3">
      <c r="E374" s="36"/>
    </row>
    <row r="375" spans="5:5" x14ac:dyDescent="0.3">
      <c r="E375" s="36"/>
    </row>
    <row r="376" spans="5:5" x14ac:dyDescent="0.3">
      <c r="E376" s="36"/>
    </row>
    <row r="377" spans="5:5" x14ac:dyDescent="0.3">
      <c r="E377" s="36"/>
    </row>
    <row r="378" spans="5:5" x14ac:dyDescent="0.3">
      <c r="E378" s="36"/>
    </row>
    <row r="379" spans="5:5" x14ac:dyDescent="0.3">
      <c r="E379" s="36"/>
    </row>
    <row r="380" spans="5:5" x14ac:dyDescent="0.3">
      <c r="E380" s="36"/>
    </row>
    <row r="381" spans="5:5" x14ac:dyDescent="0.3">
      <c r="E381" s="36"/>
    </row>
    <row r="382" spans="5:5" x14ac:dyDescent="0.3">
      <c r="E382" s="36"/>
    </row>
    <row r="383" spans="5:5" x14ac:dyDescent="0.3">
      <c r="E383" s="36"/>
    </row>
    <row r="384" spans="5:5" x14ac:dyDescent="0.3">
      <c r="E384" s="36"/>
    </row>
    <row r="385" spans="5:5" x14ac:dyDescent="0.3">
      <c r="E385" s="36"/>
    </row>
    <row r="386" spans="5:5" x14ac:dyDescent="0.3">
      <c r="E386" s="36"/>
    </row>
    <row r="387" spans="5:5" x14ac:dyDescent="0.3">
      <c r="E387" s="36"/>
    </row>
    <row r="388" spans="5:5" x14ac:dyDescent="0.3">
      <c r="E388" s="36"/>
    </row>
    <row r="389" spans="5:5" x14ac:dyDescent="0.3">
      <c r="E389" s="36"/>
    </row>
    <row r="390" spans="5:5" x14ac:dyDescent="0.3">
      <c r="E390" s="36"/>
    </row>
    <row r="391" spans="5:5" x14ac:dyDescent="0.3">
      <c r="E391" s="36"/>
    </row>
    <row r="392" spans="5:5" x14ac:dyDescent="0.3">
      <c r="E392" s="36"/>
    </row>
    <row r="393" spans="5:5" x14ac:dyDescent="0.3">
      <c r="E393" s="36"/>
    </row>
    <row r="394" spans="5:5" x14ac:dyDescent="0.3">
      <c r="E394" s="36"/>
    </row>
    <row r="395" spans="5:5" x14ac:dyDescent="0.3">
      <c r="E395" s="36"/>
    </row>
    <row r="396" spans="5:5" x14ac:dyDescent="0.3">
      <c r="E396" s="36"/>
    </row>
    <row r="397" spans="5:5" x14ac:dyDescent="0.3">
      <c r="E397" s="36"/>
    </row>
    <row r="398" spans="5:5" x14ac:dyDescent="0.3">
      <c r="E398" s="36"/>
    </row>
    <row r="399" spans="5:5" x14ac:dyDescent="0.3">
      <c r="E399" s="36"/>
    </row>
    <row r="400" spans="5:5" x14ac:dyDescent="0.3">
      <c r="E400" s="36"/>
    </row>
    <row r="401" spans="5:5" x14ac:dyDescent="0.3">
      <c r="E401" s="36"/>
    </row>
    <row r="402" spans="5:5" x14ac:dyDescent="0.3">
      <c r="E402" s="36"/>
    </row>
    <row r="403" spans="5:5" x14ac:dyDescent="0.3">
      <c r="E403" s="36"/>
    </row>
    <row r="404" spans="5:5" x14ac:dyDescent="0.3">
      <c r="E404" s="36"/>
    </row>
    <row r="405" spans="5:5" x14ac:dyDescent="0.3">
      <c r="E405" s="36"/>
    </row>
    <row r="406" spans="5:5" x14ac:dyDescent="0.3">
      <c r="E406" s="36"/>
    </row>
    <row r="407" spans="5:5" x14ac:dyDescent="0.3">
      <c r="E407" s="36"/>
    </row>
    <row r="408" spans="5:5" x14ac:dyDescent="0.3">
      <c r="E408" s="36"/>
    </row>
    <row r="409" spans="5:5" x14ac:dyDescent="0.3">
      <c r="E409" s="36"/>
    </row>
    <row r="410" spans="5:5" x14ac:dyDescent="0.3">
      <c r="E410" s="36"/>
    </row>
    <row r="411" spans="5:5" x14ac:dyDescent="0.3">
      <c r="E411" s="36"/>
    </row>
    <row r="412" spans="5:5" x14ac:dyDescent="0.3">
      <c r="E412" s="36"/>
    </row>
    <row r="413" spans="5:5" x14ac:dyDescent="0.3">
      <c r="E413" s="36"/>
    </row>
    <row r="414" spans="5:5" x14ac:dyDescent="0.3">
      <c r="E414" s="36"/>
    </row>
    <row r="415" spans="5:5" x14ac:dyDescent="0.3">
      <c r="E415" s="36"/>
    </row>
    <row r="416" spans="5:5" x14ac:dyDescent="0.3">
      <c r="E416" s="36"/>
    </row>
    <row r="417" spans="5:5" x14ac:dyDescent="0.3">
      <c r="E417" s="36"/>
    </row>
    <row r="418" spans="5:5" x14ac:dyDescent="0.3">
      <c r="E418" s="36"/>
    </row>
    <row r="419" spans="5:5" x14ac:dyDescent="0.3">
      <c r="E419" s="36"/>
    </row>
    <row r="420" spans="5:5" x14ac:dyDescent="0.3">
      <c r="E420" s="36"/>
    </row>
    <row r="421" spans="5:5" x14ac:dyDescent="0.3">
      <c r="E421" s="36"/>
    </row>
    <row r="422" spans="5:5" x14ac:dyDescent="0.3">
      <c r="E422" s="36"/>
    </row>
    <row r="423" spans="5:5" x14ac:dyDescent="0.3">
      <c r="E423" s="36"/>
    </row>
    <row r="424" spans="5:5" x14ac:dyDescent="0.3">
      <c r="E424" s="36"/>
    </row>
    <row r="425" spans="5:5" x14ac:dyDescent="0.3">
      <c r="E425" s="36"/>
    </row>
    <row r="426" spans="5:5" x14ac:dyDescent="0.3">
      <c r="E426" s="36"/>
    </row>
    <row r="427" spans="5:5" x14ac:dyDescent="0.3">
      <c r="E427" s="36"/>
    </row>
    <row r="428" spans="5:5" x14ac:dyDescent="0.3">
      <c r="E428" s="36"/>
    </row>
    <row r="429" spans="5:5" x14ac:dyDescent="0.3">
      <c r="E429" s="36"/>
    </row>
    <row r="430" spans="5:5" x14ac:dyDescent="0.3">
      <c r="E430" s="36"/>
    </row>
    <row r="431" spans="5:5" x14ac:dyDescent="0.3">
      <c r="E431" s="36"/>
    </row>
    <row r="432" spans="5:5" x14ac:dyDescent="0.3">
      <c r="E432" s="36"/>
    </row>
    <row r="433" spans="5:5" x14ac:dyDescent="0.3">
      <c r="E433" s="36"/>
    </row>
    <row r="434" spans="5:5" x14ac:dyDescent="0.3">
      <c r="E434" s="36"/>
    </row>
    <row r="435" spans="5:5" x14ac:dyDescent="0.3">
      <c r="E435" s="36"/>
    </row>
    <row r="436" spans="5:5" x14ac:dyDescent="0.3">
      <c r="E436" s="36"/>
    </row>
    <row r="437" spans="5:5" x14ac:dyDescent="0.3">
      <c r="E437" s="36"/>
    </row>
    <row r="438" spans="5:5" x14ac:dyDescent="0.3">
      <c r="E438" s="36"/>
    </row>
    <row r="439" spans="5:5" x14ac:dyDescent="0.3">
      <c r="E439" s="36"/>
    </row>
    <row r="440" spans="5:5" x14ac:dyDescent="0.3">
      <c r="E440" s="36"/>
    </row>
    <row r="441" spans="5:5" x14ac:dyDescent="0.3">
      <c r="E441" s="36"/>
    </row>
    <row r="442" spans="5:5" x14ac:dyDescent="0.3">
      <c r="E442" s="36"/>
    </row>
    <row r="443" spans="5:5" x14ac:dyDescent="0.3">
      <c r="E443" s="36"/>
    </row>
    <row r="444" spans="5:5" x14ac:dyDescent="0.3">
      <c r="E444" s="36"/>
    </row>
    <row r="445" spans="5:5" x14ac:dyDescent="0.3">
      <c r="E445" s="36"/>
    </row>
    <row r="446" spans="5:5" x14ac:dyDescent="0.3">
      <c r="E446" s="36"/>
    </row>
    <row r="447" spans="5:5" x14ac:dyDescent="0.3">
      <c r="E447" s="36"/>
    </row>
    <row r="448" spans="5:5" x14ac:dyDescent="0.3">
      <c r="E448" s="36"/>
    </row>
    <row r="449" spans="5:5" x14ac:dyDescent="0.3">
      <c r="E449" s="36"/>
    </row>
    <row r="450" spans="5:5" x14ac:dyDescent="0.3">
      <c r="E450" s="36"/>
    </row>
    <row r="451" spans="5:5" x14ac:dyDescent="0.3">
      <c r="E451" s="36"/>
    </row>
    <row r="452" spans="5:5" x14ac:dyDescent="0.3">
      <c r="E452" s="36"/>
    </row>
    <row r="453" spans="5:5" x14ac:dyDescent="0.3">
      <c r="E453" s="36"/>
    </row>
    <row r="454" spans="5:5" x14ac:dyDescent="0.3">
      <c r="E454" s="36"/>
    </row>
    <row r="455" spans="5:5" x14ac:dyDescent="0.3">
      <c r="E455" s="36"/>
    </row>
    <row r="456" spans="5:5" x14ac:dyDescent="0.3">
      <c r="E456" s="36"/>
    </row>
    <row r="457" spans="5:5" x14ac:dyDescent="0.3">
      <c r="E457" s="36"/>
    </row>
    <row r="458" spans="5:5" x14ac:dyDescent="0.3">
      <c r="E458" s="36"/>
    </row>
    <row r="459" spans="5:5" x14ac:dyDescent="0.3">
      <c r="E459" s="36"/>
    </row>
    <row r="460" spans="5:5" x14ac:dyDescent="0.3">
      <c r="E460" s="36"/>
    </row>
    <row r="461" spans="5:5" x14ac:dyDescent="0.3">
      <c r="E461" s="36"/>
    </row>
    <row r="462" spans="5:5" x14ac:dyDescent="0.3">
      <c r="E462" s="36"/>
    </row>
    <row r="463" spans="5:5" x14ac:dyDescent="0.3">
      <c r="E463" s="36"/>
    </row>
    <row r="464" spans="5:5" x14ac:dyDescent="0.3">
      <c r="E464" s="36"/>
    </row>
    <row r="465" spans="5:5" x14ac:dyDescent="0.3">
      <c r="E465" s="36"/>
    </row>
    <row r="466" spans="5:5" x14ac:dyDescent="0.3">
      <c r="E466" s="36"/>
    </row>
    <row r="467" spans="5:5" x14ac:dyDescent="0.3">
      <c r="E467" s="36"/>
    </row>
    <row r="468" spans="5:5" x14ac:dyDescent="0.3">
      <c r="E468" s="36"/>
    </row>
    <row r="469" spans="5:5" x14ac:dyDescent="0.3">
      <c r="E469" s="36"/>
    </row>
    <row r="470" spans="5:5" x14ac:dyDescent="0.3">
      <c r="E470" s="36"/>
    </row>
    <row r="471" spans="5:5" x14ac:dyDescent="0.3">
      <c r="E471" s="36"/>
    </row>
    <row r="472" spans="5:5" x14ac:dyDescent="0.3">
      <c r="E472" s="36"/>
    </row>
    <row r="473" spans="5:5" x14ac:dyDescent="0.3">
      <c r="E473" s="36"/>
    </row>
    <row r="474" spans="5:5" x14ac:dyDescent="0.3">
      <c r="E474" s="36"/>
    </row>
    <row r="475" spans="5:5" x14ac:dyDescent="0.3">
      <c r="E475" s="36"/>
    </row>
    <row r="476" spans="5:5" x14ac:dyDescent="0.3">
      <c r="E476" s="36"/>
    </row>
    <row r="477" spans="5:5" x14ac:dyDescent="0.3">
      <c r="E477" s="36"/>
    </row>
    <row r="478" spans="5:5" x14ac:dyDescent="0.3">
      <c r="E478" s="36"/>
    </row>
    <row r="479" spans="5:5" x14ac:dyDescent="0.3">
      <c r="E479" s="36"/>
    </row>
    <row r="480" spans="5:5" x14ac:dyDescent="0.3">
      <c r="E480" s="36"/>
    </row>
    <row r="481" spans="5:5" x14ac:dyDescent="0.3">
      <c r="E481" s="36"/>
    </row>
    <row r="482" spans="5:5" x14ac:dyDescent="0.3">
      <c r="E482" s="36"/>
    </row>
    <row r="483" spans="5:5" x14ac:dyDescent="0.3">
      <c r="E483" s="36"/>
    </row>
    <row r="484" spans="5:5" x14ac:dyDescent="0.3">
      <c r="E484" s="36"/>
    </row>
    <row r="485" spans="5:5" x14ac:dyDescent="0.3">
      <c r="E485" s="36"/>
    </row>
    <row r="486" spans="5:5" x14ac:dyDescent="0.3">
      <c r="E486" s="36"/>
    </row>
    <row r="487" spans="5:5" x14ac:dyDescent="0.3">
      <c r="E487" s="36"/>
    </row>
    <row r="488" spans="5:5" x14ac:dyDescent="0.3">
      <c r="E488" s="36"/>
    </row>
    <row r="489" spans="5:5" x14ac:dyDescent="0.3">
      <c r="E489" s="36"/>
    </row>
    <row r="490" spans="5:5" x14ac:dyDescent="0.3">
      <c r="E490" s="36"/>
    </row>
    <row r="491" spans="5:5" x14ac:dyDescent="0.3">
      <c r="E491" s="36"/>
    </row>
    <row r="492" spans="5:5" x14ac:dyDescent="0.3">
      <c r="E492" s="36"/>
    </row>
    <row r="493" spans="5:5" x14ac:dyDescent="0.3">
      <c r="E493" s="36"/>
    </row>
    <row r="494" spans="5:5" x14ac:dyDescent="0.3">
      <c r="E494" s="36"/>
    </row>
    <row r="495" spans="5:5" x14ac:dyDescent="0.3">
      <c r="E495" s="36"/>
    </row>
    <row r="496" spans="5:5" x14ac:dyDescent="0.3">
      <c r="E496" s="36"/>
    </row>
    <row r="497" spans="5:5" x14ac:dyDescent="0.3">
      <c r="E497" s="36"/>
    </row>
    <row r="498" spans="5:5" x14ac:dyDescent="0.3">
      <c r="E498" s="36"/>
    </row>
    <row r="499" spans="5:5" x14ac:dyDescent="0.3">
      <c r="E499" s="36"/>
    </row>
    <row r="500" spans="5:5" x14ac:dyDescent="0.3">
      <c r="E500" s="36"/>
    </row>
    <row r="501" spans="5:5" x14ac:dyDescent="0.3">
      <c r="E501" s="36"/>
    </row>
    <row r="502" spans="5:5" x14ac:dyDescent="0.3">
      <c r="E502" s="36"/>
    </row>
    <row r="503" spans="5:5" x14ac:dyDescent="0.3">
      <c r="E503" s="36"/>
    </row>
    <row r="504" spans="5:5" x14ac:dyDescent="0.3">
      <c r="E504" s="36"/>
    </row>
    <row r="505" spans="5:5" x14ac:dyDescent="0.3">
      <c r="E505" s="36"/>
    </row>
    <row r="506" spans="5:5" x14ac:dyDescent="0.3">
      <c r="E506" s="36"/>
    </row>
    <row r="507" spans="5:5" x14ac:dyDescent="0.3">
      <c r="E507" s="36"/>
    </row>
    <row r="508" spans="5:5" x14ac:dyDescent="0.3">
      <c r="E508" s="36"/>
    </row>
    <row r="509" spans="5:5" x14ac:dyDescent="0.3">
      <c r="E509" s="36"/>
    </row>
    <row r="510" spans="5:5" x14ac:dyDescent="0.3">
      <c r="E510" s="36"/>
    </row>
    <row r="511" spans="5:5" x14ac:dyDescent="0.3">
      <c r="E511" s="36"/>
    </row>
    <row r="512" spans="5:5" x14ac:dyDescent="0.3">
      <c r="E512" s="36"/>
    </row>
    <row r="513" spans="5:5" x14ac:dyDescent="0.3">
      <c r="E513" s="36"/>
    </row>
    <row r="514" spans="5:5" x14ac:dyDescent="0.3">
      <c r="E514" s="36"/>
    </row>
    <row r="515" spans="5:5" x14ac:dyDescent="0.3">
      <c r="E515" s="36"/>
    </row>
    <row r="516" spans="5:5" x14ac:dyDescent="0.3">
      <c r="E516" s="36"/>
    </row>
    <row r="517" spans="5:5" x14ac:dyDescent="0.3">
      <c r="E517" s="36"/>
    </row>
    <row r="518" spans="5:5" x14ac:dyDescent="0.3">
      <c r="E518" s="36"/>
    </row>
    <row r="519" spans="5:5" x14ac:dyDescent="0.3">
      <c r="E519" s="36"/>
    </row>
    <row r="520" spans="5:5" x14ac:dyDescent="0.3">
      <c r="E520" s="36"/>
    </row>
    <row r="521" spans="5:5" x14ac:dyDescent="0.3">
      <c r="E521" s="36"/>
    </row>
    <row r="522" spans="5:5" x14ac:dyDescent="0.3">
      <c r="E522" s="36"/>
    </row>
    <row r="523" spans="5:5" x14ac:dyDescent="0.3">
      <c r="E523" s="36"/>
    </row>
    <row r="524" spans="5:5" x14ac:dyDescent="0.3">
      <c r="E524" s="36"/>
    </row>
    <row r="525" spans="5:5" x14ac:dyDescent="0.3">
      <c r="E525" s="36"/>
    </row>
    <row r="526" spans="5:5" x14ac:dyDescent="0.3">
      <c r="E526" s="36"/>
    </row>
    <row r="527" spans="5:5" x14ac:dyDescent="0.3">
      <c r="E527" s="36"/>
    </row>
    <row r="528" spans="5:5" x14ac:dyDescent="0.3">
      <c r="E528" s="36"/>
    </row>
    <row r="529" spans="5:5" x14ac:dyDescent="0.3">
      <c r="E529" s="36"/>
    </row>
    <row r="530" spans="5:5" x14ac:dyDescent="0.3">
      <c r="E530" s="36"/>
    </row>
    <row r="531" spans="5:5" x14ac:dyDescent="0.3">
      <c r="E531" s="36"/>
    </row>
    <row r="532" spans="5:5" x14ac:dyDescent="0.3">
      <c r="E532" s="36"/>
    </row>
    <row r="533" spans="5:5" x14ac:dyDescent="0.3">
      <c r="E533" s="36"/>
    </row>
    <row r="534" spans="5:5" x14ac:dyDescent="0.3">
      <c r="E534" s="36"/>
    </row>
    <row r="535" spans="5:5" x14ac:dyDescent="0.3">
      <c r="E535" s="36"/>
    </row>
    <row r="536" spans="5:5" x14ac:dyDescent="0.3">
      <c r="E536" s="36"/>
    </row>
    <row r="537" spans="5:5" x14ac:dyDescent="0.3">
      <c r="E537" s="36"/>
    </row>
    <row r="538" spans="5:5" x14ac:dyDescent="0.3">
      <c r="E538" s="36"/>
    </row>
    <row r="539" spans="5:5" x14ac:dyDescent="0.3">
      <c r="E539" s="36"/>
    </row>
    <row r="540" spans="5:5" x14ac:dyDescent="0.3">
      <c r="E540" s="36"/>
    </row>
    <row r="541" spans="5:5" x14ac:dyDescent="0.3">
      <c r="E541" s="36"/>
    </row>
    <row r="542" spans="5:5" x14ac:dyDescent="0.3">
      <c r="E542" s="36"/>
    </row>
    <row r="543" spans="5:5" x14ac:dyDescent="0.3">
      <c r="E543" s="36"/>
    </row>
    <row r="544" spans="5:5" x14ac:dyDescent="0.3">
      <c r="E544" s="36"/>
    </row>
    <row r="545" spans="5:5" x14ac:dyDescent="0.3">
      <c r="E545" s="36"/>
    </row>
    <row r="546" spans="5:5" x14ac:dyDescent="0.3">
      <c r="E546" s="36"/>
    </row>
    <row r="547" spans="5:5" x14ac:dyDescent="0.3">
      <c r="E547" s="36"/>
    </row>
    <row r="548" spans="5:5" x14ac:dyDescent="0.3">
      <c r="E548" s="36"/>
    </row>
    <row r="549" spans="5:5" x14ac:dyDescent="0.3">
      <c r="E549" s="36"/>
    </row>
    <row r="550" spans="5:5" x14ac:dyDescent="0.3">
      <c r="E550" s="36"/>
    </row>
    <row r="551" spans="5:5" x14ac:dyDescent="0.3">
      <c r="E551" s="36"/>
    </row>
    <row r="552" spans="5:5" x14ac:dyDescent="0.3">
      <c r="E552" s="36"/>
    </row>
    <row r="553" spans="5:5" x14ac:dyDescent="0.3">
      <c r="E553" s="36"/>
    </row>
    <row r="554" spans="5:5" x14ac:dyDescent="0.3">
      <c r="E554" s="36"/>
    </row>
    <row r="555" spans="5:5" x14ac:dyDescent="0.3">
      <c r="E555" s="36"/>
    </row>
    <row r="556" spans="5:5" x14ac:dyDescent="0.3">
      <c r="E556" s="36"/>
    </row>
    <row r="557" spans="5:5" x14ac:dyDescent="0.3">
      <c r="E557" s="36"/>
    </row>
    <row r="558" spans="5:5" x14ac:dyDescent="0.3">
      <c r="E558" s="36"/>
    </row>
    <row r="559" spans="5:5" x14ac:dyDescent="0.3">
      <c r="E559" s="36"/>
    </row>
    <row r="560" spans="5:5" x14ac:dyDescent="0.3">
      <c r="E560" s="36"/>
    </row>
    <row r="561" spans="5:5" x14ac:dyDescent="0.3">
      <c r="E561" s="36"/>
    </row>
    <row r="562" spans="5:5" x14ac:dyDescent="0.3">
      <c r="E562" s="36"/>
    </row>
    <row r="563" spans="5:5" x14ac:dyDescent="0.3">
      <c r="E563" s="36"/>
    </row>
    <row r="564" spans="5:5" x14ac:dyDescent="0.3">
      <c r="E564" s="36"/>
    </row>
    <row r="565" spans="5:5" x14ac:dyDescent="0.3">
      <c r="E565" s="36"/>
    </row>
    <row r="566" spans="5:5" x14ac:dyDescent="0.3">
      <c r="E566" s="36"/>
    </row>
    <row r="567" spans="5:5" x14ac:dyDescent="0.3">
      <c r="E567" s="36"/>
    </row>
    <row r="568" spans="5:5" x14ac:dyDescent="0.3">
      <c r="E568" s="36"/>
    </row>
    <row r="569" spans="5:5" x14ac:dyDescent="0.3">
      <c r="E569" s="36"/>
    </row>
    <row r="570" spans="5:5" x14ac:dyDescent="0.3">
      <c r="E570" s="36"/>
    </row>
    <row r="571" spans="5:5" x14ac:dyDescent="0.3">
      <c r="E571" s="36"/>
    </row>
    <row r="572" spans="5:5" x14ac:dyDescent="0.3">
      <c r="E572" s="36"/>
    </row>
    <row r="573" spans="5:5" x14ac:dyDescent="0.3">
      <c r="E573" s="36"/>
    </row>
    <row r="574" spans="5:5" x14ac:dyDescent="0.3">
      <c r="E574" s="36"/>
    </row>
    <row r="575" spans="5:5" x14ac:dyDescent="0.3">
      <c r="E575" s="36"/>
    </row>
    <row r="576" spans="5:5" x14ac:dyDescent="0.3">
      <c r="E576" s="36"/>
    </row>
    <row r="577" spans="5:5" x14ac:dyDescent="0.3">
      <c r="E577" s="36"/>
    </row>
    <row r="578" spans="5:5" x14ac:dyDescent="0.3">
      <c r="E578" s="36"/>
    </row>
    <row r="579" spans="5:5" x14ac:dyDescent="0.3">
      <c r="E579" s="36"/>
    </row>
    <row r="580" spans="5:5" x14ac:dyDescent="0.3">
      <c r="E580" s="36"/>
    </row>
    <row r="581" spans="5:5" x14ac:dyDescent="0.3">
      <c r="E581" s="36"/>
    </row>
    <row r="582" spans="5:5" x14ac:dyDescent="0.3">
      <c r="E582" s="36"/>
    </row>
    <row r="583" spans="5:5" x14ac:dyDescent="0.3">
      <c r="E583" s="36"/>
    </row>
    <row r="584" spans="5:5" x14ac:dyDescent="0.3">
      <c r="E584" s="36"/>
    </row>
    <row r="585" spans="5:5" x14ac:dyDescent="0.3">
      <c r="E585" s="36"/>
    </row>
    <row r="586" spans="5:5" x14ac:dyDescent="0.3">
      <c r="E586" s="36"/>
    </row>
    <row r="587" spans="5:5" x14ac:dyDescent="0.3">
      <c r="E587" s="36"/>
    </row>
    <row r="588" spans="5:5" x14ac:dyDescent="0.3">
      <c r="E588" s="36"/>
    </row>
    <row r="589" spans="5:5" x14ac:dyDescent="0.3">
      <c r="E589" s="36"/>
    </row>
    <row r="590" spans="5:5" x14ac:dyDescent="0.3">
      <c r="E590" s="36"/>
    </row>
    <row r="591" spans="5:5" x14ac:dyDescent="0.3">
      <c r="E591" s="36"/>
    </row>
    <row r="592" spans="5:5" x14ac:dyDescent="0.3">
      <c r="E592" s="36"/>
    </row>
    <row r="593" spans="5:5" x14ac:dyDescent="0.3">
      <c r="E593" s="36"/>
    </row>
    <row r="594" spans="5:5" x14ac:dyDescent="0.3">
      <c r="E594" s="36"/>
    </row>
    <row r="595" spans="5:5" x14ac:dyDescent="0.3">
      <c r="E595" s="36"/>
    </row>
    <row r="596" spans="5:5" x14ac:dyDescent="0.3">
      <c r="E596" s="36"/>
    </row>
    <row r="597" spans="5:5" x14ac:dyDescent="0.3">
      <c r="E597" s="36"/>
    </row>
    <row r="598" spans="5:5" x14ac:dyDescent="0.3">
      <c r="E598" s="36"/>
    </row>
    <row r="599" spans="5:5" x14ac:dyDescent="0.3">
      <c r="E599" s="36"/>
    </row>
    <row r="600" spans="5:5" x14ac:dyDescent="0.3">
      <c r="E600" s="36"/>
    </row>
    <row r="601" spans="5:5" x14ac:dyDescent="0.3">
      <c r="E601" s="36"/>
    </row>
    <row r="602" spans="5:5" x14ac:dyDescent="0.3">
      <c r="E602" s="36"/>
    </row>
    <row r="603" spans="5:5" x14ac:dyDescent="0.3">
      <c r="E603" s="36"/>
    </row>
    <row r="604" spans="5:5" x14ac:dyDescent="0.3">
      <c r="E604" s="36"/>
    </row>
    <row r="605" spans="5:5" x14ac:dyDescent="0.3">
      <c r="E605" s="36"/>
    </row>
    <row r="606" spans="5:5" x14ac:dyDescent="0.3">
      <c r="E606" s="36"/>
    </row>
    <row r="607" spans="5:5" x14ac:dyDescent="0.3">
      <c r="E607" s="36"/>
    </row>
    <row r="608" spans="5:5" x14ac:dyDescent="0.3">
      <c r="E608" s="36"/>
    </row>
    <row r="609" spans="5:5" x14ac:dyDescent="0.3">
      <c r="E609" s="36"/>
    </row>
    <row r="610" spans="5:5" x14ac:dyDescent="0.3">
      <c r="E610" s="36"/>
    </row>
    <row r="611" spans="5:5" x14ac:dyDescent="0.3">
      <c r="E611" s="36"/>
    </row>
    <row r="612" spans="5:5" x14ac:dyDescent="0.3">
      <c r="E612" s="36"/>
    </row>
    <row r="613" spans="5:5" x14ac:dyDescent="0.3">
      <c r="E613" s="36"/>
    </row>
    <row r="614" spans="5:5" x14ac:dyDescent="0.3">
      <c r="E614" s="36"/>
    </row>
    <row r="615" spans="5:5" x14ac:dyDescent="0.3">
      <c r="E615" s="36"/>
    </row>
    <row r="616" spans="5:5" x14ac:dyDescent="0.3">
      <c r="E616" s="36"/>
    </row>
    <row r="617" spans="5:5" x14ac:dyDescent="0.3">
      <c r="E617" s="36"/>
    </row>
    <row r="618" spans="5:5" x14ac:dyDescent="0.3">
      <c r="E618" s="36"/>
    </row>
    <row r="619" spans="5:5" x14ac:dyDescent="0.3">
      <c r="E619" s="36"/>
    </row>
    <row r="620" spans="5:5" x14ac:dyDescent="0.3">
      <c r="E620" s="36"/>
    </row>
    <row r="621" spans="5:5" x14ac:dyDescent="0.3">
      <c r="E621" s="36"/>
    </row>
    <row r="622" spans="5:5" x14ac:dyDescent="0.3">
      <c r="E622" s="36"/>
    </row>
    <row r="623" spans="5:5" x14ac:dyDescent="0.3">
      <c r="E623" s="36"/>
    </row>
    <row r="624" spans="5:5" x14ac:dyDescent="0.3">
      <c r="E624" s="36"/>
    </row>
    <row r="625" spans="5:5" x14ac:dyDescent="0.3">
      <c r="E625" s="36"/>
    </row>
    <row r="626" spans="5:5" x14ac:dyDescent="0.3">
      <c r="E626" s="36"/>
    </row>
    <row r="627" spans="5:5" x14ac:dyDescent="0.3">
      <c r="E627" s="36"/>
    </row>
    <row r="628" spans="5:5" x14ac:dyDescent="0.3">
      <c r="E628" s="36"/>
    </row>
    <row r="629" spans="5:5" x14ac:dyDescent="0.3">
      <c r="E629" s="36"/>
    </row>
    <row r="630" spans="5:5" x14ac:dyDescent="0.3">
      <c r="E630" s="36"/>
    </row>
    <row r="631" spans="5:5" x14ac:dyDescent="0.3">
      <c r="E631" s="36"/>
    </row>
    <row r="632" spans="5:5" x14ac:dyDescent="0.3">
      <c r="E632" s="36"/>
    </row>
    <row r="633" spans="5:5" x14ac:dyDescent="0.3">
      <c r="E633" s="36"/>
    </row>
    <row r="634" spans="5:5" x14ac:dyDescent="0.3">
      <c r="E634" s="36"/>
    </row>
    <row r="635" spans="5:5" x14ac:dyDescent="0.3">
      <c r="E635" s="36"/>
    </row>
    <row r="636" spans="5:5" x14ac:dyDescent="0.3">
      <c r="E636" s="36"/>
    </row>
    <row r="637" spans="5:5" x14ac:dyDescent="0.3">
      <c r="E637" s="36"/>
    </row>
    <row r="638" spans="5:5" x14ac:dyDescent="0.3">
      <c r="E638" s="36"/>
    </row>
    <row r="639" spans="5:5" x14ac:dyDescent="0.3">
      <c r="E639" s="36"/>
    </row>
    <row r="640" spans="5:5" x14ac:dyDescent="0.3">
      <c r="E640" s="36"/>
    </row>
    <row r="641" spans="5:5" x14ac:dyDescent="0.3">
      <c r="E641" s="36"/>
    </row>
    <row r="642" spans="5:5" x14ac:dyDescent="0.3">
      <c r="E642" s="36"/>
    </row>
    <row r="643" spans="5:5" x14ac:dyDescent="0.3">
      <c r="E643" s="36"/>
    </row>
    <row r="644" spans="5:5" x14ac:dyDescent="0.3">
      <c r="E644" s="36"/>
    </row>
    <row r="645" spans="5:5" x14ac:dyDescent="0.3">
      <c r="E645" s="36"/>
    </row>
    <row r="646" spans="5:5" x14ac:dyDescent="0.3">
      <c r="E646" s="36"/>
    </row>
    <row r="647" spans="5:5" x14ac:dyDescent="0.3">
      <c r="E647" s="36"/>
    </row>
    <row r="648" spans="5:5" x14ac:dyDescent="0.3">
      <c r="E648" s="36"/>
    </row>
    <row r="649" spans="5:5" x14ac:dyDescent="0.3">
      <c r="E649" s="36"/>
    </row>
    <row r="650" spans="5:5" x14ac:dyDescent="0.3">
      <c r="E650" s="36"/>
    </row>
    <row r="651" spans="5:5" x14ac:dyDescent="0.3">
      <c r="E651" s="36"/>
    </row>
    <row r="652" spans="5:5" x14ac:dyDescent="0.3">
      <c r="E652" s="36"/>
    </row>
    <row r="653" spans="5:5" x14ac:dyDescent="0.3">
      <c r="E653" s="36"/>
    </row>
    <row r="654" spans="5:5" x14ac:dyDescent="0.3">
      <c r="E654" s="36"/>
    </row>
    <row r="655" spans="5:5" x14ac:dyDescent="0.3">
      <c r="E655" s="36"/>
    </row>
    <row r="656" spans="5:5" x14ac:dyDescent="0.3">
      <c r="E656" s="36"/>
    </row>
    <row r="657" spans="5:5" x14ac:dyDescent="0.3">
      <c r="E657" s="36"/>
    </row>
    <row r="658" spans="5:5" x14ac:dyDescent="0.3">
      <c r="E658" s="36"/>
    </row>
    <row r="659" spans="5:5" x14ac:dyDescent="0.3">
      <c r="E659" s="36"/>
    </row>
    <row r="660" spans="5:5" x14ac:dyDescent="0.3">
      <c r="E660" s="36"/>
    </row>
    <row r="661" spans="5:5" x14ac:dyDescent="0.3">
      <c r="E661" s="36"/>
    </row>
    <row r="662" spans="5:5" x14ac:dyDescent="0.3">
      <c r="E662" s="36"/>
    </row>
    <row r="663" spans="5:5" x14ac:dyDescent="0.3">
      <c r="E663" s="36"/>
    </row>
    <row r="664" spans="5:5" x14ac:dyDescent="0.3">
      <c r="E664" s="36"/>
    </row>
    <row r="665" spans="5:5" x14ac:dyDescent="0.3">
      <c r="E665" s="36"/>
    </row>
    <row r="666" spans="5:5" x14ac:dyDescent="0.3">
      <c r="E666" s="36"/>
    </row>
    <row r="667" spans="5:5" x14ac:dyDescent="0.3">
      <c r="E667" s="36"/>
    </row>
    <row r="668" spans="5:5" x14ac:dyDescent="0.3">
      <c r="E668" s="36"/>
    </row>
    <row r="669" spans="5:5" x14ac:dyDescent="0.3">
      <c r="E669" s="36"/>
    </row>
    <row r="670" spans="5:5" x14ac:dyDescent="0.3">
      <c r="E670" s="36"/>
    </row>
    <row r="671" spans="5:5" x14ac:dyDescent="0.3">
      <c r="E671" s="36"/>
    </row>
    <row r="672" spans="5:5" x14ac:dyDescent="0.3">
      <c r="E672" s="36"/>
    </row>
    <row r="673" spans="5:5" x14ac:dyDescent="0.3">
      <c r="E673" s="36"/>
    </row>
    <row r="674" spans="5:5" x14ac:dyDescent="0.3">
      <c r="E674" s="36"/>
    </row>
    <row r="675" spans="5:5" x14ac:dyDescent="0.3">
      <c r="E675" s="36"/>
    </row>
    <row r="676" spans="5:5" x14ac:dyDescent="0.3">
      <c r="E676" s="36"/>
    </row>
    <row r="677" spans="5:5" x14ac:dyDescent="0.3">
      <c r="E677" s="36"/>
    </row>
    <row r="678" spans="5:5" x14ac:dyDescent="0.3">
      <c r="E678" s="36"/>
    </row>
    <row r="679" spans="5:5" x14ac:dyDescent="0.3">
      <c r="E679" s="36"/>
    </row>
    <row r="680" spans="5:5" x14ac:dyDescent="0.3">
      <c r="E680" s="36"/>
    </row>
    <row r="681" spans="5:5" x14ac:dyDescent="0.3">
      <c r="E681" s="36"/>
    </row>
    <row r="682" spans="5:5" x14ac:dyDescent="0.3">
      <c r="E682" s="36"/>
    </row>
    <row r="683" spans="5:5" x14ac:dyDescent="0.3">
      <c r="E683" s="36"/>
    </row>
    <row r="684" spans="5:5" x14ac:dyDescent="0.3">
      <c r="E684" s="36"/>
    </row>
    <row r="685" spans="5:5" x14ac:dyDescent="0.3">
      <c r="E685" s="36"/>
    </row>
    <row r="686" spans="5:5" x14ac:dyDescent="0.3">
      <c r="E686" s="36"/>
    </row>
    <row r="687" spans="5:5" x14ac:dyDescent="0.3">
      <c r="E687" s="36"/>
    </row>
    <row r="688" spans="5:5" x14ac:dyDescent="0.3">
      <c r="E688" s="36"/>
    </row>
    <row r="689" spans="5:5" x14ac:dyDescent="0.3">
      <c r="E689" s="36"/>
    </row>
    <row r="690" spans="5:5" x14ac:dyDescent="0.3">
      <c r="E690" s="36"/>
    </row>
    <row r="691" spans="5:5" x14ac:dyDescent="0.3">
      <c r="E691" s="36"/>
    </row>
    <row r="692" spans="5:5" x14ac:dyDescent="0.3">
      <c r="E692" s="36"/>
    </row>
    <row r="693" spans="5:5" x14ac:dyDescent="0.3">
      <c r="E693" s="36"/>
    </row>
    <row r="694" spans="5:5" x14ac:dyDescent="0.3">
      <c r="E694" s="36"/>
    </row>
    <row r="695" spans="5:5" x14ac:dyDescent="0.3">
      <c r="E695" s="36"/>
    </row>
    <row r="696" spans="5:5" x14ac:dyDescent="0.3">
      <c r="E696" s="36"/>
    </row>
    <row r="697" spans="5:5" x14ac:dyDescent="0.3">
      <c r="E697" s="36"/>
    </row>
    <row r="698" spans="5:5" x14ac:dyDescent="0.3">
      <c r="E698" s="36"/>
    </row>
    <row r="699" spans="5:5" x14ac:dyDescent="0.3">
      <c r="E699" s="36"/>
    </row>
    <row r="700" spans="5:5" x14ac:dyDescent="0.3">
      <c r="E700" s="36"/>
    </row>
    <row r="701" spans="5:5" x14ac:dyDescent="0.3">
      <c r="E701" s="36"/>
    </row>
    <row r="702" spans="5:5" x14ac:dyDescent="0.3">
      <c r="E702" s="36"/>
    </row>
    <row r="703" spans="5:5" x14ac:dyDescent="0.3">
      <c r="E703" s="36"/>
    </row>
    <row r="704" spans="5:5" x14ac:dyDescent="0.3">
      <c r="E704" s="36"/>
    </row>
    <row r="705" spans="5:5" x14ac:dyDescent="0.3">
      <c r="E705" s="36"/>
    </row>
    <row r="706" spans="5:5" x14ac:dyDescent="0.3">
      <c r="E706" s="36"/>
    </row>
    <row r="707" spans="5:5" x14ac:dyDescent="0.3">
      <c r="E707" s="36"/>
    </row>
    <row r="708" spans="5:5" x14ac:dyDescent="0.3">
      <c r="E708" s="36"/>
    </row>
    <row r="709" spans="5:5" x14ac:dyDescent="0.3">
      <c r="E709" s="36"/>
    </row>
    <row r="710" spans="5:5" x14ac:dyDescent="0.3">
      <c r="E710" s="36"/>
    </row>
    <row r="711" spans="5:5" x14ac:dyDescent="0.3">
      <c r="E711" s="36"/>
    </row>
    <row r="712" spans="5:5" x14ac:dyDescent="0.3">
      <c r="E712" s="36"/>
    </row>
    <row r="713" spans="5:5" x14ac:dyDescent="0.3">
      <c r="E713" s="36"/>
    </row>
    <row r="714" spans="5:5" x14ac:dyDescent="0.3">
      <c r="E714" s="36"/>
    </row>
    <row r="715" spans="5:5" x14ac:dyDescent="0.3">
      <c r="E715" s="36"/>
    </row>
    <row r="716" spans="5:5" x14ac:dyDescent="0.3">
      <c r="E716" s="36"/>
    </row>
    <row r="717" spans="5:5" x14ac:dyDescent="0.3">
      <c r="E717" s="36"/>
    </row>
    <row r="718" spans="5:5" x14ac:dyDescent="0.3">
      <c r="E718" s="36"/>
    </row>
    <row r="719" spans="5:5" x14ac:dyDescent="0.3">
      <c r="E719" s="36"/>
    </row>
    <row r="720" spans="5:5" x14ac:dyDescent="0.3">
      <c r="E720" s="36"/>
    </row>
    <row r="721" spans="5:5" x14ac:dyDescent="0.3">
      <c r="E721" s="36"/>
    </row>
    <row r="722" spans="5:5" x14ac:dyDescent="0.3">
      <c r="E722" s="36"/>
    </row>
    <row r="723" spans="5:5" x14ac:dyDescent="0.3">
      <c r="E723" s="36"/>
    </row>
    <row r="724" spans="5:5" x14ac:dyDescent="0.3">
      <c r="E724" s="36"/>
    </row>
    <row r="725" spans="5:5" x14ac:dyDescent="0.3">
      <c r="E725" s="36"/>
    </row>
    <row r="726" spans="5:5" x14ac:dyDescent="0.3">
      <c r="E726" s="36"/>
    </row>
    <row r="727" spans="5:5" x14ac:dyDescent="0.3">
      <c r="E727" s="36"/>
    </row>
    <row r="728" spans="5:5" x14ac:dyDescent="0.3">
      <c r="E728" s="36"/>
    </row>
    <row r="729" spans="5:5" x14ac:dyDescent="0.3">
      <c r="E729" s="36"/>
    </row>
    <row r="730" spans="5:5" x14ac:dyDescent="0.3">
      <c r="E730" s="36"/>
    </row>
    <row r="731" spans="5:5" x14ac:dyDescent="0.3">
      <c r="E731" s="36"/>
    </row>
    <row r="732" spans="5:5" x14ac:dyDescent="0.3">
      <c r="E732" s="36"/>
    </row>
    <row r="733" spans="5:5" x14ac:dyDescent="0.3">
      <c r="E733" s="36"/>
    </row>
    <row r="734" spans="5:5" x14ac:dyDescent="0.3">
      <c r="E734" s="36"/>
    </row>
    <row r="735" spans="5:5" x14ac:dyDescent="0.3">
      <c r="E735" s="36"/>
    </row>
    <row r="736" spans="5:5" x14ac:dyDescent="0.3">
      <c r="E736" s="36"/>
    </row>
    <row r="737" spans="5:5" x14ac:dyDescent="0.3">
      <c r="E737" s="36"/>
    </row>
    <row r="738" spans="5:5" x14ac:dyDescent="0.3">
      <c r="E738" s="36"/>
    </row>
    <row r="739" spans="5:5" x14ac:dyDescent="0.3">
      <c r="E739" s="36"/>
    </row>
    <row r="740" spans="5:5" x14ac:dyDescent="0.3">
      <c r="E740" s="36"/>
    </row>
    <row r="741" spans="5:5" x14ac:dyDescent="0.3">
      <c r="E741" s="36"/>
    </row>
    <row r="742" spans="5:5" x14ac:dyDescent="0.3">
      <c r="E742" s="36"/>
    </row>
    <row r="743" spans="5:5" x14ac:dyDescent="0.3">
      <c r="E743" s="36"/>
    </row>
    <row r="744" spans="5:5" x14ac:dyDescent="0.3">
      <c r="E744" s="36"/>
    </row>
    <row r="745" spans="5:5" x14ac:dyDescent="0.3">
      <c r="E745" s="36"/>
    </row>
    <row r="746" spans="5:5" x14ac:dyDescent="0.3">
      <c r="E746" s="36"/>
    </row>
    <row r="747" spans="5:5" x14ac:dyDescent="0.3">
      <c r="E747" s="36"/>
    </row>
    <row r="748" spans="5:5" x14ac:dyDescent="0.3">
      <c r="E748" s="36"/>
    </row>
    <row r="749" spans="5:5" x14ac:dyDescent="0.3">
      <c r="E749" s="36"/>
    </row>
    <row r="750" spans="5:5" x14ac:dyDescent="0.3">
      <c r="E750" s="36"/>
    </row>
    <row r="751" spans="5:5" x14ac:dyDescent="0.3">
      <c r="E751" s="36"/>
    </row>
    <row r="752" spans="5:5" x14ac:dyDescent="0.3">
      <c r="E752" s="36"/>
    </row>
    <row r="753" spans="5:5" x14ac:dyDescent="0.3">
      <c r="E753" s="36"/>
    </row>
    <row r="754" spans="5:5" x14ac:dyDescent="0.3">
      <c r="E754" s="36"/>
    </row>
    <row r="755" spans="5:5" x14ac:dyDescent="0.3">
      <c r="E755" s="36"/>
    </row>
    <row r="756" spans="5:5" x14ac:dyDescent="0.3">
      <c r="E756" s="36"/>
    </row>
    <row r="757" spans="5:5" x14ac:dyDescent="0.3">
      <c r="E757" s="36"/>
    </row>
    <row r="758" spans="5:5" x14ac:dyDescent="0.3">
      <c r="E758" s="36"/>
    </row>
    <row r="759" spans="5:5" x14ac:dyDescent="0.3">
      <c r="E759" s="36"/>
    </row>
    <row r="760" spans="5:5" x14ac:dyDescent="0.3">
      <c r="E760" s="36"/>
    </row>
    <row r="761" spans="5:5" x14ac:dyDescent="0.3">
      <c r="E761" s="36"/>
    </row>
    <row r="762" spans="5:5" x14ac:dyDescent="0.3">
      <c r="E762" s="36"/>
    </row>
    <row r="763" spans="5:5" x14ac:dyDescent="0.3">
      <c r="E763" s="36"/>
    </row>
    <row r="764" spans="5:5" x14ac:dyDescent="0.3">
      <c r="E764" s="36"/>
    </row>
    <row r="765" spans="5:5" x14ac:dyDescent="0.3">
      <c r="E765" s="36"/>
    </row>
    <row r="766" spans="5:5" x14ac:dyDescent="0.3">
      <c r="E766" s="36"/>
    </row>
    <row r="767" spans="5:5" x14ac:dyDescent="0.3">
      <c r="E767" s="36"/>
    </row>
    <row r="768" spans="5:5" x14ac:dyDescent="0.3">
      <c r="E768" s="36"/>
    </row>
    <row r="769" spans="5:5" x14ac:dyDescent="0.3">
      <c r="E769" s="36"/>
    </row>
    <row r="770" spans="5:5" x14ac:dyDescent="0.3">
      <c r="E770" s="36"/>
    </row>
    <row r="771" spans="5:5" x14ac:dyDescent="0.3">
      <c r="E771" s="36"/>
    </row>
    <row r="772" spans="5:5" x14ac:dyDescent="0.3">
      <c r="E772" s="36"/>
    </row>
    <row r="773" spans="5:5" x14ac:dyDescent="0.3">
      <c r="E773" s="36"/>
    </row>
    <row r="774" spans="5:5" x14ac:dyDescent="0.3">
      <c r="E774" s="36"/>
    </row>
    <row r="775" spans="5:5" x14ac:dyDescent="0.3">
      <c r="E775" s="36"/>
    </row>
    <row r="776" spans="5:5" x14ac:dyDescent="0.3">
      <c r="E776" s="36"/>
    </row>
    <row r="777" spans="5:5" x14ac:dyDescent="0.3">
      <c r="E777" s="36"/>
    </row>
    <row r="778" spans="5:5" x14ac:dyDescent="0.3">
      <c r="E778" s="36"/>
    </row>
    <row r="779" spans="5:5" x14ac:dyDescent="0.3">
      <c r="E779" s="36"/>
    </row>
    <row r="780" spans="5:5" x14ac:dyDescent="0.3">
      <c r="E780" s="36"/>
    </row>
    <row r="781" spans="5:5" x14ac:dyDescent="0.3">
      <c r="E781" s="36"/>
    </row>
    <row r="782" spans="5:5" x14ac:dyDescent="0.3">
      <c r="E782" s="36"/>
    </row>
    <row r="783" spans="5:5" x14ac:dyDescent="0.3">
      <c r="E783" s="36"/>
    </row>
    <row r="784" spans="5:5" x14ac:dyDescent="0.3">
      <c r="E784" s="36"/>
    </row>
    <row r="785" spans="5:5" x14ac:dyDescent="0.3">
      <c r="E785" s="36"/>
    </row>
    <row r="786" spans="5:5" x14ac:dyDescent="0.3">
      <c r="E786" s="36"/>
    </row>
    <row r="787" spans="5:5" x14ac:dyDescent="0.3">
      <c r="E787" s="36"/>
    </row>
    <row r="788" spans="5:5" x14ac:dyDescent="0.3">
      <c r="E788" s="36"/>
    </row>
    <row r="789" spans="5:5" x14ac:dyDescent="0.3">
      <c r="E789" s="36"/>
    </row>
    <row r="790" spans="5:5" x14ac:dyDescent="0.3">
      <c r="E790" s="36"/>
    </row>
    <row r="791" spans="5:5" x14ac:dyDescent="0.3">
      <c r="E791" s="36"/>
    </row>
    <row r="792" spans="5:5" x14ac:dyDescent="0.3">
      <c r="E792" s="36"/>
    </row>
    <row r="793" spans="5:5" x14ac:dyDescent="0.3">
      <c r="E793" s="36"/>
    </row>
    <row r="794" spans="5:5" x14ac:dyDescent="0.3">
      <c r="E794" s="36"/>
    </row>
    <row r="795" spans="5:5" x14ac:dyDescent="0.3">
      <c r="E795" s="36"/>
    </row>
    <row r="796" spans="5:5" x14ac:dyDescent="0.3">
      <c r="E796" s="36"/>
    </row>
    <row r="797" spans="5:5" x14ac:dyDescent="0.3">
      <c r="E797" s="36"/>
    </row>
    <row r="798" spans="5:5" x14ac:dyDescent="0.3">
      <c r="E798" s="36"/>
    </row>
    <row r="799" spans="5:5" x14ac:dyDescent="0.3">
      <c r="E799" s="36"/>
    </row>
    <row r="800" spans="5:5" x14ac:dyDescent="0.3">
      <c r="E800" s="36"/>
    </row>
    <row r="801" spans="5:5" x14ac:dyDescent="0.3">
      <c r="E801" s="36"/>
    </row>
    <row r="802" spans="5:5" x14ac:dyDescent="0.3">
      <c r="E802" s="36"/>
    </row>
    <row r="803" spans="5:5" x14ac:dyDescent="0.3">
      <c r="E803" s="36"/>
    </row>
    <row r="804" spans="5:5" x14ac:dyDescent="0.3">
      <c r="E804" s="36"/>
    </row>
    <row r="805" spans="5:5" x14ac:dyDescent="0.3">
      <c r="E805" s="36"/>
    </row>
    <row r="806" spans="5:5" x14ac:dyDescent="0.3">
      <c r="E806" s="36"/>
    </row>
    <row r="807" spans="5:5" x14ac:dyDescent="0.3">
      <c r="E807" s="36"/>
    </row>
    <row r="808" spans="5:5" x14ac:dyDescent="0.3">
      <c r="E808" s="36"/>
    </row>
    <row r="809" spans="5:5" x14ac:dyDescent="0.3">
      <c r="E809" s="36"/>
    </row>
    <row r="810" spans="5:5" x14ac:dyDescent="0.3">
      <c r="E810" s="36"/>
    </row>
    <row r="811" spans="5:5" x14ac:dyDescent="0.3">
      <c r="E811" s="36"/>
    </row>
    <row r="812" spans="5:5" x14ac:dyDescent="0.3">
      <c r="E812" s="36"/>
    </row>
    <row r="813" spans="5:5" x14ac:dyDescent="0.3">
      <c r="E813" s="36"/>
    </row>
    <row r="814" spans="5:5" x14ac:dyDescent="0.3">
      <c r="E814" s="36"/>
    </row>
    <row r="815" spans="5:5" x14ac:dyDescent="0.3">
      <c r="E815" s="36"/>
    </row>
    <row r="816" spans="5:5" x14ac:dyDescent="0.3">
      <c r="E816" s="36"/>
    </row>
    <row r="817" spans="5:5" x14ac:dyDescent="0.3">
      <c r="E817" s="36"/>
    </row>
    <row r="818" spans="5:5" x14ac:dyDescent="0.3">
      <c r="E818" s="36"/>
    </row>
    <row r="819" spans="5:5" x14ac:dyDescent="0.3">
      <c r="E819" s="36"/>
    </row>
    <row r="820" spans="5:5" x14ac:dyDescent="0.3">
      <c r="E820" s="36"/>
    </row>
    <row r="821" spans="5:5" x14ac:dyDescent="0.3">
      <c r="E821" s="36"/>
    </row>
    <row r="822" spans="5:5" x14ac:dyDescent="0.3">
      <c r="E822" s="36"/>
    </row>
    <row r="823" spans="5:5" x14ac:dyDescent="0.3">
      <c r="E823" s="36"/>
    </row>
    <row r="824" spans="5:5" x14ac:dyDescent="0.3">
      <c r="E824" s="36"/>
    </row>
    <row r="825" spans="5:5" x14ac:dyDescent="0.3">
      <c r="E825" s="36"/>
    </row>
    <row r="826" spans="5:5" x14ac:dyDescent="0.3">
      <c r="E826" s="36"/>
    </row>
    <row r="827" spans="5:5" x14ac:dyDescent="0.3">
      <c r="E827" s="36"/>
    </row>
    <row r="828" spans="5:5" x14ac:dyDescent="0.3">
      <c r="E828" s="36"/>
    </row>
    <row r="829" spans="5:5" x14ac:dyDescent="0.3">
      <c r="E829" s="36"/>
    </row>
    <row r="830" spans="5:5" x14ac:dyDescent="0.3">
      <c r="E830" s="36"/>
    </row>
    <row r="831" spans="5:5" x14ac:dyDescent="0.3">
      <c r="E831" s="36"/>
    </row>
    <row r="832" spans="5:5" x14ac:dyDescent="0.3">
      <c r="E832" s="36"/>
    </row>
    <row r="833" spans="5:5" x14ac:dyDescent="0.3">
      <c r="E833" s="36"/>
    </row>
    <row r="834" spans="5:5" x14ac:dyDescent="0.3">
      <c r="E834" s="36"/>
    </row>
    <row r="835" spans="5:5" x14ac:dyDescent="0.3">
      <c r="E835" s="36"/>
    </row>
    <row r="836" spans="5:5" x14ac:dyDescent="0.3">
      <c r="E836" s="36"/>
    </row>
    <row r="837" spans="5:5" x14ac:dyDescent="0.3">
      <c r="E837" s="36"/>
    </row>
    <row r="838" spans="5:5" x14ac:dyDescent="0.3">
      <c r="E838" s="36"/>
    </row>
    <row r="839" spans="5:5" x14ac:dyDescent="0.3">
      <c r="E839" s="36"/>
    </row>
    <row r="840" spans="5:5" x14ac:dyDescent="0.3">
      <c r="E840" s="36"/>
    </row>
    <row r="841" spans="5:5" x14ac:dyDescent="0.3">
      <c r="E841" s="36"/>
    </row>
    <row r="842" spans="5:5" x14ac:dyDescent="0.3">
      <c r="E842" s="36"/>
    </row>
    <row r="843" spans="5:5" x14ac:dyDescent="0.3">
      <c r="E843" s="36"/>
    </row>
    <row r="844" spans="5:5" x14ac:dyDescent="0.3">
      <c r="E844" s="36"/>
    </row>
    <row r="845" spans="5:5" x14ac:dyDescent="0.3">
      <c r="E845" s="36"/>
    </row>
    <row r="846" spans="5:5" x14ac:dyDescent="0.3">
      <c r="E846" s="36"/>
    </row>
    <row r="847" spans="5:5" x14ac:dyDescent="0.3">
      <c r="E847" s="36"/>
    </row>
    <row r="848" spans="5:5" x14ac:dyDescent="0.3">
      <c r="E848" s="36"/>
    </row>
    <row r="849" spans="5:5" x14ac:dyDescent="0.3">
      <c r="E849" s="36"/>
    </row>
    <row r="850" spans="5:5" x14ac:dyDescent="0.3">
      <c r="E850" s="36"/>
    </row>
    <row r="851" spans="5:5" x14ac:dyDescent="0.3">
      <c r="E851" s="36"/>
    </row>
    <row r="852" spans="5:5" x14ac:dyDescent="0.3">
      <c r="E852" s="36"/>
    </row>
    <row r="853" spans="5:5" x14ac:dyDescent="0.3">
      <c r="E853" s="36"/>
    </row>
    <row r="854" spans="5:5" x14ac:dyDescent="0.3">
      <c r="E854" s="36"/>
    </row>
    <row r="855" spans="5:5" x14ac:dyDescent="0.3">
      <c r="E855" s="36"/>
    </row>
    <row r="856" spans="5:5" x14ac:dyDescent="0.3">
      <c r="E856" s="36"/>
    </row>
    <row r="857" spans="5:5" x14ac:dyDescent="0.3">
      <c r="E857" s="36"/>
    </row>
    <row r="858" spans="5:5" x14ac:dyDescent="0.3">
      <c r="E858" s="36"/>
    </row>
    <row r="859" spans="5:5" x14ac:dyDescent="0.3">
      <c r="E859" s="36"/>
    </row>
    <row r="860" spans="5:5" x14ac:dyDescent="0.3">
      <c r="E860" s="36"/>
    </row>
    <row r="861" spans="5:5" x14ac:dyDescent="0.3">
      <c r="E861" s="36"/>
    </row>
    <row r="862" spans="5:5" x14ac:dyDescent="0.3">
      <c r="E862" s="36"/>
    </row>
    <row r="863" spans="5:5" x14ac:dyDescent="0.3">
      <c r="E863" s="36"/>
    </row>
    <row r="864" spans="5:5" x14ac:dyDescent="0.3">
      <c r="E864" s="36"/>
    </row>
    <row r="865" spans="5:5" x14ac:dyDescent="0.3">
      <c r="E865" s="36"/>
    </row>
    <row r="866" spans="5:5" x14ac:dyDescent="0.3">
      <c r="E866" s="36"/>
    </row>
    <row r="867" spans="5:5" x14ac:dyDescent="0.3">
      <c r="E867" s="36"/>
    </row>
    <row r="868" spans="5:5" x14ac:dyDescent="0.3">
      <c r="E868" s="36"/>
    </row>
    <row r="869" spans="5:5" x14ac:dyDescent="0.3">
      <c r="E869" s="36"/>
    </row>
    <row r="870" spans="5:5" x14ac:dyDescent="0.3">
      <c r="E870" s="36"/>
    </row>
    <row r="871" spans="5:5" x14ac:dyDescent="0.3">
      <c r="E871" s="36"/>
    </row>
    <row r="872" spans="5:5" x14ac:dyDescent="0.3">
      <c r="E872" s="36"/>
    </row>
    <row r="873" spans="5:5" x14ac:dyDescent="0.3">
      <c r="E873" s="36"/>
    </row>
    <row r="874" spans="5:5" x14ac:dyDescent="0.3">
      <c r="E874" s="36"/>
    </row>
    <row r="875" spans="5:5" x14ac:dyDescent="0.3">
      <c r="E875" s="36"/>
    </row>
    <row r="876" spans="5:5" x14ac:dyDescent="0.3">
      <c r="E876" s="36"/>
    </row>
    <row r="877" spans="5:5" x14ac:dyDescent="0.3">
      <c r="E877" s="36"/>
    </row>
    <row r="878" spans="5:5" x14ac:dyDescent="0.3">
      <c r="E878" s="36"/>
    </row>
    <row r="879" spans="5:5" x14ac:dyDescent="0.3">
      <c r="E879" s="36"/>
    </row>
    <row r="880" spans="5:5" x14ac:dyDescent="0.3">
      <c r="E880" s="36"/>
    </row>
    <row r="881" spans="5:5" x14ac:dyDescent="0.3">
      <c r="E881" s="36"/>
    </row>
    <row r="882" spans="5:5" x14ac:dyDescent="0.3">
      <c r="E882" s="36"/>
    </row>
    <row r="883" spans="5:5" x14ac:dyDescent="0.3">
      <c r="E883" s="36"/>
    </row>
    <row r="884" spans="5:5" x14ac:dyDescent="0.3">
      <c r="E884" s="36"/>
    </row>
    <row r="885" spans="5:5" x14ac:dyDescent="0.3">
      <c r="E885" s="36"/>
    </row>
    <row r="886" spans="5:5" x14ac:dyDescent="0.3">
      <c r="E886" s="36"/>
    </row>
    <row r="887" spans="5:5" x14ac:dyDescent="0.3">
      <c r="E887" s="36"/>
    </row>
    <row r="888" spans="5:5" x14ac:dyDescent="0.3">
      <c r="E888" s="36"/>
    </row>
    <row r="889" spans="5:5" x14ac:dyDescent="0.3">
      <c r="E889" s="36"/>
    </row>
    <row r="890" spans="5:5" x14ac:dyDescent="0.3">
      <c r="E890" s="36"/>
    </row>
    <row r="891" spans="5:5" x14ac:dyDescent="0.3">
      <c r="E891" s="36"/>
    </row>
    <row r="892" spans="5:5" x14ac:dyDescent="0.3">
      <c r="E892" s="36"/>
    </row>
    <row r="893" spans="5:5" x14ac:dyDescent="0.3">
      <c r="E893" s="36"/>
    </row>
    <row r="894" spans="5:5" x14ac:dyDescent="0.3">
      <c r="E894" s="36"/>
    </row>
    <row r="895" spans="5:5" x14ac:dyDescent="0.3">
      <c r="E895" s="36"/>
    </row>
    <row r="896" spans="5:5" x14ac:dyDescent="0.3">
      <c r="E896" s="36"/>
    </row>
    <row r="897" spans="5:5" x14ac:dyDescent="0.3">
      <c r="E897" s="36"/>
    </row>
    <row r="898" spans="5:5" x14ac:dyDescent="0.3">
      <c r="E898" s="36"/>
    </row>
    <row r="899" spans="5:5" x14ac:dyDescent="0.3">
      <c r="E899" s="36"/>
    </row>
    <row r="900" spans="5:5" x14ac:dyDescent="0.3">
      <c r="E900" s="36"/>
    </row>
    <row r="901" spans="5:5" x14ac:dyDescent="0.3">
      <c r="E901" s="36"/>
    </row>
    <row r="902" spans="5:5" x14ac:dyDescent="0.3">
      <c r="E902" s="36"/>
    </row>
    <row r="903" spans="5:5" x14ac:dyDescent="0.3">
      <c r="E903" s="36"/>
    </row>
    <row r="904" spans="5:5" x14ac:dyDescent="0.3">
      <c r="E904" s="36"/>
    </row>
    <row r="905" spans="5:5" x14ac:dyDescent="0.3">
      <c r="E905" s="36"/>
    </row>
    <row r="906" spans="5:5" x14ac:dyDescent="0.3">
      <c r="E906" s="36"/>
    </row>
    <row r="907" spans="5:5" x14ac:dyDescent="0.3">
      <c r="E907" s="36"/>
    </row>
    <row r="908" spans="5:5" x14ac:dyDescent="0.3">
      <c r="E908" s="36"/>
    </row>
    <row r="909" spans="5:5" x14ac:dyDescent="0.3">
      <c r="E909" s="36"/>
    </row>
    <row r="910" spans="5:5" x14ac:dyDescent="0.3">
      <c r="E910" s="36"/>
    </row>
    <row r="911" spans="5:5" x14ac:dyDescent="0.3">
      <c r="E911" s="36"/>
    </row>
    <row r="912" spans="5:5" x14ac:dyDescent="0.3">
      <c r="E912" s="36"/>
    </row>
    <row r="913" spans="5:5" x14ac:dyDescent="0.3">
      <c r="E913" s="36"/>
    </row>
    <row r="914" spans="5:5" x14ac:dyDescent="0.3">
      <c r="E914" s="36"/>
    </row>
    <row r="915" spans="5:5" x14ac:dyDescent="0.3">
      <c r="E915" s="36"/>
    </row>
    <row r="916" spans="5:5" x14ac:dyDescent="0.3">
      <c r="E916" s="36"/>
    </row>
    <row r="917" spans="5:5" x14ac:dyDescent="0.3">
      <c r="E917" s="36"/>
    </row>
    <row r="918" spans="5:5" x14ac:dyDescent="0.3">
      <c r="E918" s="36"/>
    </row>
    <row r="919" spans="5:5" x14ac:dyDescent="0.3">
      <c r="E919" s="36"/>
    </row>
    <row r="920" spans="5:5" x14ac:dyDescent="0.3">
      <c r="E920" s="36"/>
    </row>
    <row r="921" spans="5:5" x14ac:dyDescent="0.3">
      <c r="E921" s="36"/>
    </row>
    <row r="922" spans="5:5" x14ac:dyDescent="0.3">
      <c r="E922" s="36"/>
    </row>
    <row r="923" spans="5:5" x14ac:dyDescent="0.3">
      <c r="E923" s="36"/>
    </row>
    <row r="924" spans="5:5" x14ac:dyDescent="0.3">
      <c r="E924" s="36"/>
    </row>
    <row r="925" spans="5:5" x14ac:dyDescent="0.3">
      <c r="E925" s="36"/>
    </row>
    <row r="926" spans="5:5" x14ac:dyDescent="0.3">
      <c r="E926" s="36"/>
    </row>
    <row r="927" spans="5:5" x14ac:dyDescent="0.3">
      <c r="E927" s="36"/>
    </row>
    <row r="928" spans="5:5" x14ac:dyDescent="0.3">
      <c r="E928" s="36"/>
    </row>
    <row r="929" spans="5:5" x14ac:dyDescent="0.3">
      <c r="E929" s="36"/>
    </row>
    <row r="930" spans="5:5" x14ac:dyDescent="0.3">
      <c r="E930" s="36"/>
    </row>
    <row r="931" spans="5:5" x14ac:dyDescent="0.3">
      <c r="E931" s="36"/>
    </row>
    <row r="932" spans="5:5" x14ac:dyDescent="0.3">
      <c r="E932" s="36"/>
    </row>
    <row r="933" spans="5:5" x14ac:dyDescent="0.3">
      <c r="E933" s="36"/>
    </row>
    <row r="934" spans="5:5" x14ac:dyDescent="0.3">
      <c r="E934" s="36"/>
    </row>
    <row r="935" spans="5:5" x14ac:dyDescent="0.3">
      <c r="E935" s="36"/>
    </row>
    <row r="936" spans="5:5" x14ac:dyDescent="0.3">
      <c r="E936" s="36"/>
    </row>
    <row r="937" spans="5:5" x14ac:dyDescent="0.3">
      <c r="E937" s="36"/>
    </row>
    <row r="938" spans="5:5" x14ac:dyDescent="0.3">
      <c r="E938" s="36"/>
    </row>
    <row r="939" spans="5:5" x14ac:dyDescent="0.3">
      <c r="E939" s="36"/>
    </row>
    <row r="940" spans="5:5" x14ac:dyDescent="0.3">
      <c r="E940" s="36"/>
    </row>
    <row r="941" spans="5:5" x14ac:dyDescent="0.3">
      <c r="E941" s="36"/>
    </row>
    <row r="942" spans="5:5" x14ac:dyDescent="0.3">
      <c r="E942" s="36"/>
    </row>
    <row r="943" spans="5:5" x14ac:dyDescent="0.3">
      <c r="E943" s="36"/>
    </row>
    <row r="944" spans="5:5" x14ac:dyDescent="0.3">
      <c r="E944" s="36"/>
    </row>
    <row r="945" spans="5:5" x14ac:dyDescent="0.3">
      <c r="E945" s="36"/>
    </row>
    <row r="946" spans="5:5" x14ac:dyDescent="0.3">
      <c r="E946" s="36"/>
    </row>
    <row r="947" spans="5:5" x14ac:dyDescent="0.3">
      <c r="E947" s="36"/>
    </row>
    <row r="948" spans="5:5" x14ac:dyDescent="0.3">
      <c r="E948" s="36"/>
    </row>
    <row r="949" spans="5:5" x14ac:dyDescent="0.3">
      <c r="E949" s="36"/>
    </row>
    <row r="950" spans="5:5" x14ac:dyDescent="0.3">
      <c r="E950" s="36"/>
    </row>
    <row r="951" spans="5:5" x14ac:dyDescent="0.3">
      <c r="E951" s="36"/>
    </row>
    <row r="952" spans="5:5" x14ac:dyDescent="0.3">
      <c r="E952" s="36"/>
    </row>
    <row r="953" spans="5:5" x14ac:dyDescent="0.3">
      <c r="E953" s="36"/>
    </row>
    <row r="954" spans="5:5" x14ac:dyDescent="0.3">
      <c r="E954" s="36"/>
    </row>
    <row r="955" spans="5:5" x14ac:dyDescent="0.3">
      <c r="E955" s="36"/>
    </row>
    <row r="956" spans="5:5" x14ac:dyDescent="0.3">
      <c r="E956" s="36"/>
    </row>
    <row r="957" spans="5:5" x14ac:dyDescent="0.3">
      <c r="E957" s="36"/>
    </row>
    <row r="958" spans="5:5" x14ac:dyDescent="0.3">
      <c r="E958" s="36"/>
    </row>
    <row r="959" spans="5:5" x14ac:dyDescent="0.3">
      <c r="E959" s="36"/>
    </row>
    <row r="960" spans="5:5" x14ac:dyDescent="0.3">
      <c r="E960" s="36"/>
    </row>
    <row r="961" spans="5:5" x14ac:dyDescent="0.3">
      <c r="E961" s="36"/>
    </row>
    <row r="962" spans="5:5" x14ac:dyDescent="0.3">
      <c r="E962" s="36"/>
    </row>
    <row r="963" spans="5:5" x14ac:dyDescent="0.3">
      <c r="E963" s="36"/>
    </row>
    <row r="964" spans="5:5" x14ac:dyDescent="0.3">
      <c r="E964" s="36"/>
    </row>
    <row r="965" spans="5:5" x14ac:dyDescent="0.3">
      <c r="E965" s="36"/>
    </row>
    <row r="966" spans="5:5" x14ac:dyDescent="0.3">
      <c r="E966" s="36"/>
    </row>
    <row r="967" spans="5:5" x14ac:dyDescent="0.3">
      <c r="E967" s="36"/>
    </row>
    <row r="968" spans="5:5" x14ac:dyDescent="0.3">
      <c r="E968" s="36"/>
    </row>
    <row r="969" spans="5:5" x14ac:dyDescent="0.3">
      <c r="E969" s="36"/>
    </row>
    <row r="970" spans="5:5" x14ac:dyDescent="0.3">
      <c r="E970" s="36"/>
    </row>
    <row r="971" spans="5:5" x14ac:dyDescent="0.3">
      <c r="E971" s="36"/>
    </row>
    <row r="972" spans="5:5" x14ac:dyDescent="0.3">
      <c r="E972" s="36"/>
    </row>
    <row r="973" spans="5:5" x14ac:dyDescent="0.3">
      <c r="E973" s="36"/>
    </row>
    <row r="974" spans="5:5" x14ac:dyDescent="0.3">
      <c r="E974" s="36"/>
    </row>
    <row r="975" spans="5:5" x14ac:dyDescent="0.3">
      <c r="E975" s="36"/>
    </row>
    <row r="976" spans="5:5" x14ac:dyDescent="0.3">
      <c r="E976" s="36"/>
    </row>
    <row r="977" spans="5:5" x14ac:dyDescent="0.3">
      <c r="E977" s="36"/>
    </row>
    <row r="978" spans="5:5" x14ac:dyDescent="0.3">
      <c r="E978" s="36"/>
    </row>
    <row r="979" spans="5:5" x14ac:dyDescent="0.3">
      <c r="E979" s="36"/>
    </row>
    <row r="980" spans="5:5" x14ac:dyDescent="0.3">
      <c r="E980" s="36"/>
    </row>
    <row r="981" spans="5:5" x14ac:dyDescent="0.3">
      <c r="E981" s="36"/>
    </row>
    <row r="982" spans="5:5" x14ac:dyDescent="0.3">
      <c r="E982" s="36"/>
    </row>
    <row r="983" spans="5:5" x14ac:dyDescent="0.3">
      <c r="E983" s="36"/>
    </row>
    <row r="984" spans="5:5" x14ac:dyDescent="0.3">
      <c r="E984" s="36"/>
    </row>
    <row r="985" spans="5:5" x14ac:dyDescent="0.3">
      <c r="E985" s="36"/>
    </row>
    <row r="986" spans="5:5" x14ac:dyDescent="0.3">
      <c r="E986" s="36"/>
    </row>
    <row r="987" spans="5:5" x14ac:dyDescent="0.3">
      <c r="E987" s="36"/>
    </row>
    <row r="988" spans="5:5" x14ac:dyDescent="0.3">
      <c r="E988" s="36"/>
    </row>
    <row r="989" spans="5:5" x14ac:dyDescent="0.3">
      <c r="E989" s="36"/>
    </row>
    <row r="990" spans="5:5" x14ac:dyDescent="0.3">
      <c r="E990" s="36"/>
    </row>
    <row r="991" spans="5:5" x14ac:dyDescent="0.3">
      <c r="E991" s="36"/>
    </row>
    <row r="992" spans="5:5" x14ac:dyDescent="0.3">
      <c r="E992" s="36"/>
    </row>
    <row r="993" spans="5:5" x14ac:dyDescent="0.3">
      <c r="E993" s="36"/>
    </row>
    <row r="994" spans="5:5" x14ac:dyDescent="0.3">
      <c r="E994" s="36"/>
    </row>
    <row r="995" spans="5:5" x14ac:dyDescent="0.3">
      <c r="E995" s="36"/>
    </row>
    <row r="996" spans="5:5" x14ac:dyDescent="0.3">
      <c r="E996" s="36"/>
    </row>
    <row r="997" spans="5:5" x14ac:dyDescent="0.3">
      <c r="E997" s="36"/>
    </row>
    <row r="998" spans="5:5" x14ac:dyDescent="0.3">
      <c r="E998" s="36"/>
    </row>
    <row r="999" spans="5:5" x14ac:dyDescent="0.3">
      <c r="E999" s="36"/>
    </row>
    <row r="1000" spans="5:5" x14ac:dyDescent="0.3">
      <c r="E1000" s="3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MENU</vt:lpstr>
      <vt:lpstr>CONFIG</vt:lpstr>
      <vt:lpstr>TERCEROS</vt:lpstr>
      <vt:lpstr>CDP</vt:lpstr>
      <vt:lpstr>RP</vt:lpstr>
      <vt:lpstr>OBLIGACION</vt:lpstr>
      <vt:lpstr>PAGO</vt:lpstr>
      <vt:lpstr>TARJETAS</vt:lpstr>
      <vt:lpstr>INGRESOS</vt:lpstr>
      <vt:lpstr>GASTOS</vt:lpstr>
      <vt:lpstr>CONCEPTOS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SED-FOSES</dc:creator>
  <cp:lastModifiedBy>Martha Riobamba</cp:lastModifiedBy>
  <dcterms:created xsi:type="dcterms:W3CDTF">2025-07-21T09:59:32Z</dcterms:created>
  <dcterms:modified xsi:type="dcterms:W3CDTF">2026-02-15T00:36:43Z</dcterms:modified>
</cp:coreProperties>
</file>