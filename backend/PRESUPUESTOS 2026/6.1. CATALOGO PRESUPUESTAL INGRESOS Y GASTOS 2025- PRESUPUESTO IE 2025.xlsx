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D:\CONTABILIDAD EMPRESAS PORTATIL\PRESUPUESTOS 2026\"/>
    </mc:Choice>
  </mc:AlternateContent>
  <xr:revisionPtr revIDLastSave="0" documentId="13_ncr:1_{26F14341-F8F0-4E68-B9CA-A2A329ED5259}" xr6:coauthVersionLast="40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GRESOS " sheetId="1" r:id="rId1"/>
    <sheet name="GASTOS " sheetId="2" r:id="rId2"/>
  </sheets>
  <calcPr calcId="191029"/>
</workbook>
</file>

<file path=xl/calcChain.xml><?xml version="1.0" encoding="utf-8"?>
<calcChain xmlns="http://schemas.openxmlformats.org/spreadsheetml/2006/main">
  <c r="N80" i="2" l="1"/>
  <c r="M80" i="2"/>
  <c r="L80" i="2"/>
  <c r="J80" i="2"/>
  <c r="K80" i="2"/>
  <c r="E80" i="2"/>
  <c r="F80" i="2"/>
  <c r="G80" i="2"/>
  <c r="H80" i="2"/>
  <c r="I80" i="2"/>
  <c r="D80" i="2"/>
  <c r="O83" i="2"/>
  <c r="Q83" i="2" s="1"/>
  <c r="L83" i="2"/>
  <c r="P83" i="2" s="1"/>
  <c r="I83" i="2"/>
  <c r="I84" i="2"/>
  <c r="I85" i="2"/>
  <c r="I86" i="2"/>
  <c r="I87" i="2"/>
  <c r="O86" i="2"/>
  <c r="Q86" i="2" s="1"/>
  <c r="O96" i="2"/>
  <c r="N93" i="2"/>
  <c r="M93" i="2"/>
  <c r="L96" i="2"/>
  <c r="K93" i="2"/>
  <c r="J93" i="2"/>
  <c r="L93" i="2" s="1"/>
  <c r="I96" i="2"/>
  <c r="H93" i="2"/>
  <c r="G93" i="2"/>
  <c r="F93" i="2"/>
  <c r="E93" i="2"/>
  <c r="O111" i="2"/>
  <c r="N105" i="2"/>
  <c r="M105" i="2"/>
  <c r="L111" i="2"/>
  <c r="L110" i="2"/>
  <c r="L106" i="2"/>
  <c r="K105" i="2"/>
  <c r="J105" i="2"/>
  <c r="L105" i="2" s="1"/>
  <c r="I111" i="2"/>
  <c r="P111" i="2" s="1"/>
  <c r="H105" i="2"/>
  <c r="G105" i="2"/>
  <c r="F105" i="2"/>
  <c r="E105" i="2"/>
  <c r="D105" i="2"/>
  <c r="K47" i="1"/>
  <c r="K46" i="1"/>
  <c r="K45" i="1"/>
  <c r="K44" i="1"/>
  <c r="J45" i="1"/>
  <c r="J44" i="1"/>
  <c r="H44" i="1"/>
  <c r="I44" i="1"/>
  <c r="I46" i="1"/>
  <c r="I47" i="1"/>
  <c r="I45" i="1"/>
  <c r="G44" i="1"/>
  <c r="F44" i="1"/>
  <c r="E44" i="1"/>
  <c r="D44" i="1"/>
  <c r="J46" i="1"/>
  <c r="J47" i="1"/>
  <c r="H46" i="1"/>
  <c r="H47" i="1"/>
  <c r="G46" i="1"/>
  <c r="G47" i="1"/>
  <c r="F11" i="1"/>
  <c r="E11" i="1"/>
  <c r="D11" i="1"/>
  <c r="G15" i="1"/>
  <c r="G16" i="1"/>
  <c r="J10" i="1"/>
  <c r="J21" i="1"/>
  <c r="J29" i="1"/>
  <c r="J35" i="1"/>
  <c r="I49" i="1"/>
  <c r="I48" i="1" s="1"/>
  <c r="I20" i="1"/>
  <c r="I19" i="1" s="1"/>
  <c r="I9" i="1"/>
  <c r="O13" i="2"/>
  <c r="O14" i="2"/>
  <c r="O17" i="2"/>
  <c r="O19" i="2"/>
  <c r="O22" i="2"/>
  <c r="O23" i="2"/>
  <c r="O24" i="2"/>
  <c r="O25" i="2"/>
  <c r="O27" i="2"/>
  <c r="O28" i="2"/>
  <c r="O29" i="2"/>
  <c r="O30" i="2"/>
  <c r="O31" i="2"/>
  <c r="O32" i="2"/>
  <c r="O34" i="2"/>
  <c r="O36" i="2"/>
  <c r="O37" i="2"/>
  <c r="O38" i="2"/>
  <c r="O39" i="2"/>
  <c r="O40" i="2"/>
  <c r="O41" i="2"/>
  <c r="O43" i="2"/>
  <c r="O48" i="2"/>
  <c r="O49" i="2"/>
  <c r="O50" i="2"/>
  <c r="O52" i="2"/>
  <c r="O53" i="2"/>
  <c r="O54" i="2"/>
  <c r="O56" i="2"/>
  <c r="O57" i="2"/>
  <c r="O58" i="2"/>
  <c r="O59" i="2"/>
  <c r="O60" i="2"/>
  <c r="O61" i="2"/>
  <c r="O62" i="2"/>
  <c r="O63" i="2"/>
  <c r="O64" i="2"/>
  <c r="O68" i="2"/>
  <c r="O69" i="2"/>
  <c r="O71" i="2"/>
  <c r="O72" i="2"/>
  <c r="O74" i="2"/>
  <c r="O78" i="2"/>
  <c r="O79" i="2"/>
  <c r="O81" i="2"/>
  <c r="O82" i="2"/>
  <c r="O84" i="2"/>
  <c r="O85" i="2"/>
  <c r="O87" i="2"/>
  <c r="O88" i="2"/>
  <c r="O91" i="2"/>
  <c r="O92" i="2"/>
  <c r="O94" i="2"/>
  <c r="O95" i="2"/>
  <c r="O97" i="2"/>
  <c r="O98" i="2"/>
  <c r="O99" i="2"/>
  <c r="O100" i="2"/>
  <c r="O102" i="2"/>
  <c r="O103" i="2"/>
  <c r="O104" i="2"/>
  <c r="O106" i="2"/>
  <c r="O107" i="2"/>
  <c r="O108" i="2"/>
  <c r="O109" i="2"/>
  <c r="O110" i="2"/>
  <c r="O112" i="2"/>
  <c r="O114" i="2"/>
  <c r="O115" i="2"/>
  <c r="N113" i="2"/>
  <c r="N101" i="2"/>
  <c r="N90" i="2"/>
  <c r="N77" i="2"/>
  <c r="N73" i="2"/>
  <c r="N70" i="2"/>
  <c r="N67" i="2"/>
  <c r="N55" i="2"/>
  <c r="N51" i="2"/>
  <c r="N47" i="2"/>
  <c r="N42" i="2"/>
  <c r="N35" i="2"/>
  <c r="N33" i="2" s="1"/>
  <c r="N26" i="2"/>
  <c r="N21" i="2"/>
  <c r="N20" i="2" s="1"/>
  <c r="N18" i="2"/>
  <c r="N16" i="2"/>
  <c r="N12" i="2"/>
  <c r="N11" i="2" s="1"/>
  <c r="M113" i="2"/>
  <c r="M101" i="2"/>
  <c r="M90" i="2"/>
  <c r="M77" i="2"/>
  <c r="M73" i="2"/>
  <c r="M70" i="2"/>
  <c r="M67" i="2"/>
  <c r="M55" i="2"/>
  <c r="M51" i="2"/>
  <c r="M47" i="2"/>
  <c r="M42" i="2"/>
  <c r="M35" i="2"/>
  <c r="M33" i="2" s="1"/>
  <c r="M26" i="2"/>
  <c r="M21" i="2"/>
  <c r="M20" i="2" s="1"/>
  <c r="M18" i="2"/>
  <c r="M16" i="2"/>
  <c r="M12" i="2"/>
  <c r="M11" i="2" s="1"/>
  <c r="L13" i="2"/>
  <c r="L14" i="2"/>
  <c r="L17" i="2"/>
  <c r="L19" i="2"/>
  <c r="L22" i="2"/>
  <c r="L23" i="2"/>
  <c r="L24" i="2"/>
  <c r="L25" i="2"/>
  <c r="L27" i="2"/>
  <c r="L28" i="2"/>
  <c r="L29" i="2"/>
  <c r="L30" i="2"/>
  <c r="L31" i="2"/>
  <c r="L32" i="2"/>
  <c r="L34" i="2"/>
  <c r="L36" i="2"/>
  <c r="L37" i="2"/>
  <c r="L38" i="2"/>
  <c r="L39" i="2"/>
  <c r="L40" i="2"/>
  <c r="L41" i="2"/>
  <c r="L43" i="2"/>
  <c r="L48" i="2"/>
  <c r="L49" i="2"/>
  <c r="L50" i="2"/>
  <c r="L52" i="2"/>
  <c r="L53" i="2"/>
  <c r="L54" i="2"/>
  <c r="L56" i="2"/>
  <c r="L57" i="2"/>
  <c r="L58" i="2"/>
  <c r="L59" i="2"/>
  <c r="L60" i="2"/>
  <c r="L61" i="2"/>
  <c r="L62" i="2"/>
  <c r="L63" i="2"/>
  <c r="L64" i="2"/>
  <c r="L68" i="2"/>
  <c r="L69" i="2"/>
  <c r="L71" i="2"/>
  <c r="L72" i="2"/>
  <c r="L74" i="2"/>
  <c r="L78" i="2"/>
  <c r="L79" i="2"/>
  <c r="L81" i="2"/>
  <c r="L82" i="2"/>
  <c r="L84" i="2"/>
  <c r="L85" i="2"/>
  <c r="L86" i="2"/>
  <c r="L87" i="2"/>
  <c r="L88" i="2"/>
  <c r="L91" i="2"/>
  <c r="L92" i="2"/>
  <c r="L94" i="2"/>
  <c r="L95" i="2"/>
  <c r="L97" i="2"/>
  <c r="L98" i="2"/>
  <c r="L99" i="2"/>
  <c r="L100" i="2"/>
  <c r="L102" i="2"/>
  <c r="L103" i="2"/>
  <c r="L104" i="2"/>
  <c r="L107" i="2"/>
  <c r="L108" i="2"/>
  <c r="L109" i="2"/>
  <c r="Q109" i="2" s="1"/>
  <c r="L112" i="2"/>
  <c r="L114" i="2"/>
  <c r="L115" i="2"/>
  <c r="K113" i="2"/>
  <c r="K101" i="2"/>
  <c r="K90" i="2"/>
  <c r="K77" i="2"/>
  <c r="K73" i="2"/>
  <c r="K70" i="2"/>
  <c r="K67" i="2"/>
  <c r="K55" i="2"/>
  <c r="K51" i="2"/>
  <c r="K47" i="2"/>
  <c r="K42" i="2"/>
  <c r="K35" i="2"/>
  <c r="K33" i="2" s="1"/>
  <c r="K26" i="2"/>
  <c r="K21" i="2"/>
  <c r="K20" i="2" s="1"/>
  <c r="K18" i="2"/>
  <c r="K16" i="2"/>
  <c r="K12" i="2"/>
  <c r="K11" i="2" s="1"/>
  <c r="D97" i="2"/>
  <c r="I97" i="2" s="1"/>
  <c r="J12" i="2"/>
  <c r="I115" i="2"/>
  <c r="I114" i="2"/>
  <c r="I112" i="2"/>
  <c r="I110" i="2"/>
  <c r="I109" i="2"/>
  <c r="I108" i="2"/>
  <c r="I107" i="2"/>
  <c r="I106" i="2"/>
  <c r="I104" i="2"/>
  <c r="I103" i="2"/>
  <c r="P103" i="2" s="1"/>
  <c r="I102" i="2"/>
  <c r="I100" i="2"/>
  <c r="P100" i="2" s="1"/>
  <c r="I99" i="2"/>
  <c r="P99" i="2" s="1"/>
  <c r="I98" i="2"/>
  <c r="I95" i="2"/>
  <c r="I94" i="2"/>
  <c r="I92" i="2"/>
  <c r="I91" i="2"/>
  <c r="I81" i="2"/>
  <c r="I88" i="2"/>
  <c r="P86" i="2"/>
  <c r="P85" i="2"/>
  <c r="P84" i="2"/>
  <c r="I82" i="2"/>
  <c r="P82" i="2" s="1"/>
  <c r="I79" i="2"/>
  <c r="I78" i="2"/>
  <c r="I74" i="2"/>
  <c r="I73" i="2" s="1"/>
  <c r="I72" i="2"/>
  <c r="I71" i="2"/>
  <c r="I69" i="2"/>
  <c r="I68" i="2"/>
  <c r="I64" i="2"/>
  <c r="I63" i="2"/>
  <c r="P63" i="2" s="1"/>
  <c r="I62" i="2"/>
  <c r="P62" i="2" s="1"/>
  <c r="I61" i="2"/>
  <c r="P61" i="2" s="1"/>
  <c r="I60" i="2"/>
  <c r="I59" i="2"/>
  <c r="I58" i="2"/>
  <c r="I57" i="2"/>
  <c r="I56" i="2"/>
  <c r="I54" i="2"/>
  <c r="I53" i="2"/>
  <c r="I52" i="2"/>
  <c r="I50" i="2"/>
  <c r="I49" i="2"/>
  <c r="P49" i="2" s="1"/>
  <c r="I48" i="2"/>
  <c r="P48" i="2" s="1"/>
  <c r="I43" i="2"/>
  <c r="I41" i="2"/>
  <c r="I40" i="2"/>
  <c r="I39" i="2"/>
  <c r="I38" i="2"/>
  <c r="I37" i="2"/>
  <c r="I36" i="2"/>
  <c r="I34" i="2"/>
  <c r="I32" i="2"/>
  <c r="I31" i="2"/>
  <c r="I30" i="2"/>
  <c r="P30" i="2" s="1"/>
  <c r="I29" i="2"/>
  <c r="P29" i="2" s="1"/>
  <c r="I28" i="2"/>
  <c r="I27" i="2"/>
  <c r="I23" i="2"/>
  <c r="I24" i="2"/>
  <c r="I25" i="2"/>
  <c r="I22" i="2"/>
  <c r="I19" i="2"/>
  <c r="I18" i="2" s="1"/>
  <c r="I17" i="2"/>
  <c r="I16" i="2" s="1"/>
  <c r="I14" i="2"/>
  <c r="I13" i="2"/>
  <c r="H113" i="2"/>
  <c r="H101" i="2"/>
  <c r="H90" i="2"/>
  <c r="H77" i="2"/>
  <c r="H73" i="2"/>
  <c r="H70" i="2"/>
  <c r="H67" i="2"/>
  <c r="H55" i="2"/>
  <c r="H51" i="2"/>
  <c r="H47" i="2"/>
  <c r="H42" i="2"/>
  <c r="H35" i="2"/>
  <c r="H33" i="2" s="1"/>
  <c r="H26" i="2"/>
  <c r="H21" i="2"/>
  <c r="H20" i="2" s="1"/>
  <c r="H18" i="2"/>
  <c r="H16" i="2"/>
  <c r="H12" i="2"/>
  <c r="H11" i="2" s="1"/>
  <c r="G113" i="2"/>
  <c r="G101" i="2"/>
  <c r="G90" i="2"/>
  <c r="G77" i="2"/>
  <c r="G73" i="2"/>
  <c r="G70" i="2"/>
  <c r="G67" i="2"/>
  <c r="G55" i="2"/>
  <c r="G51" i="2"/>
  <c r="G47" i="2"/>
  <c r="G42" i="2"/>
  <c r="G35" i="2"/>
  <c r="G33" i="2" s="1"/>
  <c r="G26" i="2"/>
  <c r="G21" i="2"/>
  <c r="G20" i="2" s="1"/>
  <c r="G18" i="2"/>
  <c r="G16" i="2"/>
  <c r="G12" i="2"/>
  <c r="G11" i="2" s="1"/>
  <c r="J90" i="2"/>
  <c r="J18" i="2"/>
  <c r="F113" i="2"/>
  <c r="F101" i="2"/>
  <c r="F90" i="2"/>
  <c r="F77" i="2"/>
  <c r="F73" i="2"/>
  <c r="F70" i="2"/>
  <c r="F67" i="2"/>
  <c r="F55" i="2"/>
  <c r="F51" i="2"/>
  <c r="F47" i="2"/>
  <c r="F42" i="2"/>
  <c r="F35" i="2"/>
  <c r="F33" i="2" s="1"/>
  <c r="F26" i="2"/>
  <c r="F21" i="2"/>
  <c r="F20" i="2" s="1"/>
  <c r="F18" i="2"/>
  <c r="F16" i="2"/>
  <c r="F12" i="2"/>
  <c r="F11" i="2" s="1"/>
  <c r="E113" i="2"/>
  <c r="E101" i="2"/>
  <c r="E90" i="2"/>
  <c r="E77" i="2"/>
  <c r="E73" i="2"/>
  <c r="E70" i="2"/>
  <c r="E67" i="2"/>
  <c r="E55" i="2"/>
  <c r="E51" i="2"/>
  <c r="E47" i="2"/>
  <c r="E42" i="2"/>
  <c r="E35" i="2"/>
  <c r="E33" i="2" s="1"/>
  <c r="E26" i="2"/>
  <c r="E21" i="2"/>
  <c r="E20" i="2" s="1"/>
  <c r="E18" i="2"/>
  <c r="E16" i="2"/>
  <c r="E12" i="2"/>
  <c r="E11" i="2" s="1"/>
  <c r="F57" i="1"/>
  <c r="F56" i="1" s="1"/>
  <c r="F51" i="1"/>
  <c r="F50" i="1" s="1"/>
  <c r="F48" i="1"/>
  <c r="F41" i="1"/>
  <c r="F34" i="1"/>
  <c r="F33" i="1" s="1"/>
  <c r="F28" i="1"/>
  <c r="F25" i="1"/>
  <c r="F20" i="1"/>
  <c r="F19" i="1" s="1"/>
  <c r="F18" i="1" s="1"/>
  <c r="F9" i="1"/>
  <c r="E57" i="1"/>
  <c r="E56" i="1" s="1"/>
  <c r="E51" i="1"/>
  <c r="E50" i="1" s="1"/>
  <c r="E48" i="1"/>
  <c r="E41" i="1"/>
  <c r="E34" i="1"/>
  <c r="E33" i="1" s="1"/>
  <c r="E28" i="1"/>
  <c r="E25" i="1"/>
  <c r="E20" i="1"/>
  <c r="E19" i="1" s="1"/>
  <c r="E18" i="1" s="1"/>
  <c r="E9" i="1"/>
  <c r="H20" i="1"/>
  <c r="H19" i="1" s="1"/>
  <c r="H18" i="1" s="1"/>
  <c r="H9" i="1"/>
  <c r="J9" i="1" s="1"/>
  <c r="G59" i="1"/>
  <c r="H59" i="1" s="1"/>
  <c r="G60" i="1"/>
  <c r="H60" i="1" s="1"/>
  <c r="G61" i="1"/>
  <c r="H61" i="1" s="1"/>
  <c r="G58" i="1"/>
  <c r="H58" i="1" s="1"/>
  <c r="G53" i="1"/>
  <c r="H53" i="1" s="1"/>
  <c r="G54" i="1"/>
  <c r="H54" i="1" s="1"/>
  <c r="G55" i="1"/>
  <c r="H55" i="1" s="1"/>
  <c r="G52" i="1"/>
  <c r="H52" i="1" s="1"/>
  <c r="G49" i="1"/>
  <c r="H49" i="1" s="1"/>
  <c r="H48" i="1" s="1"/>
  <c r="G45" i="1"/>
  <c r="H45" i="1" s="1"/>
  <c r="G43" i="1"/>
  <c r="H43" i="1" s="1"/>
  <c r="G42" i="1"/>
  <c r="H42" i="1" s="1"/>
  <c r="G36" i="1"/>
  <c r="H36" i="1" s="1"/>
  <c r="G37" i="1"/>
  <c r="H37" i="1" s="1"/>
  <c r="G38" i="1"/>
  <c r="H38" i="1" s="1"/>
  <c r="G35" i="1"/>
  <c r="K35" i="1" s="1"/>
  <c r="G30" i="1"/>
  <c r="H30" i="1" s="1"/>
  <c r="G31" i="1"/>
  <c r="H31" i="1" s="1"/>
  <c r="G29" i="1"/>
  <c r="K29" i="1" s="1"/>
  <c r="G27" i="1"/>
  <c r="H27" i="1" s="1"/>
  <c r="G26" i="1"/>
  <c r="H26" i="1" s="1"/>
  <c r="G23" i="1"/>
  <c r="H23" i="1" s="1"/>
  <c r="G21" i="1"/>
  <c r="G20" i="1" s="1"/>
  <c r="G13" i="1"/>
  <c r="H13" i="1" s="1"/>
  <c r="G14" i="1"/>
  <c r="H14" i="1" s="1"/>
  <c r="G12" i="1"/>
  <c r="H12" i="1" s="1"/>
  <c r="G10" i="1"/>
  <c r="G9" i="1" s="1"/>
  <c r="P41" i="2" l="1"/>
  <c r="Q68" i="2"/>
  <c r="Q32" i="2"/>
  <c r="P27" i="2"/>
  <c r="P60" i="2"/>
  <c r="Q52" i="2"/>
  <c r="O93" i="2"/>
  <c r="P50" i="2"/>
  <c r="P64" i="2"/>
  <c r="O105" i="2"/>
  <c r="Q105" i="2" s="1"/>
  <c r="P13" i="2"/>
  <c r="H76" i="2"/>
  <c r="Q96" i="2"/>
  <c r="Q104" i="2"/>
  <c r="P31" i="2"/>
  <c r="P110" i="2"/>
  <c r="P104" i="2"/>
  <c r="O20" i="2"/>
  <c r="Q93" i="2"/>
  <c r="P87" i="2"/>
  <c r="I93" i="2"/>
  <c r="P93" i="2" s="1"/>
  <c r="Q114" i="2"/>
  <c r="Q97" i="2"/>
  <c r="Q79" i="2"/>
  <c r="Q59" i="2"/>
  <c r="Q40" i="2"/>
  <c r="O113" i="2"/>
  <c r="O33" i="2"/>
  <c r="Q57" i="2"/>
  <c r="Q23" i="2"/>
  <c r="O42" i="2"/>
  <c r="N15" i="2"/>
  <c r="N10" i="2" s="1"/>
  <c r="N76" i="2"/>
  <c r="Q92" i="2"/>
  <c r="Q36" i="2"/>
  <c r="Q17" i="2"/>
  <c r="Q111" i="2"/>
  <c r="P96" i="2"/>
  <c r="Q64" i="2"/>
  <c r="P36" i="2"/>
  <c r="P54" i="2"/>
  <c r="I90" i="2"/>
  <c r="Q84" i="2"/>
  <c r="O73" i="2"/>
  <c r="Q106" i="2"/>
  <c r="Q88" i="2"/>
  <c r="P14" i="2"/>
  <c r="K76" i="2"/>
  <c r="N46" i="2"/>
  <c r="N45" i="2" s="1"/>
  <c r="N44" i="2" s="1"/>
  <c r="D93" i="2"/>
  <c r="Q108" i="2"/>
  <c r="Q103" i="2"/>
  <c r="Q81" i="2"/>
  <c r="Q27" i="2"/>
  <c r="Q53" i="2"/>
  <c r="P114" i="2"/>
  <c r="Q95" i="2"/>
  <c r="Q78" i="2"/>
  <c r="Q58" i="2"/>
  <c r="Q39" i="2"/>
  <c r="O26" i="2"/>
  <c r="O101" i="2"/>
  <c r="K46" i="2"/>
  <c r="K45" i="2" s="1"/>
  <c r="K44" i="2" s="1"/>
  <c r="O16" i="2"/>
  <c r="P98" i="2"/>
  <c r="Q115" i="2"/>
  <c r="Q82" i="2"/>
  <c r="Q43" i="2"/>
  <c r="Q28" i="2"/>
  <c r="O18" i="2"/>
  <c r="O77" i="2"/>
  <c r="Q62" i="2"/>
  <c r="Q48" i="2"/>
  <c r="Q60" i="2"/>
  <c r="P97" i="2"/>
  <c r="Q22" i="2"/>
  <c r="P32" i="2"/>
  <c r="P52" i="2"/>
  <c r="P68" i="2"/>
  <c r="P88" i="2"/>
  <c r="P106" i="2"/>
  <c r="Q91" i="2"/>
  <c r="M46" i="2"/>
  <c r="M45" i="2" s="1"/>
  <c r="P37" i="2"/>
  <c r="P72" i="2"/>
  <c r="P92" i="2"/>
  <c r="O67" i="2"/>
  <c r="N89" i="2"/>
  <c r="I105" i="2"/>
  <c r="P105" i="2" s="1"/>
  <c r="P69" i="2"/>
  <c r="P34" i="2"/>
  <c r="O55" i="2"/>
  <c r="P25" i="2"/>
  <c r="P38" i="2"/>
  <c r="Q102" i="2"/>
  <c r="Q63" i="2"/>
  <c r="Q30" i="2"/>
  <c r="O70" i="2"/>
  <c r="Q50" i="2"/>
  <c r="Q14" i="2"/>
  <c r="P115" i="2"/>
  <c r="P28" i="2"/>
  <c r="P43" i="2"/>
  <c r="L12" i="2"/>
  <c r="O51" i="2"/>
  <c r="Q87" i="2"/>
  <c r="O35" i="2"/>
  <c r="Q24" i="2"/>
  <c r="P102" i="2"/>
  <c r="Q31" i="2"/>
  <c r="P74" i="2"/>
  <c r="O11" i="2"/>
  <c r="Q85" i="2"/>
  <c r="Q29" i="2"/>
  <c r="M15" i="2"/>
  <c r="Q100" i="2"/>
  <c r="Q49" i="2"/>
  <c r="Q112" i="2"/>
  <c r="G46" i="2"/>
  <c r="G45" i="2" s="1"/>
  <c r="G44" i="2" s="1"/>
  <c r="Q99" i="2"/>
  <c r="P17" i="2"/>
  <c r="P53" i="2"/>
  <c r="K15" i="2"/>
  <c r="K10" i="2" s="1"/>
  <c r="K66" i="2"/>
  <c r="K65" i="2" s="1"/>
  <c r="Q41" i="2"/>
  <c r="M76" i="2"/>
  <c r="Q98" i="2"/>
  <c r="Q61" i="2"/>
  <c r="Q13" i="2"/>
  <c r="O21" i="2"/>
  <c r="Q110" i="2"/>
  <c r="P94" i="2"/>
  <c r="P24" i="2"/>
  <c r="P39" i="2"/>
  <c r="P58" i="2"/>
  <c r="P78" i="2"/>
  <c r="P95" i="2"/>
  <c r="P112" i="2"/>
  <c r="P56" i="2"/>
  <c r="Q38" i="2"/>
  <c r="L18" i="2"/>
  <c r="P18" i="2" s="1"/>
  <c r="L90" i="2"/>
  <c r="O80" i="2"/>
  <c r="Q74" i="2"/>
  <c r="G15" i="2"/>
  <c r="G10" i="2" s="1"/>
  <c r="G76" i="2"/>
  <c r="P23" i="2"/>
  <c r="P40" i="2"/>
  <c r="P59" i="2"/>
  <c r="P79" i="2"/>
  <c r="P107" i="2"/>
  <c r="Q71" i="2"/>
  <c r="Q54" i="2"/>
  <c r="Q19" i="2"/>
  <c r="O90" i="2"/>
  <c r="Q72" i="2"/>
  <c r="Q37" i="2"/>
  <c r="Q25" i="2"/>
  <c r="G11" i="1"/>
  <c r="H16" i="1"/>
  <c r="H15" i="1"/>
  <c r="F8" i="1"/>
  <c r="F7" i="1" s="1"/>
  <c r="F40" i="1"/>
  <c r="F39" i="1" s="1"/>
  <c r="F32" i="1" s="1"/>
  <c r="K9" i="1"/>
  <c r="I27" i="1"/>
  <c r="J27" i="1" s="1"/>
  <c r="K27" i="1" s="1"/>
  <c r="I58" i="1"/>
  <c r="J58" i="1" s="1"/>
  <c r="K58" i="1" s="1"/>
  <c r="I30" i="1"/>
  <c r="I28" i="1" s="1"/>
  <c r="J20" i="1"/>
  <c r="I23" i="1"/>
  <c r="J23" i="1" s="1"/>
  <c r="K23" i="1" s="1"/>
  <c r="K20" i="1"/>
  <c r="I26" i="1"/>
  <c r="I18" i="1"/>
  <c r="J18" i="1" s="1"/>
  <c r="J19" i="1"/>
  <c r="J61" i="1"/>
  <c r="K61" i="1" s="1"/>
  <c r="I55" i="1"/>
  <c r="J55" i="1" s="1"/>
  <c r="K55" i="1"/>
  <c r="I59" i="1"/>
  <c r="J59" i="1" s="1"/>
  <c r="K59" i="1" s="1"/>
  <c r="I60" i="1"/>
  <c r="J60" i="1" s="1"/>
  <c r="K60" i="1" s="1"/>
  <c r="I61" i="1"/>
  <c r="K10" i="1"/>
  <c r="I42" i="1"/>
  <c r="J42" i="1" s="1"/>
  <c r="K42" i="1" s="1"/>
  <c r="I12" i="1"/>
  <c r="I13" i="1"/>
  <c r="J13" i="1" s="1"/>
  <c r="K13" i="1" s="1"/>
  <c r="I31" i="1"/>
  <c r="J31" i="1" s="1"/>
  <c r="K31" i="1" s="1"/>
  <c r="I14" i="1"/>
  <c r="J14" i="1" s="1"/>
  <c r="K14" i="1" s="1"/>
  <c r="I36" i="1"/>
  <c r="J36" i="1" s="1"/>
  <c r="K36" i="1" s="1"/>
  <c r="I52" i="1"/>
  <c r="J49" i="1"/>
  <c r="K49" i="1" s="1"/>
  <c r="K21" i="1"/>
  <c r="I43" i="1"/>
  <c r="J43" i="1" s="1"/>
  <c r="K43" i="1" s="1"/>
  <c r="I37" i="1"/>
  <c r="J37" i="1" s="1"/>
  <c r="K37" i="1" s="1"/>
  <c r="I53" i="1"/>
  <c r="J53" i="1" s="1"/>
  <c r="K53" i="1" s="1"/>
  <c r="J48" i="1"/>
  <c r="E40" i="1"/>
  <c r="E39" i="1" s="1"/>
  <c r="E32" i="1" s="1"/>
  <c r="I38" i="1"/>
  <c r="J38" i="1" s="1"/>
  <c r="K38" i="1" s="1"/>
  <c r="I54" i="1"/>
  <c r="J54" i="1" s="1"/>
  <c r="K54" i="1" s="1"/>
  <c r="E8" i="1"/>
  <c r="E7" i="1" s="1"/>
  <c r="E24" i="1"/>
  <c r="E22" i="1" s="1"/>
  <c r="E17" i="1" s="1"/>
  <c r="E6" i="1" s="1"/>
  <c r="E5" i="1" s="1"/>
  <c r="F24" i="1"/>
  <c r="F22" i="1" s="1"/>
  <c r="F17" i="1" s="1"/>
  <c r="F6" i="1" s="1"/>
  <c r="F5" i="1" s="1"/>
  <c r="P81" i="2"/>
  <c r="Q34" i="2"/>
  <c r="Q107" i="2"/>
  <c r="Q94" i="2"/>
  <c r="Q69" i="2"/>
  <c r="O12" i="2"/>
  <c r="P108" i="2"/>
  <c r="P57" i="2"/>
  <c r="H15" i="2"/>
  <c r="H10" i="2" s="1"/>
  <c r="N66" i="2"/>
  <c r="N65" i="2" s="1"/>
  <c r="P19" i="2"/>
  <c r="Q56" i="2"/>
  <c r="P109" i="2"/>
  <c r="P22" i="2"/>
  <c r="M89" i="2"/>
  <c r="P91" i="2"/>
  <c r="O47" i="2"/>
  <c r="P71" i="2"/>
  <c r="M66" i="2"/>
  <c r="K89" i="2"/>
  <c r="H46" i="2"/>
  <c r="H45" i="2" s="1"/>
  <c r="H44" i="2" s="1"/>
  <c r="E46" i="2"/>
  <c r="E45" i="2" s="1"/>
  <c r="E44" i="2" s="1"/>
  <c r="H89" i="2"/>
  <c r="G66" i="2"/>
  <c r="G65" i="2" s="1"/>
  <c r="G89" i="2"/>
  <c r="E66" i="2"/>
  <c r="E65" i="2" s="1"/>
  <c r="I47" i="2"/>
  <c r="F15" i="2"/>
  <c r="F10" i="2" s="1"/>
  <c r="H66" i="2"/>
  <c r="H65" i="2" s="1"/>
  <c r="J101" i="2"/>
  <c r="L101" i="2" s="1"/>
  <c r="J67" i="2"/>
  <c r="L67" i="2" s="1"/>
  <c r="J51" i="2"/>
  <c r="L51" i="2" s="1"/>
  <c r="J26" i="2"/>
  <c r="L26" i="2" s="1"/>
  <c r="J42" i="2"/>
  <c r="L42" i="2" s="1"/>
  <c r="J11" i="2"/>
  <c r="L11" i="2" s="1"/>
  <c r="J70" i="2"/>
  <c r="L70" i="2" s="1"/>
  <c r="J35" i="2"/>
  <c r="J73" i="2"/>
  <c r="L73" i="2" s="1"/>
  <c r="J77" i="2"/>
  <c r="L77" i="2" s="1"/>
  <c r="I113" i="2"/>
  <c r="F46" i="2"/>
  <c r="F45" i="2" s="1"/>
  <c r="F44" i="2" s="1"/>
  <c r="I42" i="2"/>
  <c r="I70" i="2"/>
  <c r="I26" i="2"/>
  <c r="P26" i="2" s="1"/>
  <c r="I51" i="2"/>
  <c r="F66" i="2"/>
  <c r="F65" i="2" s="1"/>
  <c r="E76" i="2"/>
  <c r="F76" i="2"/>
  <c r="I21" i="2"/>
  <c r="I77" i="2"/>
  <c r="I15" i="2"/>
  <c r="E15" i="2"/>
  <c r="E10" i="2" s="1"/>
  <c r="I101" i="2"/>
  <c r="I67" i="2"/>
  <c r="I55" i="2"/>
  <c r="I35" i="2"/>
  <c r="I12" i="2"/>
  <c r="F89" i="2"/>
  <c r="E89" i="2"/>
  <c r="H41" i="1"/>
  <c r="H51" i="1"/>
  <c r="H57" i="1"/>
  <c r="H28" i="1"/>
  <c r="H25" i="1"/>
  <c r="G48" i="1"/>
  <c r="G57" i="1"/>
  <c r="G51" i="1"/>
  <c r="G41" i="1"/>
  <c r="G34" i="1"/>
  <c r="G28" i="1"/>
  <c r="G25" i="1"/>
  <c r="G19" i="1"/>
  <c r="Q77" i="2" l="1"/>
  <c r="Q42" i="2"/>
  <c r="P51" i="2"/>
  <c r="H75" i="2"/>
  <c r="K75" i="2"/>
  <c r="P90" i="2"/>
  <c r="Q26" i="2"/>
  <c r="Q12" i="2"/>
  <c r="O15" i="2"/>
  <c r="N75" i="2"/>
  <c r="N7" i="2" s="1"/>
  <c r="N6" i="2" s="1"/>
  <c r="N5" i="2" s="1"/>
  <c r="N116" i="2" s="1"/>
  <c r="O76" i="2"/>
  <c r="G75" i="2"/>
  <c r="F75" i="2"/>
  <c r="Q101" i="2"/>
  <c r="O46" i="2"/>
  <c r="Q11" i="2"/>
  <c r="Q67" i="2"/>
  <c r="O89" i="2"/>
  <c r="K9" i="2"/>
  <c r="K8" i="2" s="1"/>
  <c r="N9" i="2"/>
  <c r="N8" i="2" s="1"/>
  <c r="Q70" i="2"/>
  <c r="Q18" i="2"/>
  <c r="P77" i="2"/>
  <c r="Q90" i="2"/>
  <c r="Q80" i="2"/>
  <c r="Q51" i="2"/>
  <c r="P42" i="2"/>
  <c r="M10" i="2"/>
  <c r="O10" i="2" s="1"/>
  <c r="P80" i="2"/>
  <c r="I11" i="1"/>
  <c r="I8" i="1" s="1"/>
  <c r="I7" i="1" s="1"/>
  <c r="I15" i="1"/>
  <c r="J15" i="1"/>
  <c r="K15" i="1" s="1"/>
  <c r="I16" i="1"/>
  <c r="J16" i="1"/>
  <c r="K16" i="1" s="1"/>
  <c r="J28" i="1"/>
  <c r="H11" i="1"/>
  <c r="K28" i="1"/>
  <c r="K48" i="1"/>
  <c r="J26" i="1"/>
  <c r="K26" i="1" s="1"/>
  <c r="I25" i="1"/>
  <c r="I24" i="1" s="1"/>
  <c r="I22" i="1" s="1"/>
  <c r="I17" i="1" s="1"/>
  <c r="J30" i="1"/>
  <c r="K30" i="1" s="1"/>
  <c r="I41" i="1"/>
  <c r="I51" i="1"/>
  <c r="I50" i="1" s="1"/>
  <c r="J52" i="1"/>
  <c r="K52" i="1" s="1"/>
  <c r="I57" i="1"/>
  <c r="I56" i="1" s="1"/>
  <c r="I34" i="1"/>
  <c r="I33" i="1" s="1"/>
  <c r="J12" i="1"/>
  <c r="K12" i="1" s="1"/>
  <c r="K19" i="1"/>
  <c r="E4" i="1"/>
  <c r="E62" i="1" s="1"/>
  <c r="H8" i="1"/>
  <c r="H56" i="1"/>
  <c r="H50" i="1"/>
  <c r="F4" i="1"/>
  <c r="F62" i="1" s="1"/>
  <c r="M75" i="2"/>
  <c r="M65" i="2"/>
  <c r="O65" i="2" s="1"/>
  <c r="O66" i="2"/>
  <c r="I11" i="2"/>
  <c r="P11" i="2" s="1"/>
  <c r="P12" i="2"/>
  <c r="Q73" i="2"/>
  <c r="P73" i="2"/>
  <c r="P67" i="2"/>
  <c r="P101" i="2"/>
  <c r="I20" i="2"/>
  <c r="I33" i="2"/>
  <c r="J33" i="2"/>
  <c r="L33" i="2" s="1"/>
  <c r="Q33" i="2" s="1"/>
  <c r="L35" i="2"/>
  <c r="Q35" i="2" s="1"/>
  <c r="P70" i="2"/>
  <c r="O45" i="2"/>
  <c r="M44" i="2"/>
  <c r="O44" i="2" s="1"/>
  <c r="G9" i="2"/>
  <c r="G8" i="2" s="1"/>
  <c r="H9" i="2"/>
  <c r="H8" i="2" s="1"/>
  <c r="H7" i="2" s="1"/>
  <c r="H6" i="2" s="1"/>
  <c r="H5" i="2" s="1"/>
  <c r="H116" i="2" s="1"/>
  <c r="I46" i="2"/>
  <c r="F9" i="2"/>
  <c r="F8" i="2" s="1"/>
  <c r="J66" i="2"/>
  <c r="I76" i="2"/>
  <c r="J76" i="2"/>
  <c r="L76" i="2" s="1"/>
  <c r="J16" i="2"/>
  <c r="I66" i="2"/>
  <c r="J55" i="2"/>
  <c r="L55" i="2" s="1"/>
  <c r="Q55" i="2" s="1"/>
  <c r="I89" i="2"/>
  <c r="J113" i="2"/>
  <c r="L113" i="2" s="1"/>
  <c r="Q113" i="2" s="1"/>
  <c r="E9" i="2"/>
  <c r="E8" i="2" s="1"/>
  <c r="J47" i="2"/>
  <c r="L47" i="2" s="1"/>
  <c r="Q47" i="2" s="1"/>
  <c r="J21" i="2"/>
  <c r="E75" i="2"/>
  <c r="H40" i="1"/>
  <c r="H34" i="1"/>
  <c r="H24" i="1"/>
  <c r="G56" i="1"/>
  <c r="G50" i="1"/>
  <c r="G40" i="1"/>
  <c r="G33" i="1"/>
  <c r="G24" i="1"/>
  <c r="G8" i="1"/>
  <c r="G18" i="1"/>
  <c r="K18" i="1" s="1"/>
  <c r="Q76" i="2" l="1"/>
  <c r="K7" i="2"/>
  <c r="K6" i="2" s="1"/>
  <c r="K5" i="2" s="1"/>
  <c r="K116" i="2" s="1"/>
  <c r="G7" i="2"/>
  <c r="G6" i="2" s="1"/>
  <c r="G5" i="2" s="1"/>
  <c r="G116" i="2" s="1"/>
  <c r="O75" i="2"/>
  <c r="F7" i="2"/>
  <c r="F6" i="2" s="1"/>
  <c r="F5" i="2" s="1"/>
  <c r="F116" i="2" s="1"/>
  <c r="P113" i="2"/>
  <c r="M9" i="2"/>
  <c r="M8" i="2" s="1"/>
  <c r="I10" i="2"/>
  <c r="P47" i="2"/>
  <c r="I40" i="1"/>
  <c r="I39" i="1" s="1"/>
  <c r="I32" i="1" s="1"/>
  <c r="I4" i="1" s="1"/>
  <c r="I62" i="1" s="1"/>
  <c r="J51" i="1"/>
  <c r="K51" i="1" s="1"/>
  <c r="J50" i="1"/>
  <c r="K50" i="1" s="1"/>
  <c r="I6" i="1"/>
  <c r="I5" i="1" s="1"/>
  <c r="J11" i="1"/>
  <c r="K11" i="1" s="1"/>
  <c r="J25" i="1"/>
  <c r="K25" i="1" s="1"/>
  <c r="J57" i="1"/>
  <c r="K57" i="1" s="1"/>
  <c r="H39" i="1"/>
  <c r="H22" i="1"/>
  <c r="J24" i="1"/>
  <c r="K24" i="1" s="1"/>
  <c r="H33" i="1"/>
  <c r="J34" i="1"/>
  <c r="K34" i="1" s="1"/>
  <c r="J56" i="1"/>
  <c r="K56" i="1" s="1"/>
  <c r="H7" i="1"/>
  <c r="J7" i="1" s="1"/>
  <c r="J8" i="1"/>
  <c r="K8" i="1" s="1"/>
  <c r="G7" i="1"/>
  <c r="J41" i="1"/>
  <c r="K41" i="1" s="1"/>
  <c r="P55" i="2"/>
  <c r="P76" i="2"/>
  <c r="J65" i="2"/>
  <c r="L65" i="2" s="1"/>
  <c r="Q65" i="2" s="1"/>
  <c r="L66" i="2"/>
  <c r="Q66" i="2" s="1"/>
  <c r="I65" i="2"/>
  <c r="J15" i="2"/>
  <c r="L15" i="2" s="1"/>
  <c r="L16" i="2"/>
  <c r="P35" i="2"/>
  <c r="J20" i="2"/>
  <c r="L20" i="2" s="1"/>
  <c r="Q20" i="2" s="1"/>
  <c r="L21" i="2"/>
  <c r="P33" i="2"/>
  <c r="I45" i="2"/>
  <c r="I75" i="2"/>
  <c r="E7" i="2"/>
  <c r="E6" i="2" s="1"/>
  <c r="E5" i="2" s="1"/>
  <c r="E116" i="2" s="1"/>
  <c r="J89" i="2"/>
  <c r="J46" i="2"/>
  <c r="G39" i="1"/>
  <c r="G22" i="1"/>
  <c r="O9" i="2" l="1"/>
  <c r="P65" i="2"/>
  <c r="P66" i="2"/>
  <c r="J40" i="1"/>
  <c r="K40" i="1" s="1"/>
  <c r="J39" i="1"/>
  <c r="K7" i="1"/>
  <c r="K39" i="1"/>
  <c r="H17" i="1"/>
  <c r="J22" i="1"/>
  <c r="H32" i="1"/>
  <c r="J32" i="1" s="1"/>
  <c r="J33" i="1"/>
  <c r="K33" i="1" s="1"/>
  <c r="K22" i="1"/>
  <c r="Q21" i="2"/>
  <c r="P21" i="2"/>
  <c r="Q15" i="2"/>
  <c r="P15" i="2"/>
  <c r="P20" i="2"/>
  <c r="I44" i="2"/>
  <c r="J75" i="2"/>
  <c r="L75" i="2" s="1"/>
  <c r="Q75" i="2" s="1"/>
  <c r="L89" i="2"/>
  <c r="Q16" i="2"/>
  <c r="P16" i="2"/>
  <c r="P75" i="2"/>
  <c r="J45" i="2"/>
  <c r="L46" i="2"/>
  <c r="M7" i="2"/>
  <c r="O8" i="2"/>
  <c r="J10" i="2"/>
  <c r="L10" i="2" s="1"/>
  <c r="G32" i="1"/>
  <c r="G17" i="1"/>
  <c r="K32" i="1" l="1"/>
  <c r="H6" i="1"/>
  <c r="J17" i="1"/>
  <c r="K17" i="1" s="1"/>
  <c r="Q89" i="2"/>
  <c r="P89" i="2"/>
  <c r="I9" i="2"/>
  <c r="Q10" i="2"/>
  <c r="P10" i="2"/>
  <c r="M6" i="2"/>
  <c r="O7" i="2"/>
  <c r="Q46" i="2"/>
  <c r="P46" i="2"/>
  <c r="J44" i="2"/>
  <c r="L45" i="2"/>
  <c r="G6" i="1"/>
  <c r="G5" i="1" l="1"/>
  <c r="H5" i="1"/>
  <c r="J6" i="1"/>
  <c r="K6" i="1" s="1"/>
  <c r="Q45" i="2"/>
  <c r="P45" i="2"/>
  <c r="L44" i="2"/>
  <c r="J9" i="2"/>
  <c r="M5" i="2"/>
  <c r="O5" i="2" s="1"/>
  <c r="O6" i="2"/>
  <c r="I8" i="2"/>
  <c r="G4" i="1"/>
  <c r="J5" i="1" l="1"/>
  <c r="K5" i="1" s="1"/>
  <c r="H4" i="1"/>
  <c r="G62" i="1"/>
  <c r="Q44" i="2"/>
  <c r="P44" i="2"/>
  <c r="I7" i="2"/>
  <c r="M116" i="2"/>
  <c r="O116" i="2" s="1"/>
  <c r="J8" i="2"/>
  <c r="L9" i="2"/>
  <c r="D113" i="2"/>
  <c r="H62" i="1" l="1"/>
  <c r="J62" i="1" s="1"/>
  <c r="K62" i="1" s="1"/>
  <c r="J4" i="1"/>
  <c r="K4" i="1" s="1"/>
  <c r="I6" i="2"/>
  <c r="J7" i="2"/>
  <c r="L8" i="2"/>
  <c r="Q9" i="2"/>
  <c r="P9" i="2"/>
  <c r="D101" i="2"/>
  <c r="D90" i="2"/>
  <c r="D77" i="2"/>
  <c r="D73" i="2"/>
  <c r="D70" i="2"/>
  <c r="D67" i="2"/>
  <c r="D55" i="2"/>
  <c r="D51" i="2"/>
  <c r="D47" i="2"/>
  <c r="D42" i="2"/>
  <c r="D35" i="2"/>
  <c r="D33" i="2" s="1"/>
  <c r="D26" i="2"/>
  <c r="D21" i="2"/>
  <c r="D20" i="2" s="1"/>
  <c r="D18" i="2"/>
  <c r="D16" i="2"/>
  <c r="D12" i="2"/>
  <c r="D11" i="2" s="1"/>
  <c r="D57" i="1"/>
  <c r="D56" i="1" s="1"/>
  <c r="D51" i="1"/>
  <c r="D50" i="1" s="1"/>
  <c r="D48" i="1"/>
  <c r="D41" i="1"/>
  <c r="D40" i="1" s="1"/>
  <c r="D34" i="1"/>
  <c r="D33" i="1" s="1"/>
  <c r="D28" i="1"/>
  <c r="D25" i="1"/>
  <c r="D20" i="1"/>
  <c r="D19" i="1" s="1"/>
  <c r="D18" i="1" s="1"/>
  <c r="D9" i="1"/>
  <c r="Q8" i="2" l="1"/>
  <c r="P8" i="2"/>
  <c r="J6" i="2"/>
  <c r="L7" i="2"/>
  <c r="I5" i="2"/>
  <c r="D66" i="2"/>
  <c r="D65" i="2" s="1"/>
  <c r="D39" i="1"/>
  <c r="D32" i="1"/>
  <c r="D24" i="1"/>
  <c r="D22" i="1" s="1"/>
  <c r="D17" i="1" s="1"/>
  <c r="D8" i="1"/>
  <c r="D7" i="1" s="1"/>
  <c r="D89" i="2"/>
  <c r="D76" i="2"/>
  <c r="D46" i="2"/>
  <c r="D45" i="2" s="1"/>
  <c r="D44" i="2" s="1"/>
  <c r="D15" i="2"/>
  <c r="D10" i="2" s="1"/>
  <c r="I116" i="2" l="1"/>
  <c r="Q7" i="2"/>
  <c r="P7" i="2"/>
  <c r="J5" i="2"/>
  <c r="L6" i="2"/>
  <c r="D6" i="1"/>
  <c r="D5" i="1" s="1"/>
  <c r="D4" i="1" s="1"/>
  <c r="D62" i="1" s="1"/>
  <c r="D75" i="2"/>
  <c r="D9" i="2"/>
  <c r="D8" i="2" s="1"/>
  <c r="Q6" i="2" l="1"/>
  <c r="P6" i="2"/>
  <c r="J116" i="2"/>
  <c r="L116" i="2" s="1"/>
  <c r="Q116" i="2" s="1"/>
  <c r="L5" i="2"/>
  <c r="D7" i="2"/>
  <c r="D6" i="2" s="1"/>
  <c r="D5" i="2" s="1"/>
  <c r="P116" i="2" l="1"/>
  <c r="Q5" i="2"/>
  <c r="P5" i="2"/>
  <c r="D118" i="2"/>
  <c r="D116" i="2"/>
</calcChain>
</file>

<file path=xl/sharedStrings.xml><?xml version="1.0" encoding="utf-8"?>
<sst xmlns="http://schemas.openxmlformats.org/spreadsheetml/2006/main" count="371" uniqueCount="363">
  <si>
    <t>1.1</t>
  </si>
  <si>
    <t>1.1.02</t>
  </si>
  <si>
    <t>1.1.02.05</t>
  </si>
  <si>
    <t>1.1.02.05.002</t>
  </si>
  <si>
    <t>1.1.02.05.002.07</t>
  </si>
  <si>
    <t>1.1.02.05.002.09</t>
  </si>
  <si>
    <t>1.1.02.05.002.09.01</t>
  </si>
  <si>
    <t>1.1.02.05.002.07.01</t>
  </si>
  <si>
    <t>1.1.02.05.002.09.02</t>
  </si>
  <si>
    <t>1.1.02.05.002.09.03</t>
  </si>
  <si>
    <t>1.1.02.06</t>
  </si>
  <si>
    <t>1.1.02.06.001</t>
  </si>
  <si>
    <t>1.1.02.06.001.01</t>
  </si>
  <si>
    <t>1.1.02.06.001.01.03</t>
  </si>
  <si>
    <t>1.1.02.06.001.01.03.02</t>
  </si>
  <si>
    <t>1.1.02.06.006</t>
  </si>
  <si>
    <t>1.1.02.06.006.01</t>
  </si>
  <si>
    <t>1.1.02.06.006.06</t>
  </si>
  <si>
    <t>1.1.02.06.006.06.01</t>
  </si>
  <si>
    <t>1.1.02.06.006.06.02</t>
  </si>
  <si>
    <t>1.1.02.06.006.06.01.01</t>
  </si>
  <si>
    <t>1.1.02.06.006.06.01.02</t>
  </si>
  <si>
    <t>1.1.02.06.006.06.03</t>
  </si>
  <si>
    <t>1.1.02.06.006.06.02.01</t>
  </si>
  <si>
    <t>1.1.02.06.006.06.02.02</t>
  </si>
  <si>
    <t>1.2</t>
  </si>
  <si>
    <t>1.2.05</t>
  </si>
  <si>
    <t>1.2.05.02</t>
  </si>
  <si>
    <t>1.2.05.02.01</t>
  </si>
  <si>
    <t>1.2.05.02.02</t>
  </si>
  <si>
    <t>1.2.05.02.03</t>
  </si>
  <si>
    <t>1.2.05.02.04</t>
  </si>
  <si>
    <t>1.2.08</t>
  </si>
  <si>
    <t>1.2.08.01</t>
  </si>
  <si>
    <t>1.2.08.01.002</t>
  </si>
  <si>
    <t>1.2.08.01.003</t>
  </si>
  <si>
    <t>1.2.08.01.002.01</t>
  </si>
  <si>
    <t>1.2.08.01.002.02</t>
  </si>
  <si>
    <t>1.2.08.01.003.01</t>
  </si>
  <si>
    <t>1.2.08.01.003.02</t>
  </si>
  <si>
    <t>1.2.08.02</t>
  </si>
  <si>
    <t>1.2.08.02.01</t>
  </si>
  <si>
    <t>1.2.10</t>
  </si>
  <si>
    <t>1.2.10.02</t>
  </si>
  <si>
    <t>1.2.10.02.01</t>
  </si>
  <si>
    <t>1.2.10.02.02</t>
  </si>
  <si>
    <t>1.2.10.02.03</t>
  </si>
  <si>
    <t>1.2.10.02.04</t>
  </si>
  <si>
    <t>1.2.13</t>
  </si>
  <si>
    <t>1.2.13.01</t>
  </si>
  <si>
    <t>1.2.13.01.01</t>
  </si>
  <si>
    <t>1.2.13.01.02</t>
  </si>
  <si>
    <t>1.2.13.01.03</t>
  </si>
  <si>
    <t>1.2.13.01.04</t>
  </si>
  <si>
    <t>INGRESOS</t>
  </si>
  <si>
    <t xml:space="preserve">INGRESOS CORRIENTES </t>
  </si>
  <si>
    <t xml:space="preserve">INGRESOS NO TRIBUTARIOS </t>
  </si>
  <si>
    <t xml:space="preserve">Venta de bienes y servicios </t>
  </si>
  <si>
    <t xml:space="preserve">Ventas incidentales de establecimientos no de mercado </t>
  </si>
  <si>
    <t xml:space="preserve">Servicios para la comunidad, sociales y personales </t>
  </si>
  <si>
    <t xml:space="preserve">Certificados y Constancias de desempeño </t>
  </si>
  <si>
    <t>Duplicado diploma Grado 11</t>
  </si>
  <si>
    <t xml:space="preserve">Duplicado acta de grado </t>
  </si>
  <si>
    <t xml:space="preserve">Transferencias Corrientes </t>
  </si>
  <si>
    <t>Sistema General del Participaciones S.G.P</t>
  </si>
  <si>
    <t xml:space="preserve">Participación para Educación </t>
  </si>
  <si>
    <t xml:space="preserve">Transferencias de otras Entidades del Gobierno Nacional </t>
  </si>
  <si>
    <t xml:space="preserve">Calidad </t>
  </si>
  <si>
    <t xml:space="preserve">Otras Unidades de Gobierno </t>
  </si>
  <si>
    <t xml:space="preserve">Transferencias Departamentales </t>
  </si>
  <si>
    <t xml:space="preserve">Calidad SGP Departamentos </t>
  </si>
  <si>
    <t xml:space="preserve">Transferencias Municipales </t>
  </si>
  <si>
    <t xml:space="preserve">Otros aportes Departamentales </t>
  </si>
  <si>
    <t xml:space="preserve">Calidad SGP - Municipio </t>
  </si>
  <si>
    <t xml:space="preserve">Otros Aportes Municipales </t>
  </si>
  <si>
    <t xml:space="preserve">Transferencias de otras Entidades Públicas </t>
  </si>
  <si>
    <t xml:space="preserve">RECURSOS DE CAPITAL </t>
  </si>
  <si>
    <t xml:space="preserve">Rendimientos Financieros </t>
  </si>
  <si>
    <t xml:space="preserve">Depósitos </t>
  </si>
  <si>
    <t xml:space="preserve">Transferencias de Capital </t>
  </si>
  <si>
    <t xml:space="preserve">Donaciones </t>
  </si>
  <si>
    <t xml:space="preserve">De Organizaciones Internacionales </t>
  </si>
  <si>
    <t>No condicionadas a la adquisición de un Activo</t>
  </si>
  <si>
    <t>Condicionadas a la adquisición de un Activo</t>
  </si>
  <si>
    <t>Indemnizaciones relacionadas con seguros de no vida</t>
  </si>
  <si>
    <t xml:space="preserve">Del sector privado </t>
  </si>
  <si>
    <t xml:space="preserve">Indemnización Póliza </t>
  </si>
  <si>
    <t xml:space="preserve">Recursos de Balance </t>
  </si>
  <si>
    <t xml:space="preserve">Superavit Fiscal </t>
  </si>
  <si>
    <t>Reintegros y Otros Recursos no apropiados</t>
  </si>
  <si>
    <t xml:space="preserve">Reintegros </t>
  </si>
  <si>
    <t xml:space="preserve">Reintegros SGP Calidad por Gratuidad </t>
  </si>
  <si>
    <t xml:space="preserve">Reintegro Recursos Propios </t>
  </si>
  <si>
    <t xml:space="preserve">Reintegros SGP Calidad por Matrícula Oficial </t>
  </si>
  <si>
    <t xml:space="preserve">Reintegros distintos al SGP Y Recursos Propios </t>
  </si>
  <si>
    <t>Serv. financieros y serv conexos: Inmobiliarios, y serv de arrendamiento</t>
  </si>
  <si>
    <t xml:space="preserve">Arrendamiento de Espacios- Tienda Escolar, Otros  </t>
  </si>
  <si>
    <t>Calidad por Gratuidad -MEN</t>
  </si>
  <si>
    <t xml:space="preserve">Rend. Financieros-  SGP Calidad Por Gratuidad </t>
  </si>
  <si>
    <t xml:space="preserve">Rend. Financiros - Recursos Propios </t>
  </si>
  <si>
    <t>Rend. Financieros - SGP Calidad Matricula oficial</t>
  </si>
  <si>
    <t xml:space="preserve">Rend. Financieros- Distintos a SGP y a Recursos propios </t>
  </si>
  <si>
    <t xml:space="preserve">Rec. Balance- SGP Calidad por Gratuidad </t>
  </si>
  <si>
    <t xml:space="preserve">Rec. Balance - Recursos Propios </t>
  </si>
  <si>
    <t xml:space="preserve">Rec. Balance-  SGP Calidad por Matrícula Oficial </t>
  </si>
  <si>
    <t xml:space="preserve">Rec. Balance-  Distintos a SGP y Recursos Propios </t>
  </si>
  <si>
    <t>Aportes de la Nación-Otros (Alimentacion Escolar)</t>
  </si>
  <si>
    <t>2.1</t>
  </si>
  <si>
    <t>2.1.2</t>
  </si>
  <si>
    <t>2.1.2.01</t>
  </si>
  <si>
    <t>2.1.2.01.01</t>
  </si>
  <si>
    <t>2.1.2.01.01.003</t>
  </si>
  <si>
    <t>2.1.2.01.01.003.01</t>
  </si>
  <si>
    <t>2.1.2.01.01.003.01.06</t>
  </si>
  <si>
    <t>2.1.2.01.01.003.01.06.01</t>
  </si>
  <si>
    <t>2.1.2.01.01.003.01.06.02</t>
  </si>
  <si>
    <t>2.1.2.01.01.003.02</t>
  </si>
  <si>
    <t>2.1.2.01.01.003.02.07</t>
  </si>
  <si>
    <t>2.1.2.01.01.003.02.07.01</t>
  </si>
  <si>
    <t>2.1.2.01.01.003.02.08</t>
  </si>
  <si>
    <t>2.1.2.01.01.003.02.08.01</t>
  </si>
  <si>
    <t>2.1.2.01.01.003.03</t>
  </si>
  <si>
    <t>2.1.2.01.01.003.03.02</t>
  </si>
  <si>
    <t>2.1.2.01.01.003.03.02.01</t>
  </si>
  <si>
    <t>2.1.2.01.01.003.03.02.02</t>
  </si>
  <si>
    <t>2.1.2.01.01.003.03.02.03</t>
  </si>
  <si>
    <t>2.1.2.01.01.003.03.02.04</t>
  </si>
  <si>
    <t>2.1.2.01.01.003.04</t>
  </si>
  <si>
    <t>2.1.2.01.01.003.04.01</t>
  </si>
  <si>
    <t>2.1.2.01.01.003.04.02</t>
  </si>
  <si>
    <t>2.1.2.01.01.003.04.03</t>
  </si>
  <si>
    <t>2.1.2.01.01.003.04.04</t>
  </si>
  <si>
    <t>2.1.2.01.01.003.04.05</t>
  </si>
  <si>
    <t>2.1.2.01.01.003.04.06</t>
  </si>
  <si>
    <t>2.1.2.01.01.003.05</t>
  </si>
  <si>
    <t>2.1.2.01.01.003.05.02</t>
  </si>
  <si>
    <t>2.1.2.01.01.003.05.03</t>
  </si>
  <si>
    <t>2.1.2.01.01.003.05.03.01</t>
  </si>
  <si>
    <t>2.1.2.01.01.003.05.03.02</t>
  </si>
  <si>
    <t>2.1.2.01.01.003.05.03.03</t>
  </si>
  <si>
    <t>2.1.2.01.01.003.05.03.04</t>
  </si>
  <si>
    <t>2.1.2.01.01.003.05.03.05</t>
  </si>
  <si>
    <t>2.1.2.01.01.003.05.04</t>
  </si>
  <si>
    <t>2.1.2.01.01.003.06</t>
  </si>
  <si>
    <t>2.1.2.01.01.003.06.02</t>
  </si>
  <si>
    <t xml:space="preserve">GASTOS </t>
  </si>
  <si>
    <t xml:space="preserve">FUNCIONAMIENTO </t>
  </si>
  <si>
    <t xml:space="preserve">ADQUISICION DE BIENES Y SERVICIOS </t>
  </si>
  <si>
    <t xml:space="preserve">Adquisición de activos no Financieros </t>
  </si>
  <si>
    <t xml:space="preserve">Activos Fijos </t>
  </si>
  <si>
    <t xml:space="preserve">Maquinaria y Equipo </t>
  </si>
  <si>
    <t xml:space="preserve">Maquinaria para uso general </t>
  </si>
  <si>
    <t>Otras maquinas para uso genral, partes y piezas</t>
  </si>
  <si>
    <t xml:space="preserve">Aparatos para acondicionamiento de Aire </t>
  </si>
  <si>
    <t>Extintores de incendios</t>
  </si>
  <si>
    <t xml:space="preserve">Maquinaria para usos especiales </t>
  </si>
  <si>
    <t xml:space="preserve">Aparatos de uso domestico, partes y piezas </t>
  </si>
  <si>
    <t xml:space="preserve">Ventilador electrico de uso domestico </t>
  </si>
  <si>
    <t>Otras maquinarias para usos especiales, partes y piezas</t>
  </si>
  <si>
    <t xml:space="preserve">Maquinas Fotocopiadoras </t>
  </si>
  <si>
    <t xml:space="preserve">Maquinaria de Oficina, Contabilidad </t>
  </si>
  <si>
    <t xml:space="preserve">Maquinaria de informatica, patres y piezas </t>
  </si>
  <si>
    <t xml:space="preserve">Mquinaria de procesamiento de datos </t>
  </si>
  <si>
    <t xml:space="preserve">Partes y accesorios para computadores </t>
  </si>
  <si>
    <t xml:space="preserve">Dispositivos perifericos de entrada </t>
  </si>
  <si>
    <t>Impresoras</t>
  </si>
  <si>
    <t xml:space="preserve">Maquinaria y aparatos electricos </t>
  </si>
  <si>
    <t xml:space="preserve">Motores generadores y transformadores electricos </t>
  </si>
  <si>
    <t xml:space="preserve">Aparatos de control electrico y ditribucion de electricidad </t>
  </si>
  <si>
    <t>Hilos y cables aislados, cable de fibra optica</t>
  </si>
  <si>
    <t xml:space="preserve">Acumuladores, pilas, baterias primrias </t>
  </si>
  <si>
    <t xml:space="preserve">Lamparas electricas, equipo para alumbrado electrico </t>
  </si>
  <si>
    <t xml:space="preserve">Otros equipos electricos y sus partes </t>
  </si>
  <si>
    <t xml:space="preserve">Equipos de radio, televisión y comunicaciones </t>
  </si>
  <si>
    <t xml:space="preserve">Aparatos transmisores de TV, video y camaras digitales, telefonos </t>
  </si>
  <si>
    <t>Radioreceptores de televisión, aparatos de reproducción de sonido</t>
  </si>
  <si>
    <t xml:space="preserve">Televisores </t>
  </si>
  <si>
    <t xml:space="preserve">Videoproyectores </t>
  </si>
  <si>
    <t xml:space="preserve">Micrófonos </t>
  </si>
  <si>
    <t xml:space="preserve">Parlates- Altavoces, Bafles  </t>
  </si>
  <si>
    <t xml:space="preserve">Equipos de sonido integrado </t>
  </si>
  <si>
    <t>Partes y piezas de productos clase 4721, 4733, 4822</t>
  </si>
  <si>
    <t xml:space="preserve">Aparatos medicos, instrumenstos opticos, relojes </t>
  </si>
  <si>
    <t xml:space="preserve">Instrumentos y aparetos de medición, de control industrial </t>
  </si>
  <si>
    <t>2.1.2.01.01.004</t>
  </si>
  <si>
    <t>2.1.2.01.01.004.01</t>
  </si>
  <si>
    <t>2.1.2.01.01.004.01.01</t>
  </si>
  <si>
    <t>2.1.2.01.01.004.01.01.01</t>
  </si>
  <si>
    <t>2.1.2.01.01.004.01.01.01.01</t>
  </si>
  <si>
    <t>2.1.2.01.01.004.01.01.01.02</t>
  </si>
  <si>
    <t>2.1.2.01.01.004.01.01.01.03</t>
  </si>
  <si>
    <t>2.1.2.01.01.004.01.01.02</t>
  </si>
  <si>
    <t>2.1.2.01.01.004.01.01.02.01</t>
  </si>
  <si>
    <t>2.1.2.01.01.004.01.01.02.02</t>
  </si>
  <si>
    <t>2.1.2.01.01.004.01.01.02.03</t>
  </si>
  <si>
    <t>2.1.2.01.01.004.01.01.04</t>
  </si>
  <si>
    <t>2.1.2.01.01.004.01.01.04.01</t>
  </si>
  <si>
    <t>2.1.2.01.01.004.01.01.04.02</t>
  </si>
  <si>
    <t>2.1.2.01.01.004.01.01.04.03</t>
  </si>
  <si>
    <t>2.1.2.01.01.004.01.01.04.04</t>
  </si>
  <si>
    <t>2.1.2.01.01.004.01.01.04.05</t>
  </si>
  <si>
    <t>2.1.2.01.01.004.01.01.04.06</t>
  </si>
  <si>
    <t>2.1.2.01.01.004.01.01.06</t>
  </si>
  <si>
    <t>2.1.2.01.01.004.01.02</t>
  </si>
  <si>
    <t>2.1.2.01.01.004.01.03</t>
  </si>
  <si>
    <t>2.1.2.01.01.005</t>
  </si>
  <si>
    <t>2.1.2.01.01.005.01</t>
  </si>
  <si>
    <t>2.1.2.01.01.005.01.01</t>
  </si>
  <si>
    <t>2.1.2.01.01.005.01.01.01</t>
  </si>
  <si>
    <t>2.1.2.01.01.005.01.01.08</t>
  </si>
  <si>
    <t>2.1.2.01.01.005.02</t>
  </si>
  <si>
    <t>2.1.2.01.01.005.02.06</t>
  </si>
  <si>
    <t>2.1.2.02</t>
  </si>
  <si>
    <t>2.1.2.02.01</t>
  </si>
  <si>
    <t>2.1.2.02.01.000</t>
  </si>
  <si>
    <t>2.1.2.02.01.000.01</t>
  </si>
  <si>
    <t>2.1.2.02.01.000.02</t>
  </si>
  <si>
    <t>2.1.2.02.01.003</t>
  </si>
  <si>
    <t>2.1.2.02.01.003.01</t>
  </si>
  <si>
    <t>2.1.2.02.01.003.02</t>
  </si>
  <si>
    <t>2.1.2.02.01.003.03</t>
  </si>
  <si>
    <t>2.1.2.02.01.003.04</t>
  </si>
  <si>
    <t>2.1.2.02.01.003.05</t>
  </si>
  <si>
    <t>2.1.2.02.01.003.06</t>
  </si>
  <si>
    <t>2.1.2.02.01.003.07</t>
  </si>
  <si>
    <t>2.1.2.02.02</t>
  </si>
  <si>
    <t>2.1.2.02.02.005</t>
  </si>
  <si>
    <t>2.1.2.02.02.005.01</t>
  </si>
  <si>
    <t>2.1.2.02.02.005.02</t>
  </si>
  <si>
    <t>2.1.2.02.02.006</t>
  </si>
  <si>
    <t>2.1.2.02.02.006.01</t>
  </si>
  <si>
    <t>2.1.2.02.02.006.02</t>
  </si>
  <si>
    <t>2.1.2.02.02.006.03</t>
  </si>
  <si>
    <t>2.1.2.02.02.006.04</t>
  </si>
  <si>
    <t>2.1.2.02.02.006.05</t>
  </si>
  <si>
    <t>2.1.2.02.02.006.06</t>
  </si>
  <si>
    <t>2.1.2.02.02.007</t>
  </si>
  <si>
    <t>2.1.2.02.02.007.01</t>
  </si>
  <si>
    <t>2.1.2.02.02.007.02</t>
  </si>
  <si>
    <t>2.1.2.02.02.007.03</t>
  </si>
  <si>
    <t>2.1.2.02.02.008</t>
  </si>
  <si>
    <t>2.1.2.02.02.008.01</t>
  </si>
  <si>
    <t>2.1.2.02.02.008.02</t>
  </si>
  <si>
    <t>2.1.2.02.02.008.03</t>
  </si>
  <si>
    <t>2.1.2.02.02.008.04</t>
  </si>
  <si>
    <t>2.1.2.02.02.008.05</t>
  </si>
  <si>
    <t>2.1.2.02.02.008.06</t>
  </si>
  <si>
    <t>2.1.2.02.02.009</t>
  </si>
  <si>
    <t>2.1.2.02.02.009.01</t>
  </si>
  <si>
    <t>2.1.2.02.02.009.02</t>
  </si>
  <si>
    <t xml:space="preserve">Activos fijos no clasificados como maquinaria y equipo </t>
  </si>
  <si>
    <t xml:space="preserve">Muebles, instrumentos musicales, articulos de deporte, antiguedades </t>
  </si>
  <si>
    <t xml:space="preserve">Muebles </t>
  </si>
  <si>
    <t xml:space="preserve">Asientos </t>
  </si>
  <si>
    <t xml:space="preserve">Sillas- Pupitres metalicos/ madera </t>
  </si>
  <si>
    <t>Sillas de material plastico</t>
  </si>
  <si>
    <t>Sillas metalicas fijas / Giratorias para Oficina</t>
  </si>
  <si>
    <t>Muebles del tipo utilizado para Oficina</t>
  </si>
  <si>
    <t xml:space="preserve">Archivadores metalicos/ madera </t>
  </si>
  <si>
    <t xml:space="preserve">Bibliotecas metálicas/ madera </t>
  </si>
  <si>
    <t xml:space="preserve">Escritorios metálicos/ madera </t>
  </si>
  <si>
    <t>Otros muebles N.C.P</t>
  </si>
  <si>
    <t xml:space="preserve">Armarios metalicos </t>
  </si>
  <si>
    <t xml:space="preserve">Pupitres en madera- metalicos - individuale y dobles </t>
  </si>
  <si>
    <t xml:space="preserve">Mesa pupitre plastico prescolar </t>
  </si>
  <si>
    <t>Mesa metálica para laboratorio</t>
  </si>
  <si>
    <t xml:space="preserve">Muebles de madera metálicos NCP, para escuelas </t>
  </si>
  <si>
    <t xml:space="preserve">Partes y piezas de muebles </t>
  </si>
  <si>
    <t xml:space="preserve">Otros Activos fijos </t>
  </si>
  <si>
    <t xml:space="preserve">Recursos  biologicos cultivados </t>
  </si>
  <si>
    <t xml:space="preserve">Recursos animales que generan productos en forma repetida </t>
  </si>
  <si>
    <t xml:space="preserve">Arboles frutales </t>
  </si>
  <si>
    <t xml:space="preserve">Otros animales que generan productos en forma repetida </t>
  </si>
  <si>
    <t>Arboles, cultivos y plantas que generan productos en forma repetida</t>
  </si>
  <si>
    <t>Animales de cria</t>
  </si>
  <si>
    <t>2.1.2.01.01.005.01.02</t>
  </si>
  <si>
    <t>2.1.2.01.01.005.01.02.01</t>
  </si>
  <si>
    <t>2.1.2.01.01.005.01.02.06</t>
  </si>
  <si>
    <t xml:space="preserve">Otros arboles, cultivos, plantas que generan producos </t>
  </si>
  <si>
    <t xml:space="preserve">Productos de la propiedad intelectual </t>
  </si>
  <si>
    <t xml:space="preserve">Adquisición de diferentes Activos </t>
  </si>
  <si>
    <t xml:space="preserve">Materiales y suministros </t>
  </si>
  <si>
    <t xml:space="preserve">Agricultura, silvicultura y productos de pezca </t>
  </si>
  <si>
    <t xml:space="preserve">Insumos para agricultura, horticultura y Silvicultura </t>
  </si>
  <si>
    <t xml:space="preserve">Insumos para sostenimiento de semovientes </t>
  </si>
  <si>
    <t>Otros bienes transportables (excepto Maquinaria y equipo).</t>
  </si>
  <si>
    <t>Papaleria y utiles de escritorio</t>
  </si>
  <si>
    <t xml:space="preserve">Elementos de aseo- Botiquin </t>
  </si>
  <si>
    <t xml:space="preserve">Materiales electricos, ferreteria y fontaneria </t>
  </si>
  <si>
    <t>Cartuchos- Tóners</t>
  </si>
  <si>
    <t xml:space="preserve">Articulos de deporte </t>
  </si>
  <si>
    <t>Dotacion menajes, materiales y medios pedagógicos para aprendizaje</t>
  </si>
  <si>
    <t>Otros bienes transportables N.C.P</t>
  </si>
  <si>
    <t xml:space="preserve">Adquisición de servicios </t>
  </si>
  <si>
    <t>Construcción y servicios de la Construcción</t>
  </si>
  <si>
    <t xml:space="preserve">Construcción general, mejoras de infraestructura, reparaciones </t>
  </si>
  <si>
    <t>Construcción y ampliación de infraestructura educativa</t>
  </si>
  <si>
    <t>Comercio, distribución alojamiento, servicio suministro de comidas …</t>
  </si>
  <si>
    <t>Gastos de viaje de estudiantes- salidas (Transporte y alimentación)</t>
  </si>
  <si>
    <t xml:space="preserve">Servicio de energia electrica </t>
  </si>
  <si>
    <t xml:space="preserve">Servicio de distribución de Gas </t>
  </si>
  <si>
    <t xml:space="preserve">Contratacion de Transporte Escolar </t>
  </si>
  <si>
    <t>Alimentacion Escolar ( Decreto 0846 de 2023)</t>
  </si>
  <si>
    <t xml:space="preserve">Servicios financieros y conexos, arrendamientos y leasing </t>
  </si>
  <si>
    <t xml:space="preserve">Seguros </t>
  </si>
  <si>
    <t xml:space="preserve">Gastos Financieros </t>
  </si>
  <si>
    <t xml:space="preserve">Arrendamiento Establecimientos Educativos </t>
  </si>
  <si>
    <t xml:space="preserve">Servicios prestados a las empresas y servicios de producción </t>
  </si>
  <si>
    <t>Servicio de alojamiento en sitio WEB (Hosting)</t>
  </si>
  <si>
    <t xml:space="preserve">Servicio de telefoníay otros servicios de Telecomunicaciones </t>
  </si>
  <si>
    <t xml:space="preserve">Servicio de acceso a Internet </t>
  </si>
  <si>
    <t xml:space="preserve">Impresos y Publicaciones </t>
  </si>
  <si>
    <t>Servicios para la comunidad, sociales y personales</t>
  </si>
  <si>
    <t xml:space="preserve">Realizacion de actividades pedagógicas, cientificas, culturales, deportivas </t>
  </si>
  <si>
    <t>Inscripción y participacion en competencias deportivas, culturales, cientificas.</t>
  </si>
  <si>
    <t xml:space="preserve">CODIGO </t>
  </si>
  <si>
    <t xml:space="preserve">CUENTA </t>
  </si>
  <si>
    <t xml:space="preserve">PRESUPUESTO INICIAL </t>
  </si>
  <si>
    <t xml:space="preserve">DESEQUILIBRIO PRESUPUESTAL </t>
  </si>
  <si>
    <t xml:space="preserve">ADICIONES </t>
  </si>
  <si>
    <t xml:space="preserve">REDUCCIONES </t>
  </si>
  <si>
    <t xml:space="preserve">PRESUPUESTO DEFINITIVO </t>
  </si>
  <si>
    <t xml:space="preserve">RECAUDO ACUMULADO </t>
  </si>
  <si>
    <t xml:space="preserve">SALDO POR RECAUDAR </t>
  </si>
  <si>
    <t>ADICIONES</t>
  </si>
  <si>
    <t xml:space="preserve">PAGOS </t>
  </si>
  <si>
    <t xml:space="preserve">TOTAL INGRESOS </t>
  </si>
  <si>
    <t>CREDITOS</t>
  </si>
  <si>
    <t xml:space="preserve">CONTRA   CREDITOS </t>
  </si>
  <si>
    <t xml:space="preserve">TOTAL GASTOS </t>
  </si>
  <si>
    <t xml:space="preserve">Mantenimiento y reparación de maquinaria, mobiliario y otros bienes </t>
  </si>
  <si>
    <t>SOLO DILIGENCIAS LAS CASILAS QUE ESTAN CON COLOR BLANCO</t>
  </si>
  <si>
    <t xml:space="preserve">NO DAÑAR LAS FORMULAS </t>
  </si>
  <si>
    <t>SALDO ANTERIOR</t>
  </si>
  <si>
    <t xml:space="preserve">COMPROMISOS </t>
  </si>
  <si>
    <t xml:space="preserve">COMPROMISOS DEL MES </t>
  </si>
  <si>
    <t xml:space="preserve">COMPROMISOS ACUMULADOS </t>
  </si>
  <si>
    <t xml:space="preserve">PAGOS DEL MES </t>
  </si>
  <si>
    <t xml:space="preserve">PAGOS ACUMULADOS </t>
  </si>
  <si>
    <t xml:space="preserve">SALDO DE APOPIACION </t>
  </si>
  <si>
    <t xml:space="preserve">SALDO COMPROMETIDO POR PAGAR </t>
  </si>
  <si>
    <t xml:space="preserve">SALDO FINAL </t>
  </si>
  <si>
    <t>RECAUDOS ANTERIORES</t>
  </si>
  <si>
    <t xml:space="preserve">RECAUDO </t>
  </si>
  <si>
    <t xml:space="preserve">RECAUDO DEL MES </t>
  </si>
  <si>
    <t>1.1.02.05.002.09.04</t>
  </si>
  <si>
    <t>1.1.02.05.002.09.05</t>
  </si>
  <si>
    <t xml:space="preserve">Derechos de grado - Adultos y en Extraedad </t>
  </si>
  <si>
    <t xml:space="preserve">Derechos Académicos- Adultos y Extraedad </t>
  </si>
  <si>
    <t>1.2.08.01.003.03</t>
  </si>
  <si>
    <t xml:space="preserve">Donacion de padres de familia </t>
  </si>
  <si>
    <t>2.1.2.02.02.008.07</t>
  </si>
  <si>
    <t>Otros Gastos Educación- Servicios profesionales -Honoararios</t>
  </si>
  <si>
    <t xml:space="preserve">Otros Gastos Educación- Servicios tecnicos </t>
  </si>
  <si>
    <t>2.1.2.02.02.006.07</t>
  </si>
  <si>
    <t>2.1.2.02.01.003.08</t>
  </si>
  <si>
    <t>Otros productos de propiedad intelectual (Programas, Paquetes contables)</t>
  </si>
  <si>
    <t>Tableros</t>
  </si>
  <si>
    <t xml:space="preserve">Combustibles y lubricantes (Para plantas electricas, etc) </t>
  </si>
  <si>
    <t>Servicio  Público-Acueducto y alcantarillado.</t>
  </si>
  <si>
    <t xml:space="preserve">Servicio  Público- Aseo. </t>
  </si>
  <si>
    <t xml:space="preserve">Equipos para Deporte </t>
  </si>
  <si>
    <t xml:space="preserve">Instrumentos musicales, dotación Bandas de paz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</si>
</sst>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9">
    <xf numFmtId="0" fontId="0" fillId="0" borderId="0" xfId="0"/>
    <xf numFmtId="4" fontId="0" fillId="0" borderId="1" xfId="0" applyNumberFormat="1" applyBorder="1"/>
    <xf numFmtId="1" fontId="0" fillId="0" borderId="1" xfId="0" applyNumberFormat="1" applyBorder="1" applyAlignment="1">
      <alignment horizontal="left"/>
    </xf>
    <xf numFmtId="1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wrapText="1"/>
    </xf>
    <xf numFmtId="4" fontId="1" fillId="4" borderId="1" xfId="0" applyNumberFormat="1" applyFont="1" applyFill="1" applyBorder="1"/>
    <xf numFmtId="1" fontId="1" fillId="4" borderId="1" xfId="0" applyNumberFormat="1" applyFont="1" applyFill="1" applyBorder="1"/>
    <xf numFmtId="1" fontId="1" fillId="5" borderId="1" xfId="0" applyNumberFormat="1" applyFont="1" applyFill="1" applyBorder="1"/>
    <xf numFmtId="0" fontId="1" fillId="5" borderId="1" xfId="0" applyFont="1" applyFill="1" applyBorder="1" applyAlignment="1">
      <alignment wrapText="1"/>
    </xf>
    <xf numFmtId="4" fontId="1" fillId="5" borderId="1" xfId="0" applyNumberFormat="1" applyFont="1" applyFill="1" applyBorder="1"/>
    <xf numFmtId="1" fontId="1" fillId="5" borderId="1" xfId="0" applyNumberFormat="1" applyFont="1" applyFill="1" applyBorder="1" applyAlignment="1">
      <alignment horizontal="left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/>
    <xf numFmtId="0" fontId="0" fillId="0" borderId="1" xfId="0" applyBorder="1"/>
    <xf numFmtId="0" fontId="1" fillId="5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/>
    <xf numFmtId="0" fontId="1" fillId="7" borderId="1" xfId="0" applyFont="1" applyFill="1" applyBorder="1"/>
    <xf numFmtId="4" fontId="1" fillId="7" borderId="1" xfId="0" applyNumberFormat="1" applyFont="1" applyFill="1" applyBorder="1"/>
    <xf numFmtId="0" fontId="0" fillId="0" borderId="0" xfId="0" applyAlignment="1">
      <alignment wrapText="1"/>
    </xf>
    <xf numFmtId="4" fontId="1" fillId="0" borderId="1" xfId="0" applyNumberFormat="1" applyFont="1" applyBorder="1"/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2">
    <cellStyle name="Millares 2" xfId="1" xr:uid="{48FF5295-0522-4FE2-8B03-D07259920C2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5"/>
  <sheetViews>
    <sheetView tabSelected="1" workbookViewId="0">
      <selection activeCell="C13" sqref="C13"/>
    </sheetView>
  </sheetViews>
  <sheetFormatPr baseColWidth="10" defaultColWidth="9.109375" defaultRowHeight="14.4" x14ac:dyDescent="0.3"/>
  <cols>
    <col min="2" max="2" width="22.33203125" customWidth="1"/>
    <col min="3" max="3" width="65.88671875" customWidth="1"/>
    <col min="4" max="4" width="19.6640625" customWidth="1"/>
    <col min="5" max="5" width="16.88671875" customWidth="1"/>
    <col min="6" max="6" width="15.5546875" customWidth="1"/>
    <col min="7" max="7" width="19.109375" customWidth="1"/>
    <col min="8" max="8" width="18.5546875" customWidth="1"/>
    <col min="9" max="10" width="16.5546875" customWidth="1"/>
    <col min="11" max="11" width="20.5546875" customWidth="1"/>
  </cols>
  <sheetData>
    <row r="2" spans="2:11" x14ac:dyDescent="0.3">
      <c r="B2" s="30" t="s">
        <v>315</v>
      </c>
      <c r="C2" s="30" t="s">
        <v>316</v>
      </c>
      <c r="D2" s="30" t="s">
        <v>317</v>
      </c>
      <c r="E2" s="30" t="s">
        <v>319</v>
      </c>
      <c r="F2" s="30" t="s">
        <v>320</v>
      </c>
      <c r="G2" s="30" t="s">
        <v>321</v>
      </c>
      <c r="H2" s="31" t="s">
        <v>343</v>
      </c>
      <c r="I2" s="31"/>
      <c r="J2" s="31"/>
      <c r="K2" s="31"/>
    </row>
    <row r="3" spans="2:11" ht="39" customHeight="1" x14ac:dyDescent="0.3">
      <c r="B3" s="30"/>
      <c r="C3" s="30"/>
      <c r="D3" s="30"/>
      <c r="E3" s="30"/>
      <c r="F3" s="30"/>
      <c r="G3" s="30"/>
      <c r="H3" s="21" t="s">
        <v>342</v>
      </c>
      <c r="I3" s="21" t="s">
        <v>344</v>
      </c>
      <c r="J3" s="21" t="s">
        <v>322</v>
      </c>
      <c r="K3" s="21" t="s">
        <v>323</v>
      </c>
    </row>
    <row r="4" spans="2:11" ht="15" customHeight="1" x14ac:dyDescent="0.3">
      <c r="B4" s="13">
        <v>1</v>
      </c>
      <c r="C4" s="14" t="s">
        <v>54</v>
      </c>
      <c r="D4" s="15">
        <f t="shared" ref="D4:I4" si="0">+D5+D32</f>
        <v>83021300</v>
      </c>
      <c r="E4" s="15">
        <f t="shared" si="0"/>
        <v>19575184</v>
      </c>
      <c r="F4" s="15">
        <f t="shared" si="0"/>
        <v>0</v>
      </c>
      <c r="G4" s="15">
        <f t="shared" si="0"/>
        <v>102596484</v>
      </c>
      <c r="H4" s="15">
        <f t="shared" si="0"/>
        <v>0</v>
      </c>
      <c r="I4" s="15">
        <f t="shared" si="0"/>
        <v>102596484</v>
      </c>
      <c r="J4" s="15">
        <f>+H4+I4</f>
        <v>102596484</v>
      </c>
      <c r="K4" s="15">
        <f>+G4-J4</f>
        <v>0</v>
      </c>
    </row>
    <row r="5" spans="2:11" x14ac:dyDescent="0.3">
      <c r="B5" s="3" t="s">
        <v>0</v>
      </c>
      <c r="C5" s="4" t="s">
        <v>55</v>
      </c>
      <c r="D5" s="5">
        <f t="shared" ref="D5:I5" si="1">+D6</f>
        <v>83021300</v>
      </c>
      <c r="E5" s="5">
        <f t="shared" si="1"/>
        <v>17886039</v>
      </c>
      <c r="F5" s="5">
        <f t="shared" si="1"/>
        <v>0</v>
      </c>
      <c r="G5" s="5">
        <f t="shared" si="1"/>
        <v>100907339</v>
      </c>
      <c r="H5" s="5">
        <f t="shared" si="1"/>
        <v>0</v>
      </c>
      <c r="I5" s="5">
        <f t="shared" si="1"/>
        <v>100907339</v>
      </c>
      <c r="J5" s="5">
        <f t="shared" ref="J5:J62" si="2">+H5+I5</f>
        <v>100907339</v>
      </c>
      <c r="K5" s="5">
        <f t="shared" ref="K5:K62" si="3">+G5-J5</f>
        <v>0</v>
      </c>
    </row>
    <row r="6" spans="2:11" x14ac:dyDescent="0.3">
      <c r="B6" s="3" t="s">
        <v>1</v>
      </c>
      <c r="C6" s="4" t="s">
        <v>56</v>
      </c>
      <c r="D6" s="5">
        <f t="shared" ref="D6:I6" si="4">+D7+D17</f>
        <v>83021300</v>
      </c>
      <c r="E6" s="5">
        <f t="shared" si="4"/>
        <v>17886039</v>
      </c>
      <c r="F6" s="5">
        <f t="shared" si="4"/>
        <v>0</v>
      </c>
      <c r="G6" s="5">
        <f t="shared" si="4"/>
        <v>100907339</v>
      </c>
      <c r="H6" s="5">
        <f t="shared" si="4"/>
        <v>0</v>
      </c>
      <c r="I6" s="5">
        <f t="shared" si="4"/>
        <v>100907339</v>
      </c>
      <c r="J6" s="5">
        <f t="shared" si="2"/>
        <v>100907339</v>
      </c>
      <c r="K6" s="5">
        <f t="shared" si="3"/>
        <v>0</v>
      </c>
    </row>
    <row r="7" spans="2:11" x14ac:dyDescent="0.3">
      <c r="B7" s="10" t="s">
        <v>2</v>
      </c>
      <c r="C7" s="8" t="s">
        <v>57</v>
      </c>
      <c r="D7" s="9">
        <f t="shared" ref="D7:I7" si="5">+D8</f>
        <v>0</v>
      </c>
      <c r="E7" s="9">
        <f t="shared" si="5"/>
        <v>0</v>
      </c>
      <c r="F7" s="9">
        <f t="shared" si="5"/>
        <v>0</v>
      </c>
      <c r="G7" s="9">
        <f t="shared" si="5"/>
        <v>0</v>
      </c>
      <c r="H7" s="9">
        <f t="shared" si="5"/>
        <v>0</v>
      </c>
      <c r="I7" s="9">
        <f t="shared" si="5"/>
        <v>0</v>
      </c>
      <c r="J7" s="9">
        <f t="shared" si="2"/>
        <v>0</v>
      </c>
      <c r="K7" s="9">
        <f t="shared" si="3"/>
        <v>0</v>
      </c>
    </row>
    <row r="8" spans="2:11" x14ac:dyDescent="0.3">
      <c r="B8" s="3" t="s">
        <v>3</v>
      </c>
      <c r="C8" s="4" t="s">
        <v>58</v>
      </c>
      <c r="D8" s="5">
        <f t="shared" ref="D8:I8" si="6">+D9+D11</f>
        <v>0</v>
      </c>
      <c r="E8" s="5">
        <f t="shared" si="6"/>
        <v>0</v>
      </c>
      <c r="F8" s="5">
        <f t="shared" si="6"/>
        <v>0</v>
      </c>
      <c r="G8" s="5">
        <f t="shared" si="6"/>
        <v>0</v>
      </c>
      <c r="H8" s="5">
        <f t="shared" si="6"/>
        <v>0</v>
      </c>
      <c r="I8" s="5">
        <f t="shared" si="6"/>
        <v>0</v>
      </c>
      <c r="J8" s="5">
        <f t="shared" si="2"/>
        <v>0</v>
      </c>
      <c r="K8" s="5">
        <f t="shared" si="3"/>
        <v>0</v>
      </c>
    </row>
    <row r="9" spans="2:11" ht="17.25" customHeight="1" x14ac:dyDescent="0.3">
      <c r="B9" s="3" t="s">
        <v>4</v>
      </c>
      <c r="C9" s="4" t="s">
        <v>95</v>
      </c>
      <c r="D9" s="5">
        <f t="shared" ref="D9:I9" si="7">+D10</f>
        <v>0</v>
      </c>
      <c r="E9" s="5">
        <f t="shared" si="7"/>
        <v>0</v>
      </c>
      <c r="F9" s="5">
        <f t="shared" si="7"/>
        <v>0</v>
      </c>
      <c r="G9" s="5">
        <f t="shared" si="7"/>
        <v>0</v>
      </c>
      <c r="H9" s="5">
        <f t="shared" si="7"/>
        <v>0</v>
      </c>
      <c r="I9" s="5">
        <f t="shared" si="7"/>
        <v>0</v>
      </c>
      <c r="J9" s="5">
        <f t="shared" si="2"/>
        <v>0</v>
      </c>
      <c r="K9" s="5">
        <f t="shared" si="3"/>
        <v>0</v>
      </c>
    </row>
    <row r="10" spans="2:11" ht="15.75" customHeight="1" x14ac:dyDescent="0.3">
      <c r="B10" s="2" t="s">
        <v>7</v>
      </c>
      <c r="C10" s="11" t="s">
        <v>96</v>
      </c>
      <c r="D10" s="1">
        <v>0</v>
      </c>
      <c r="E10" s="1">
        <v>0</v>
      </c>
      <c r="F10" s="1">
        <v>0</v>
      </c>
      <c r="G10" s="1">
        <f>+D10+E10-F10</f>
        <v>0</v>
      </c>
      <c r="H10" s="1">
        <v>0</v>
      </c>
      <c r="I10" s="1">
        <v>0</v>
      </c>
      <c r="J10" s="1">
        <f t="shared" si="2"/>
        <v>0</v>
      </c>
      <c r="K10" s="1">
        <f t="shared" si="3"/>
        <v>0</v>
      </c>
    </row>
    <row r="11" spans="2:11" x14ac:dyDescent="0.3">
      <c r="B11" s="3" t="s">
        <v>5</v>
      </c>
      <c r="C11" s="4" t="s">
        <v>59</v>
      </c>
      <c r="D11" s="5">
        <f t="shared" ref="D11:I11" si="8">+D12+D13+D14+D15+D16</f>
        <v>0</v>
      </c>
      <c r="E11" s="5">
        <f t="shared" si="8"/>
        <v>0</v>
      </c>
      <c r="F11" s="5">
        <f t="shared" si="8"/>
        <v>0</v>
      </c>
      <c r="G11" s="5">
        <f t="shared" si="8"/>
        <v>0</v>
      </c>
      <c r="H11" s="5">
        <f t="shared" si="8"/>
        <v>0</v>
      </c>
      <c r="I11" s="5">
        <f t="shared" si="8"/>
        <v>0</v>
      </c>
      <c r="J11" s="5">
        <f t="shared" si="2"/>
        <v>0</v>
      </c>
      <c r="K11" s="5">
        <f>+G11-J11</f>
        <v>0</v>
      </c>
    </row>
    <row r="12" spans="2:11" x14ac:dyDescent="0.3">
      <c r="B12" s="2" t="s">
        <v>6</v>
      </c>
      <c r="C12" s="11" t="s">
        <v>60</v>
      </c>
      <c r="D12" s="1">
        <v>0</v>
      </c>
      <c r="E12" s="1">
        <v>0</v>
      </c>
      <c r="F12" s="1">
        <v>0</v>
      </c>
      <c r="G12" s="1">
        <f>+D12+E12-F12</f>
        <v>0</v>
      </c>
      <c r="H12" s="1">
        <f>+E12+F12-G12</f>
        <v>0</v>
      </c>
      <c r="I12" s="1">
        <f>+F12+G12-H12</f>
        <v>0</v>
      </c>
      <c r="J12" s="1">
        <f t="shared" si="2"/>
        <v>0</v>
      </c>
      <c r="K12" s="1">
        <f>+G12-J12</f>
        <v>0</v>
      </c>
    </row>
    <row r="13" spans="2:11" x14ac:dyDescent="0.3">
      <c r="B13" s="2" t="s">
        <v>8</v>
      </c>
      <c r="C13" s="11" t="s">
        <v>61</v>
      </c>
      <c r="D13" s="1">
        <v>0</v>
      </c>
      <c r="E13" s="1">
        <v>0</v>
      </c>
      <c r="F13" s="1">
        <v>0</v>
      </c>
      <c r="G13" s="1">
        <f t="shared" ref="G13:I16" si="9">+D13+E13-F13</f>
        <v>0</v>
      </c>
      <c r="H13" s="1">
        <f t="shared" si="9"/>
        <v>0</v>
      </c>
      <c r="I13" s="1">
        <f t="shared" si="9"/>
        <v>0</v>
      </c>
      <c r="J13" s="1">
        <f t="shared" si="2"/>
        <v>0</v>
      </c>
      <c r="K13" s="1">
        <f t="shared" si="3"/>
        <v>0</v>
      </c>
    </row>
    <row r="14" spans="2:11" x14ac:dyDescent="0.3">
      <c r="B14" s="2" t="s">
        <v>9</v>
      </c>
      <c r="C14" s="11" t="s">
        <v>62</v>
      </c>
      <c r="D14" s="1">
        <v>0</v>
      </c>
      <c r="E14" s="1">
        <v>0</v>
      </c>
      <c r="F14" s="1"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>+H14+I14</f>
        <v>0</v>
      </c>
      <c r="K14" s="1">
        <f t="shared" si="3"/>
        <v>0</v>
      </c>
    </row>
    <row r="15" spans="2:11" x14ac:dyDescent="0.3">
      <c r="B15" s="2" t="s">
        <v>345</v>
      </c>
      <c r="C15" s="11" t="s">
        <v>347</v>
      </c>
      <c r="D15" s="1">
        <v>0</v>
      </c>
      <c r="E15" s="1">
        <v>0</v>
      </c>
      <c r="F15" s="1">
        <v>0</v>
      </c>
      <c r="G15" s="1">
        <f t="shared" si="9"/>
        <v>0</v>
      </c>
      <c r="H15" s="1">
        <f t="shared" si="9"/>
        <v>0</v>
      </c>
      <c r="I15" s="1">
        <f t="shared" si="9"/>
        <v>0</v>
      </c>
      <c r="J15" s="1">
        <f>+H15+I15</f>
        <v>0</v>
      </c>
      <c r="K15" s="1">
        <f t="shared" si="3"/>
        <v>0</v>
      </c>
    </row>
    <row r="16" spans="2:11" x14ac:dyDescent="0.3">
      <c r="B16" s="2" t="s">
        <v>346</v>
      </c>
      <c r="C16" s="11" t="s">
        <v>348</v>
      </c>
      <c r="D16" s="1">
        <v>0</v>
      </c>
      <c r="E16" s="1">
        <v>0</v>
      </c>
      <c r="F16" s="1">
        <v>0</v>
      </c>
      <c r="G16" s="1">
        <f t="shared" si="9"/>
        <v>0</v>
      </c>
      <c r="H16" s="1">
        <f t="shared" si="9"/>
        <v>0</v>
      </c>
      <c r="I16" s="1">
        <f t="shared" si="9"/>
        <v>0</v>
      </c>
      <c r="J16" s="1">
        <f>+H16+I16</f>
        <v>0</v>
      </c>
      <c r="K16" s="1">
        <f t="shared" si="3"/>
        <v>0</v>
      </c>
    </row>
    <row r="17" spans="2:11" x14ac:dyDescent="0.3">
      <c r="B17" s="10" t="s">
        <v>10</v>
      </c>
      <c r="C17" s="8" t="s">
        <v>63</v>
      </c>
      <c r="D17" s="9">
        <f t="shared" ref="D17:I17" si="10">+D18+D22</f>
        <v>83021300</v>
      </c>
      <c r="E17" s="9">
        <f t="shared" si="10"/>
        <v>17886039</v>
      </c>
      <c r="F17" s="9">
        <f t="shared" si="10"/>
        <v>0</v>
      </c>
      <c r="G17" s="9">
        <f t="shared" si="10"/>
        <v>100907339</v>
      </c>
      <c r="H17" s="9">
        <f t="shared" si="10"/>
        <v>0</v>
      </c>
      <c r="I17" s="9">
        <f t="shared" si="10"/>
        <v>100907339</v>
      </c>
      <c r="J17" s="9">
        <f t="shared" si="2"/>
        <v>100907339</v>
      </c>
      <c r="K17" s="9">
        <f t="shared" si="3"/>
        <v>0</v>
      </c>
    </row>
    <row r="18" spans="2:11" x14ac:dyDescent="0.3">
      <c r="B18" s="3" t="s">
        <v>11</v>
      </c>
      <c r="C18" s="4" t="s">
        <v>64</v>
      </c>
      <c r="D18" s="5">
        <f t="shared" ref="D18:I20" si="11">+D19</f>
        <v>83021300</v>
      </c>
      <c r="E18" s="5">
        <f t="shared" si="11"/>
        <v>17886039</v>
      </c>
      <c r="F18" s="5">
        <f t="shared" si="11"/>
        <v>0</v>
      </c>
      <c r="G18" s="5">
        <f t="shared" si="11"/>
        <v>100907339</v>
      </c>
      <c r="H18" s="5">
        <f t="shared" si="11"/>
        <v>0</v>
      </c>
      <c r="I18" s="5">
        <f t="shared" si="11"/>
        <v>100907339</v>
      </c>
      <c r="J18" s="5">
        <f t="shared" si="2"/>
        <v>100907339</v>
      </c>
      <c r="K18" s="5">
        <f t="shared" si="3"/>
        <v>0</v>
      </c>
    </row>
    <row r="19" spans="2:11" x14ac:dyDescent="0.3">
      <c r="B19" s="3" t="s">
        <v>12</v>
      </c>
      <c r="C19" s="4" t="s">
        <v>65</v>
      </c>
      <c r="D19" s="5">
        <f t="shared" si="11"/>
        <v>83021300</v>
      </c>
      <c r="E19" s="5">
        <f t="shared" si="11"/>
        <v>17886039</v>
      </c>
      <c r="F19" s="5">
        <f t="shared" si="11"/>
        <v>0</v>
      </c>
      <c r="G19" s="5">
        <f t="shared" si="11"/>
        <v>100907339</v>
      </c>
      <c r="H19" s="5">
        <f t="shared" si="11"/>
        <v>0</v>
      </c>
      <c r="I19" s="5">
        <f t="shared" si="11"/>
        <v>100907339</v>
      </c>
      <c r="J19" s="5">
        <f t="shared" si="2"/>
        <v>100907339</v>
      </c>
      <c r="K19" s="5">
        <f t="shared" si="3"/>
        <v>0</v>
      </c>
    </row>
    <row r="20" spans="2:11" x14ac:dyDescent="0.3">
      <c r="B20" s="3" t="s">
        <v>13</v>
      </c>
      <c r="C20" s="4" t="s">
        <v>67</v>
      </c>
      <c r="D20" s="5">
        <f t="shared" si="11"/>
        <v>83021300</v>
      </c>
      <c r="E20" s="5">
        <f t="shared" si="11"/>
        <v>17886039</v>
      </c>
      <c r="F20" s="5">
        <f t="shared" si="11"/>
        <v>0</v>
      </c>
      <c r="G20" s="5">
        <f t="shared" si="11"/>
        <v>100907339</v>
      </c>
      <c r="H20" s="5">
        <f t="shared" si="11"/>
        <v>0</v>
      </c>
      <c r="I20" s="5">
        <f t="shared" si="11"/>
        <v>100907339</v>
      </c>
      <c r="J20" s="5">
        <f t="shared" si="2"/>
        <v>100907339</v>
      </c>
      <c r="K20" s="5">
        <f t="shared" si="3"/>
        <v>0</v>
      </c>
    </row>
    <row r="21" spans="2:11" x14ac:dyDescent="0.3">
      <c r="B21" s="2" t="s">
        <v>14</v>
      </c>
      <c r="C21" s="11" t="s">
        <v>97</v>
      </c>
      <c r="D21" s="1">
        <v>83021300</v>
      </c>
      <c r="E21" s="1">
        <v>17886039</v>
      </c>
      <c r="F21" s="1">
        <v>0</v>
      </c>
      <c r="G21" s="1">
        <f>+D21+E21-F21</f>
        <v>100907339</v>
      </c>
      <c r="H21" s="1">
        <v>0</v>
      </c>
      <c r="I21" s="1">
        <v>100907339</v>
      </c>
      <c r="J21" s="1">
        <f t="shared" si="2"/>
        <v>100907339</v>
      </c>
      <c r="K21" s="1">
        <f t="shared" si="3"/>
        <v>0</v>
      </c>
    </row>
    <row r="22" spans="2:11" x14ac:dyDescent="0.3">
      <c r="B22" s="3" t="s">
        <v>15</v>
      </c>
      <c r="C22" s="4" t="s">
        <v>66</v>
      </c>
      <c r="D22" s="5">
        <f t="shared" ref="D22:I22" si="12">+D23+D24</f>
        <v>0</v>
      </c>
      <c r="E22" s="5">
        <f t="shared" si="12"/>
        <v>0</v>
      </c>
      <c r="F22" s="5">
        <f t="shared" si="12"/>
        <v>0</v>
      </c>
      <c r="G22" s="5">
        <f t="shared" si="12"/>
        <v>0</v>
      </c>
      <c r="H22" s="5">
        <f t="shared" si="12"/>
        <v>0</v>
      </c>
      <c r="I22" s="5">
        <f t="shared" si="12"/>
        <v>0</v>
      </c>
      <c r="J22" s="5">
        <f t="shared" si="2"/>
        <v>0</v>
      </c>
      <c r="K22" s="5">
        <f t="shared" si="3"/>
        <v>0</v>
      </c>
    </row>
    <row r="23" spans="2:11" x14ac:dyDescent="0.3">
      <c r="B23" s="2" t="s">
        <v>16</v>
      </c>
      <c r="C23" s="11" t="s">
        <v>106</v>
      </c>
      <c r="D23" s="1">
        <v>0</v>
      </c>
      <c r="E23" s="1">
        <v>0</v>
      </c>
      <c r="F23" s="1">
        <v>0</v>
      </c>
      <c r="G23" s="1">
        <f>+D23+E23-F23</f>
        <v>0</v>
      </c>
      <c r="H23" s="1">
        <f>+E23+F23-G23</f>
        <v>0</v>
      </c>
      <c r="I23" s="1">
        <f>+F23+G23-H23</f>
        <v>0</v>
      </c>
      <c r="J23" s="1">
        <f t="shared" si="2"/>
        <v>0</v>
      </c>
      <c r="K23" s="1">
        <f t="shared" si="3"/>
        <v>0</v>
      </c>
    </row>
    <row r="24" spans="2:11" x14ac:dyDescent="0.3">
      <c r="B24" s="3" t="s">
        <v>17</v>
      </c>
      <c r="C24" s="4" t="s">
        <v>68</v>
      </c>
      <c r="D24" s="5">
        <f t="shared" ref="D24:I24" si="13">+D25+D28+D31</f>
        <v>0</v>
      </c>
      <c r="E24" s="5">
        <f t="shared" si="13"/>
        <v>0</v>
      </c>
      <c r="F24" s="5">
        <f t="shared" si="13"/>
        <v>0</v>
      </c>
      <c r="G24" s="5">
        <f t="shared" si="13"/>
        <v>0</v>
      </c>
      <c r="H24" s="5">
        <f t="shared" si="13"/>
        <v>0</v>
      </c>
      <c r="I24" s="5">
        <f t="shared" si="13"/>
        <v>0</v>
      </c>
      <c r="J24" s="5">
        <f t="shared" si="2"/>
        <v>0</v>
      </c>
      <c r="K24" s="5">
        <f t="shared" si="3"/>
        <v>0</v>
      </c>
    </row>
    <row r="25" spans="2:11" x14ac:dyDescent="0.3">
      <c r="B25" s="3" t="s">
        <v>18</v>
      </c>
      <c r="C25" s="4" t="s">
        <v>69</v>
      </c>
      <c r="D25" s="5">
        <f t="shared" ref="D25:I25" si="14">+D26+D27</f>
        <v>0</v>
      </c>
      <c r="E25" s="5">
        <f t="shared" si="14"/>
        <v>0</v>
      </c>
      <c r="F25" s="5">
        <f t="shared" si="14"/>
        <v>0</v>
      </c>
      <c r="G25" s="5">
        <f t="shared" si="14"/>
        <v>0</v>
      </c>
      <c r="H25" s="5">
        <f t="shared" si="14"/>
        <v>0</v>
      </c>
      <c r="I25" s="5">
        <f t="shared" si="14"/>
        <v>0</v>
      </c>
      <c r="J25" s="5">
        <f t="shared" si="2"/>
        <v>0</v>
      </c>
      <c r="K25" s="5">
        <f t="shared" si="3"/>
        <v>0</v>
      </c>
    </row>
    <row r="26" spans="2:11" x14ac:dyDescent="0.3">
      <c r="B26" s="2" t="s">
        <v>20</v>
      </c>
      <c r="C26" s="11" t="s">
        <v>70</v>
      </c>
      <c r="D26" s="1">
        <v>0</v>
      </c>
      <c r="E26" s="1">
        <v>0</v>
      </c>
      <c r="F26" s="1">
        <v>0</v>
      </c>
      <c r="G26" s="1">
        <f t="shared" ref="G26:I27" si="15">+D26+E26-F26</f>
        <v>0</v>
      </c>
      <c r="H26" s="1">
        <f t="shared" si="15"/>
        <v>0</v>
      </c>
      <c r="I26" s="1">
        <f t="shared" si="15"/>
        <v>0</v>
      </c>
      <c r="J26" s="1">
        <f t="shared" si="2"/>
        <v>0</v>
      </c>
      <c r="K26" s="1">
        <f t="shared" si="3"/>
        <v>0</v>
      </c>
    </row>
    <row r="27" spans="2:11" x14ac:dyDescent="0.3">
      <c r="B27" s="2" t="s">
        <v>21</v>
      </c>
      <c r="C27" s="11" t="s">
        <v>72</v>
      </c>
      <c r="D27" s="1">
        <v>0</v>
      </c>
      <c r="E27" s="1">
        <v>0</v>
      </c>
      <c r="F27" s="1">
        <v>0</v>
      </c>
      <c r="G27" s="1">
        <f t="shared" si="15"/>
        <v>0</v>
      </c>
      <c r="H27" s="1">
        <f t="shared" si="15"/>
        <v>0</v>
      </c>
      <c r="I27" s="1">
        <f t="shared" si="15"/>
        <v>0</v>
      </c>
      <c r="J27" s="1">
        <f t="shared" si="2"/>
        <v>0</v>
      </c>
      <c r="K27" s="1">
        <f t="shared" si="3"/>
        <v>0</v>
      </c>
    </row>
    <row r="28" spans="2:11" x14ac:dyDescent="0.3">
      <c r="B28" s="3" t="s">
        <v>19</v>
      </c>
      <c r="C28" s="4" t="s">
        <v>71</v>
      </c>
      <c r="D28" s="5">
        <f t="shared" ref="D28:I28" si="16">+D29+D30</f>
        <v>0</v>
      </c>
      <c r="E28" s="5">
        <f t="shared" si="16"/>
        <v>0</v>
      </c>
      <c r="F28" s="5">
        <f t="shared" si="16"/>
        <v>0</v>
      </c>
      <c r="G28" s="5">
        <f t="shared" si="16"/>
        <v>0</v>
      </c>
      <c r="H28" s="5">
        <f t="shared" si="16"/>
        <v>0</v>
      </c>
      <c r="I28" s="5">
        <f t="shared" si="16"/>
        <v>0</v>
      </c>
      <c r="J28" s="5">
        <f t="shared" si="2"/>
        <v>0</v>
      </c>
      <c r="K28" s="5">
        <f t="shared" si="3"/>
        <v>0</v>
      </c>
    </row>
    <row r="29" spans="2:11" x14ac:dyDescent="0.3">
      <c r="B29" s="2" t="s">
        <v>23</v>
      </c>
      <c r="C29" s="11" t="s">
        <v>73</v>
      </c>
      <c r="D29" s="1">
        <v>0</v>
      </c>
      <c r="E29" s="1">
        <v>0</v>
      </c>
      <c r="F29" s="1">
        <v>0</v>
      </c>
      <c r="G29" s="1">
        <f>+D29+E29-F29</f>
        <v>0</v>
      </c>
      <c r="H29" s="1">
        <v>0</v>
      </c>
      <c r="I29" s="1">
        <v>0</v>
      </c>
      <c r="J29" s="1">
        <f t="shared" si="2"/>
        <v>0</v>
      </c>
      <c r="K29" s="1">
        <f t="shared" si="3"/>
        <v>0</v>
      </c>
    </row>
    <row r="30" spans="2:11" x14ac:dyDescent="0.3">
      <c r="B30" s="2" t="s">
        <v>24</v>
      </c>
      <c r="C30" s="11" t="s">
        <v>74</v>
      </c>
      <c r="D30" s="1">
        <v>0</v>
      </c>
      <c r="E30" s="1">
        <v>0</v>
      </c>
      <c r="F30" s="1">
        <v>0</v>
      </c>
      <c r="G30" s="1">
        <f t="shared" ref="G30:I31" si="17">+D30+E30-F30</f>
        <v>0</v>
      </c>
      <c r="H30" s="1">
        <f t="shared" si="17"/>
        <v>0</v>
      </c>
      <c r="I30" s="1">
        <f t="shared" si="17"/>
        <v>0</v>
      </c>
      <c r="J30" s="1">
        <f t="shared" si="2"/>
        <v>0</v>
      </c>
      <c r="K30" s="1">
        <f t="shared" si="3"/>
        <v>0</v>
      </c>
    </row>
    <row r="31" spans="2:11" x14ac:dyDescent="0.3">
      <c r="B31" s="2" t="s">
        <v>22</v>
      </c>
      <c r="C31" s="11" t="s">
        <v>75</v>
      </c>
      <c r="D31" s="1">
        <v>0</v>
      </c>
      <c r="E31" s="1">
        <v>0</v>
      </c>
      <c r="F31" s="1">
        <v>0</v>
      </c>
      <c r="G31" s="1">
        <f t="shared" si="17"/>
        <v>0</v>
      </c>
      <c r="H31" s="1">
        <f t="shared" si="17"/>
        <v>0</v>
      </c>
      <c r="I31" s="1">
        <f t="shared" si="17"/>
        <v>0</v>
      </c>
      <c r="J31" s="1">
        <f t="shared" si="2"/>
        <v>0</v>
      </c>
      <c r="K31" s="1">
        <f t="shared" si="3"/>
        <v>0</v>
      </c>
    </row>
    <row r="32" spans="2:11" x14ac:dyDescent="0.3">
      <c r="B32" s="6" t="s">
        <v>25</v>
      </c>
      <c r="C32" s="4" t="s">
        <v>76</v>
      </c>
      <c r="D32" s="5">
        <f t="shared" ref="D32:I32" si="18">+D33+D39+D50+D56</f>
        <v>0</v>
      </c>
      <c r="E32" s="5">
        <f t="shared" si="18"/>
        <v>1689145</v>
      </c>
      <c r="F32" s="5">
        <f t="shared" si="18"/>
        <v>0</v>
      </c>
      <c r="G32" s="5">
        <f t="shared" si="18"/>
        <v>1689145</v>
      </c>
      <c r="H32" s="5">
        <f t="shared" si="18"/>
        <v>0</v>
      </c>
      <c r="I32" s="5">
        <f t="shared" si="18"/>
        <v>1689145</v>
      </c>
      <c r="J32" s="5">
        <f t="shared" si="2"/>
        <v>1689145</v>
      </c>
      <c r="K32" s="5">
        <f t="shared" si="3"/>
        <v>0</v>
      </c>
    </row>
    <row r="33" spans="2:11" x14ac:dyDescent="0.3">
      <c r="B33" s="6" t="s">
        <v>26</v>
      </c>
      <c r="C33" s="4" t="s">
        <v>77</v>
      </c>
      <c r="D33" s="5">
        <f t="shared" ref="D33:I33" si="19">+D34</f>
        <v>0</v>
      </c>
      <c r="E33" s="5">
        <f t="shared" si="19"/>
        <v>1689145</v>
      </c>
      <c r="F33" s="5">
        <f t="shared" si="19"/>
        <v>0</v>
      </c>
      <c r="G33" s="5">
        <f t="shared" si="19"/>
        <v>1689145</v>
      </c>
      <c r="H33" s="5">
        <f t="shared" si="19"/>
        <v>0</v>
      </c>
      <c r="I33" s="5">
        <f t="shared" si="19"/>
        <v>1689145</v>
      </c>
      <c r="J33" s="5">
        <f t="shared" si="2"/>
        <v>1689145</v>
      </c>
      <c r="K33" s="5">
        <f t="shared" si="3"/>
        <v>0</v>
      </c>
    </row>
    <row r="34" spans="2:11" x14ac:dyDescent="0.3">
      <c r="B34" s="7" t="s">
        <v>27</v>
      </c>
      <c r="C34" s="8" t="s">
        <v>78</v>
      </c>
      <c r="D34" s="9">
        <f t="shared" ref="D34:I34" si="20">+D35+D36+D37+D38</f>
        <v>0</v>
      </c>
      <c r="E34" s="9">
        <f t="shared" si="20"/>
        <v>1689145</v>
      </c>
      <c r="F34" s="9">
        <f t="shared" si="20"/>
        <v>0</v>
      </c>
      <c r="G34" s="9">
        <f t="shared" si="20"/>
        <v>1689145</v>
      </c>
      <c r="H34" s="9">
        <f t="shared" si="20"/>
        <v>0</v>
      </c>
      <c r="I34" s="9">
        <f t="shared" si="20"/>
        <v>1689145</v>
      </c>
      <c r="J34" s="9">
        <f t="shared" si="2"/>
        <v>1689145</v>
      </c>
      <c r="K34" s="9">
        <f t="shared" si="3"/>
        <v>0</v>
      </c>
    </row>
    <row r="35" spans="2:11" x14ac:dyDescent="0.3">
      <c r="B35" s="12" t="s">
        <v>28</v>
      </c>
      <c r="C35" s="11" t="s">
        <v>98</v>
      </c>
      <c r="D35" s="1">
        <v>0</v>
      </c>
      <c r="E35" s="1">
        <v>1689145</v>
      </c>
      <c r="F35" s="1">
        <v>0</v>
      </c>
      <c r="G35" s="1">
        <f>+D35+E35-F35</f>
        <v>1689145</v>
      </c>
      <c r="H35" s="1">
        <v>0</v>
      </c>
      <c r="I35" s="1">
        <v>1689145</v>
      </c>
      <c r="J35" s="1">
        <f t="shared" si="2"/>
        <v>1689145</v>
      </c>
      <c r="K35" s="1">
        <f t="shared" si="3"/>
        <v>0</v>
      </c>
    </row>
    <row r="36" spans="2:11" x14ac:dyDescent="0.3">
      <c r="B36" s="12" t="s">
        <v>29</v>
      </c>
      <c r="C36" s="11" t="s">
        <v>99</v>
      </c>
      <c r="D36" s="1">
        <v>0</v>
      </c>
      <c r="E36" s="1">
        <v>0</v>
      </c>
      <c r="F36" s="1">
        <v>0</v>
      </c>
      <c r="G36" s="1">
        <f t="shared" ref="G36:I38" si="21">+D36+E36-F36</f>
        <v>0</v>
      </c>
      <c r="H36" s="1">
        <f t="shared" si="21"/>
        <v>0</v>
      </c>
      <c r="I36" s="1">
        <f t="shared" si="21"/>
        <v>0</v>
      </c>
      <c r="J36" s="1">
        <f t="shared" si="2"/>
        <v>0</v>
      </c>
      <c r="K36" s="1">
        <f t="shared" si="3"/>
        <v>0</v>
      </c>
    </row>
    <row r="37" spans="2:11" x14ac:dyDescent="0.3">
      <c r="B37" s="12" t="s">
        <v>30</v>
      </c>
      <c r="C37" s="11" t="s">
        <v>100</v>
      </c>
      <c r="D37" s="1">
        <v>0</v>
      </c>
      <c r="E37" s="1">
        <v>0</v>
      </c>
      <c r="F37" s="1">
        <v>0</v>
      </c>
      <c r="G37" s="1">
        <f t="shared" si="21"/>
        <v>0</v>
      </c>
      <c r="H37" s="1">
        <f t="shared" si="21"/>
        <v>0</v>
      </c>
      <c r="I37" s="1">
        <f t="shared" si="21"/>
        <v>0</v>
      </c>
      <c r="J37" s="1">
        <f t="shared" si="2"/>
        <v>0</v>
      </c>
      <c r="K37" s="1">
        <f t="shared" si="3"/>
        <v>0</v>
      </c>
    </row>
    <row r="38" spans="2:11" x14ac:dyDescent="0.3">
      <c r="B38" s="12" t="s">
        <v>31</v>
      </c>
      <c r="C38" s="11" t="s">
        <v>101</v>
      </c>
      <c r="D38" s="1">
        <v>0</v>
      </c>
      <c r="E38" s="1">
        <v>0</v>
      </c>
      <c r="F38" s="1">
        <v>0</v>
      </c>
      <c r="G38" s="1">
        <f t="shared" si="21"/>
        <v>0</v>
      </c>
      <c r="H38" s="1">
        <f t="shared" si="21"/>
        <v>0</v>
      </c>
      <c r="I38" s="1">
        <f t="shared" si="21"/>
        <v>0</v>
      </c>
      <c r="J38" s="1">
        <f t="shared" si="2"/>
        <v>0</v>
      </c>
      <c r="K38" s="1">
        <f t="shared" si="3"/>
        <v>0</v>
      </c>
    </row>
    <row r="39" spans="2:11" x14ac:dyDescent="0.3">
      <c r="B39" s="6" t="s">
        <v>32</v>
      </c>
      <c r="C39" s="4" t="s">
        <v>79</v>
      </c>
      <c r="D39" s="5">
        <f t="shared" ref="D39:I39" si="22">+D40+D48</f>
        <v>0</v>
      </c>
      <c r="E39" s="5">
        <f t="shared" si="22"/>
        <v>0</v>
      </c>
      <c r="F39" s="5">
        <f t="shared" si="22"/>
        <v>0</v>
      </c>
      <c r="G39" s="5">
        <f t="shared" si="22"/>
        <v>0</v>
      </c>
      <c r="H39" s="5">
        <f t="shared" si="22"/>
        <v>0</v>
      </c>
      <c r="I39" s="5">
        <f t="shared" si="22"/>
        <v>0</v>
      </c>
      <c r="J39" s="5">
        <f t="shared" si="2"/>
        <v>0</v>
      </c>
      <c r="K39" s="5">
        <f t="shared" si="3"/>
        <v>0</v>
      </c>
    </row>
    <row r="40" spans="2:11" x14ac:dyDescent="0.3">
      <c r="B40" s="7" t="s">
        <v>33</v>
      </c>
      <c r="C40" s="8" t="s">
        <v>80</v>
      </c>
      <c r="D40" s="9">
        <f t="shared" ref="D40:I40" si="23">+D41+D44</f>
        <v>0</v>
      </c>
      <c r="E40" s="9">
        <f t="shared" si="23"/>
        <v>0</v>
      </c>
      <c r="F40" s="9">
        <f t="shared" si="23"/>
        <v>0</v>
      </c>
      <c r="G40" s="9">
        <f t="shared" si="23"/>
        <v>0</v>
      </c>
      <c r="H40" s="9">
        <f t="shared" si="23"/>
        <v>0</v>
      </c>
      <c r="I40" s="9">
        <f t="shared" si="23"/>
        <v>0</v>
      </c>
      <c r="J40" s="9">
        <f t="shared" si="2"/>
        <v>0</v>
      </c>
      <c r="K40" s="9">
        <f t="shared" si="3"/>
        <v>0</v>
      </c>
    </row>
    <row r="41" spans="2:11" x14ac:dyDescent="0.3">
      <c r="B41" s="6" t="s">
        <v>34</v>
      </c>
      <c r="C41" s="4" t="s">
        <v>81</v>
      </c>
      <c r="D41" s="5">
        <f t="shared" ref="D41:I41" si="24">+D42+D43</f>
        <v>0</v>
      </c>
      <c r="E41" s="5">
        <f t="shared" si="24"/>
        <v>0</v>
      </c>
      <c r="F41" s="5">
        <f t="shared" si="24"/>
        <v>0</v>
      </c>
      <c r="G41" s="5">
        <f t="shared" si="24"/>
        <v>0</v>
      </c>
      <c r="H41" s="5">
        <f t="shared" si="24"/>
        <v>0</v>
      </c>
      <c r="I41" s="5">
        <f t="shared" si="24"/>
        <v>0</v>
      </c>
      <c r="J41" s="5">
        <f t="shared" si="2"/>
        <v>0</v>
      </c>
      <c r="K41" s="5">
        <f t="shared" si="3"/>
        <v>0</v>
      </c>
    </row>
    <row r="42" spans="2:11" x14ac:dyDescent="0.3">
      <c r="B42" s="12" t="s">
        <v>36</v>
      </c>
      <c r="C42" s="11" t="s">
        <v>82</v>
      </c>
      <c r="D42" s="1">
        <v>0</v>
      </c>
      <c r="E42" s="1">
        <v>0</v>
      </c>
      <c r="F42" s="1">
        <v>0</v>
      </c>
      <c r="G42" s="1">
        <f t="shared" ref="G42:I43" si="25">+D42+E42-F42</f>
        <v>0</v>
      </c>
      <c r="H42" s="1">
        <f t="shared" si="25"/>
        <v>0</v>
      </c>
      <c r="I42" s="1">
        <f t="shared" si="25"/>
        <v>0</v>
      </c>
      <c r="J42" s="1">
        <f t="shared" si="2"/>
        <v>0</v>
      </c>
      <c r="K42" s="1">
        <f t="shared" si="3"/>
        <v>0</v>
      </c>
    </row>
    <row r="43" spans="2:11" x14ac:dyDescent="0.3">
      <c r="B43" s="12" t="s">
        <v>37</v>
      </c>
      <c r="C43" s="11" t="s">
        <v>83</v>
      </c>
      <c r="D43" s="1">
        <v>0</v>
      </c>
      <c r="E43" s="1">
        <v>0</v>
      </c>
      <c r="F43" s="1">
        <v>0</v>
      </c>
      <c r="G43" s="1">
        <f t="shared" si="25"/>
        <v>0</v>
      </c>
      <c r="H43" s="1">
        <f t="shared" si="25"/>
        <v>0</v>
      </c>
      <c r="I43" s="1">
        <f t="shared" si="25"/>
        <v>0</v>
      </c>
      <c r="J43" s="1">
        <f t="shared" si="2"/>
        <v>0</v>
      </c>
      <c r="K43" s="1">
        <f t="shared" si="3"/>
        <v>0</v>
      </c>
    </row>
    <row r="44" spans="2:11" x14ac:dyDescent="0.3">
      <c r="B44" s="6" t="s">
        <v>35</v>
      </c>
      <c r="C44" s="4" t="s">
        <v>85</v>
      </c>
      <c r="D44" s="5">
        <f t="shared" ref="D44:I44" si="26">+D45+D46+D47</f>
        <v>0</v>
      </c>
      <c r="E44" s="5">
        <f t="shared" si="26"/>
        <v>0</v>
      </c>
      <c r="F44" s="5">
        <f t="shared" si="26"/>
        <v>0</v>
      </c>
      <c r="G44" s="5">
        <f t="shared" si="26"/>
        <v>0</v>
      </c>
      <c r="H44" s="5">
        <f t="shared" si="26"/>
        <v>0</v>
      </c>
      <c r="I44" s="5">
        <f t="shared" si="26"/>
        <v>0</v>
      </c>
      <c r="J44" s="5">
        <f>+H44+I44</f>
        <v>0</v>
      </c>
      <c r="K44" s="5">
        <f>+G44-J44</f>
        <v>0</v>
      </c>
    </row>
    <row r="45" spans="2:11" x14ac:dyDescent="0.3">
      <c r="B45" s="12" t="s">
        <v>38</v>
      </c>
      <c r="C45" s="11" t="s">
        <v>82</v>
      </c>
      <c r="D45" s="1">
        <v>0</v>
      </c>
      <c r="E45" s="1">
        <v>0</v>
      </c>
      <c r="F45" s="1">
        <v>0</v>
      </c>
      <c r="G45" s="1">
        <f t="shared" ref="G45:H47" si="27">+D45+E45-F45</f>
        <v>0</v>
      </c>
      <c r="H45" s="1">
        <f t="shared" si="27"/>
        <v>0</v>
      </c>
      <c r="I45" s="1">
        <f>+F45+G45-H45</f>
        <v>0</v>
      </c>
      <c r="J45" s="1">
        <f>+H45+I45</f>
        <v>0</v>
      </c>
      <c r="K45" s="1">
        <f>+G45-J45</f>
        <v>0</v>
      </c>
    </row>
    <row r="46" spans="2:11" x14ac:dyDescent="0.3">
      <c r="B46" s="12" t="s">
        <v>39</v>
      </c>
      <c r="C46" s="11" t="s">
        <v>83</v>
      </c>
      <c r="D46" s="1">
        <v>0</v>
      </c>
      <c r="E46" s="1">
        <v>0</v>
      </c>
      <c r="F46" s="1">
        <v>0</v>
      </c>
      <c r="G46" s="1">
        <f t="shared" si="27"/>
        <v>0</v>
      </c>
      <c r="H46" s="1">
        <f t="shared" si="27"/>
        <v>0</v>
      </c>
      <c r="I46" s="1">
        <f t="shared" ref="I46:I47" si="28">+F46+G46-H46</f>
        <v>0</v>
      </c>
      <c r="J46" s="1">
        <f t="shared" si="2"/>
        <v>0</v>
      </c>
      <c r="K46" s="1">
        <f>+G46-J46</f>
        <v>0</v>
      </c>
    </row>
    <row r="47" spans="2:11" x14ac:dyDescent="0.3">
      <c r="B47" s="12" t="s">
        <v>349</v>
      </c>
      <c r="C47" s="11" t="s">
        <v>350</v>
      </c>
      <c r="D47" s="1">
        <v>0</v>
      </c>
      <c r="E47" s="1">
        <v>0</v>
      </c>
      <c r="F47" s="1">
        <v>0</v>
      </c>
      <c r="G47" s="1">
        <f t="shared" si="27"/>
        <v>0</v>
      </c>
      <c r="H47" s="1">
        <f t="shared" si="27"/>
        <v>0</v>
      </c>
      <c r="I47" s="1">
        <f t="shared" si="28"/>
        <v>0</v>
      </c>
      <c r="J47" s="1">
        <f t="shared" si="2"/>
        <v>0</v>
      </c>
      <c r="K47" s="1">
        <f>+G47-J47</f>
        <v>0</v>
      </c>
    </row>
    <row r="48" spans="2:11" x14ac:dyDescent="0.3">
      <c r="B48" s="7" t="s">
        <v>40</v>
      </c>
      <c r="C48" s="8" t="s">
        <v>84</v>
      </c>
      <c r="D48" s="9">
        <f t="shared" ref="D48:I48" si="29">+D49</f>
        <v>0</v>
      </c>
      <c r="E48" s="9">
        <f t="shared" si="29"/>
        <v>0</v>
      </c>
      <c r="F48" s="9">
        <f t="shared" si="29"/>
        <v>0</v>
      </c>
      <c r="G48" s="9">
        <f t="shared" si="29"/>
        <v>0</v>
      </c>
      <c r="H48" s="9">
        <f t="shared" si="29"/>
        <v>0</v>
      </c>
      <c r="I48" s="9">
        <f t="shared" si="29"/>
        <v>0</v>
      </c>
      <c r="J48" s="9">
        <f t="shared" si="2"/>
        <v>0</v>
      </c>
      <c r="K48" s="9">
        <f t="shared" si="3"/>
        <v>0</v>
      </c>
    </row>
    <row r="49" spans="2:11" x14ac:dyDescent="0.3">
      <c r="B49" s="12" t="s">
        <v>41</v>
      </c>
      <c r="C49" s="11" t="s">
        <v>86</v>
      </c>
      <c r="D49" s="1">
        <v>0</v>
      </c>
      <c r="E49" s="1">
        <v>0</v>
      </c>
      <c r="F49" s="1">
        <v>0</v>
      </c>
      <c r="G49" s="1">
        <f>+D49+E49-F49</f>
        <v>0</v>
      </c>
      <c r="H49" s="1">
        <f>+E49+F49-G49</f>
        <v>0</v>
      </c>
      <c r="I49" s="1">
        <f>+F49+G49-H49</f>
        <v>0</v>
      </c>
      <c r="J49" s="1">
        <f t="shared" si="2"/>
        <v>0</v>
      </c>
      <c r="K49" s="1">
        <f t="shared" si="3"/>
        <v>0</v>
      </c>
    </row>
    <row r="50" spans="2:11" x14ac:dyDescent="0.3">
      <c r="B50" s="6" t="s">
        <v>42</v>
      </c>
      <c r="C50" s="4" t="s">
        <v>87</v>
      </c>
      <c r="D50" s="5">
        <f t="shared" ref="D50:I50" si="30">+D51</f>
        <v>0</v>
      </c>
      <c r="E50" s="5">
        <f t="shared" si="30"/>
        <v>0</v>
      </c>
      <c r="F50" s="5">
        <f t="shared" si="30"/>
        <v>0</v>
      </c>
      <c r="G50" s="5">
        <f t="shared" si="30"/>
        <v>0</v>
      </c>
      <c r="H50" s="5">
        <f t="shared" si="30"/>
        <v>0</v>
      </c>
      <c r="I50" s="5">
        <f t="shared" si="30"/>
        <v>0</v>
      </c>
      <c r="J50" s="5">
        <f t="shared" si="2"/>
        <v>0</v>
      </c>
      <c r="K50" s="5">
        <f t="shared" si="3"/>
        <v>0</v>
      </c>
    </row>
    <row r="51" spans="2:11" x14ac:dyDescent="0.3">
      <c r="B51" s="7" t="s">
        <v>43</v>
      </c>
      <c r="C51" s="8" t="s">
        <v>88</v>
      </c>
      <c r="D51" s="9">
        <f t="shared" ref="D51:I51" si="31">+D52+D53+D54+D55</f>
        <v>0</v>
      </c>
      <c r="E51" s="9">
        <f t="shared" si="31"/>
        <v>0</v>
      </c>
      <c r="F51" s="9">
        <f t="shared" si="31"/>
        <v>0</v>
      </c>
      <c r="G51" s="9">
        <f t="shared" si="31"/>
        <v>0</v>
      </c>
      <c r="H51" s="9">
        <f t="shared" si="31"/>
        <v>0</v>
      </c>
      <c r="I51" s="9">
        <f t="shared" si="31"/>
        <v>0</v>
      </c>
      <c r="J51" s="9">
        <f t="shared" si="2"/>
        <v>0</v>
      </c>
      <c r="K51" s="9">
        <f t="shared" si="3"/>
        <v>0</v>
      </c>
    </row>
    <row r="52" spans="2:11" x14ac:dyDescent="0.3">
      <c r="B52" s="12" t="s">
        <v>44</v>
      </c>
      <c r="C52" s="11" t="s">
        <v>102</v>
      </c>
      <c r="D52" s="1">
        <v>0</v>
      </c>
      <c r="E52" s="1">
        <v>0</v>
      </c>
      <c r="F52" s="1">
        <v>0</v>
      </c>
      <c r="G52" s="1">
        <f>+D52+E52-F52</f>
        <v>0</v>
      </c>
      <c r="H52" s="1">
        <f>+E52+F52-G52</f>
        <v>0</v>
      </c>
      <c r="I52" s="1">
        <f>+F52+G52-H52</f>
        <v>0</v>
      </c>
      <c r="J52" s="1">
        <f t="shared" si="2"/>
        <v>0</v>
      </c>
      <c r="K52" s="1">
        <f t="shared" si="3"/>
        <v>0</v>
      </c>
    </row>
    <row r="53" spans="2:11" x14ac:dyDescent="0.3">
      <c r="B53" s="12" t="s">
        <v>45</v>
      </c>
      <c r="C53" s="11" t="s">
        <v>103</v>
      </c>
      <c r="D53" s="1">
        <v>0</v>
      </c>
      <c r="E53" s="1">
        <v>0</v>
      </c>
      <c r="F53" s="1">
        <v>0</v>
      </c>
      <c r="G53" s="1">
        <f t="shared" ref="G53:I55" si="32">+D53+E53-F53</f>
        <v>0</v>
      </c>
      <c r="H53" s="1">
        <f t="shared" si="32"/>
        <v>0</v>
      </c>
      <c r="I53" s="1">
        <f t="shared" si="32"/>
        <v>0</v>
      </c>
      <c r="J53" s="1">
        <f t="shared" si="2"/>
        <v>0</v>
      </c>
      <c r="K53" s="1">
        <f t="shared" si="3"/>
        <v>0</v>
      </c>
    </row>
    <row r="54" spans="2:11" x14ac:dyDescent="0.3">
      <c r="B54" s="12" t="s">
        <v>46</v>
      </c>
      <c r="C54" s="11" t="s">
        <v>104</v>
      </c>
      <c r="D54" s="1">
        <v>0</v>
      </c>
      <c r="E54" s="1">
        <v>0</v>
      </c>
      <c r="F54" s="1">
        <v>0</v>
      </c>
      <c r="G54" s="1">
        <f t="shared" si="32"/>
        <v>0</v>
      </c>
      <c r="H54" s="1">
        <f t="shared" si="32"/>
        <v>0</v>
      </c>
      <c r="I54" s="1">
        <f t="shared" si="32"/>
        <v>0</v>
      </c>
      <c r="J54" s="1">
        <f t="shared" si="2"/>
        <v>0</v>
      </c>
      <c r="K54" s="1">
        <f t="shared" si="3"/>
        <v>0</v>
      </c>
    </row>
    <row r="55" spans="2:11" x14ac:dyDescent="0.3">
      <c r="B55" s="12" t="s">
        <v>47</v>
      </c>
      <c r="C55" s="11" t="s">
        <v>105</v>
      </c>
      <c r="D55" s="1">
        <v>0</v>
      </c>
      <c r="E55" s="1">
        <v>0</v>
      </c>
      <c r="F55" s="1">
        <v>0</v>
      </c>
      <c r="G55" s="1">
        <f t="shared" si="32"/>
        <v>0</v>
      </c>
      <c r="H55" s="1">
        <f t="shared" si="32"/>
        <v>0</v>
      </c>
      <c r="I55" s="1">
        <f t="shared" si="32"/>
        <v>0</v>
      </c>
      <c r="J55" s="1">
        <f t="shared" si="2"/>
        <v>0</v>
      </c>
      <c r="K55" s="1">
        <f t="shared" si="3"/>
        <v>0</v>
      </c>
    </row>
    <row r="56" spans="2:11" x14ac:dyDescent="0.3">
      <c r="B56" s="6" t="s">
        <v>48</v>
      </c>
      <c r="C56" s="4" t="s">
        <v>89</v>
      </c>
      <c r="D56" s="5">
        <f t="shared" ref="D56:I56" si="33">+D57</f>
        <v>0</v>
      </c>
      <c r="E56" s="5">
        <f t="shared" si="33"/>
        <v>0</v>
      </c>
      <c r="F56" s="5">
        <f t="shared" si="33"/>
        <v>0</v>
      </c>
      <c r="G56" s="5">
        <f t="shared" si="33"/>
        <v>0</v>
      </c>
      <c r="H56" s="5">
        <f t="shared" si="33"/>
        <v>0</v>
      </c>
      <c r="I56" s="5">
        <f t="shared" si="33"/>
        <v>0</v>
      </c>
      <c r="J56" s="5">
        <f t="shared" si="2"/>
        <v>0</v>
      </c>
      <c r="K56" s="5">
        <f t="shared" si="3"/>
        <v>0</v>
      </c>
    </row>
    <row r="57" spans="2:11" x14ac:dyDescent="0.3">
      <c r="B57" s="7" t="s">
        <v>49</v>
      </c>
      <c r="C57" s="8" t="s">
        <v>90</v>
      </c>
      <c r="D57" s="9">
        <f t="shared" ref="D57:I57" si="34">+D58+D59+D60+D61</f>
        <v>0</v>
      </c>
      <c r="E57" s="9">
        <f t="shared" si="34"/>
        <v>0</v>
      </c>
      <c r="F57" s="9">
        <f t="shared" si="34"/>
        <v>0</v>
      </c>
      <c r="G57" s="9">
        <f t="shared" si="34"/>
        <v>0</v>
      </c>
      <c r="H57" s="9">
        <f t="shared" si="34"/>
        <v>0</v>
      </c>
      <c r="I57" s="9">
        <f t="shared" si="34"/>
        <v>0</v>
      </c>
      <c r="J57" s="9">
        <f t="shared" si="2"/>
        <v>0</v>
      </c>
      <c r="K57" s="9">
        <f t="shared" si="3"/>
        <v>0</v>
      </c>
    </row>
    <row r="58" spans="2:11" x14ac:dyDescent="0.3">
      <c r="B58" s="12" t="s">
        <v>50</v>
      </c>
      <c r="C58" s="11" t="s">
        <v>91</v>
      </c>
      <c r="D58" s="1">
        <v>0</v>
      </c>
      <c r="E58" s="1">
        <v>0</v>
      </c>
      <c r="F58" s="1">
        <v>0</v>
      </c>
      <c r="G58" s="1">
        <f>+D58+E58-F58</f>
        <v>0</v>
      </c>
      <c r="H58" s="1">
        <f>+E58+F58-G58</f>
        <v>0</v>
      </c>
      <c r="I58" s="1">
        <f>+F58+G58-H58</f>
        <v>0</v>
      </c>
      <c r="J58" s="1">
        <f t="shared" si="2"/>
        <v>0</v>
      </c>
      <c r="K58" s="1">
        <f t="shared" si="3"/>
        <v>0</v>
      </c>
    </row>
    <row r="59" spans="2:11" x14ac:dyDescent="0.3">
      <c r="B59" s="12" t="s">
        <v>51</v>
      </c>
      <c r="C59" s="11" t="s">
        <v>92</v>
      </c>
      <c r="D59" s="1">
        <v>0</v>
      </c>
      <c r="E59" s="1">
        <v>0</v>
      </c>
      <c r="F59" s="1">
        <v>0</v>
      </c>
      <c r="G59" s="1">
        <f t="shared" ref="G59:I61" si="35">+D59+E59-F59</f>
        <v>0</v>
      </c>
      <c r="H59" s="1">
        <f t="shared" si="35"/>
        <v>0</v>
      </c>
      <c r="I59" s="1">
        <f t="shared" si="35"/>
        <v>0</v>
      </c>
      <c r="J59" s="1">
        <f t="shared" si="2"/>
        <v>0</v>
      </c>
      <c r="K59" s="1">
        <f t="shared" si="3"/>
        <v>0</v>
      </c>
    </row>
    <row r="60" spans="2:11" x14ac:dyDescent="0.3">
      <c r="B60" s="12" t="s">
        <v>52</v>
      </c>
      <c r="C60" s="11" t="s">
        <v>93</v>
      </c>
      <c r="D60" s="1">
        <v>0</v>
      </c>
      <c r="E60" s="1">
        <v>0</v>
      </c>
      <c r="F60" s="1">
        <v>0</v>
      </c>
      <c r="G60" s="1">
        <f t="shared" si="35"/>
        <v>0</v>
      </c>
      <c r="H60" s="1">
        <f t="shared" si="35"/>
        <v>0</v>
      </c>
      <c r="I60" s="1">
        <f t="shared" si="35"/>
        <v>0</v>
      </c>
      <c r="J60" s="1">
        <f t="shared" si="2"/>
        <v>0</v>
      </c>
      <c r="K60" s="1">
        <f t="shared" si="3"/>
        <v>0</v>
      </c>
    </row>
    <row r="61" spans="2:11" x14ac:dyDescent="0.3">
      <c r="B61" s="12" t="s">
        <v>53</v>
      </c>
      <c r="C61" s="11" t="s">
        <v>94</v>
      </c>
      <c r="D61" s="1">
        <v>0</v>
      </c>
      <c r="E61" s="1">
        <v>0</v>
      </c>
      <c r="F61" s="1">
        <v>0</v>
      </c>
      <c r="G61" s="1">
        <f t="shared" si="35"/>
        <v>0</v>
      </c>
      <c r="H61" s="1">
        <f t="shared" si="35"/>
        <v>0</v>
      </c>
      <c r="I61" s="1">
        <f t="shared" si="35"/>
        <v>0</v>
      </c>
      <c r="J61" s="1">
        <f t="shared" si="2"/>
        <v>0</v>
      </c>
      <c r="K61" s="1">
        <f t="shared" si="3"/>
        <v>0</v>
      </c>
    </row>
    <row r="62" spans="2:11" x14ac:dyDescent="0.3">
      <c r="B62" s="32" t="s">
        <v>326</v>
      </c>
      <c r="C62" s="32"/>
      <c r="D62" s="22">
        <f>+D4</f>
        <v>83021300</v>
      </c>
      <c r="E62" s="22">
        <f>+E4</f>
        <v>19575184</v>
      </c>
      <c r="F62" s="22">
        <f>+F4</f>
        <v>0</v>
      </c>
      <c r="G62" s="22">
        <f>+G4</f>
        <v>102596484</v>
      </c>
      <c r="H62" s="22">
        <f>+H4</f>
        <v>0</v>
      </c>
      <c r="I62" s="22">
        <f t="shared" ref="I62" si="36">+I4</f>
        <v>102596484</v>
      </c>
      <c r="J62" s="22">
        <f t="shared" si="2"/>
        <v>102596484</v>
      </c>
      <c r="K62" s="22">
        <f t="shared" si="3"/>
        <v>0</v>
      </c>
    </row>
    <row r="64" spans="2:11" x14ac:dyDescent="0.3">
      <c r="C64" s="25" t="s">
        <v>331</v>
      </c>
    </row>
    <row r="65" spans="3:3" x14ac:dyDescent="0.3">
      <c r="C65" s="25" t="s">
        <v>332</v>
      </c>
    </row>
  </sheetData>
  <mergeCells count="8">
    <mergeCell ref="F2:F3"/>
    <mergeCell ref="G2:G3"/>
    <mergeCell ref="H2:K2"/>
    <mergeCell ref="B62:C62"/>
    <mergeCell ref="B2:B3"/>
    <mergeCell ref="C2:C3"/>
    <mergeCell ref="D2:D3"/>
    <mergeCell ref="E2:E3"/>
  </mergeCells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593C-8D7F-477B-B8D9-F60DED77231B}">
  <dimension ref="B3:Q118"/>
  <sheetViews>
    <sheetView workbookViewId="0">
      <selection activeCell="C13" sqref="C13"/>
    </sheetView>
  </sheetViews>
  <sheetFormatPr baseColWidth="10" defaultRowHeight="14.4" x14ac:dyDescent="0.3"/>
  <cols>
    <col min="1" max="1" width="7.5546875" customWidth="1"/>
    <col min="2" max="2" width="26" customWidth="1"/>
    <col min="3" max="3" width="69.88671875" customWidth="1"/>
    <col min="4" max="4" width="17.33203125" customWidth="1"/>
    <col min="5" max="5" width="16.5546875" customWidth="1"/>
    <col min="6" max="8" width="16.33203125" customWidth="1"/>
    <col min="9" max="9" width="16.5546875" customWidth="1"/>
    <col min="10" max="14" width="17" customWidth="1"/>
    <col min="15" max="16" width="17.109375" customWidth="1"/>
    <col min="17" max="17" width="18" customWidth="1"/>
  </cols>
  <sheetData>
    <row r="3" spans="2:17" ht="18" customHeight="1" x14ac:dyDescent="0.3">
      <c r="B3" s="34" t="s">
        <v>315</v>
      </c>
      <c r="C3" s="34" t="s">
        <v>316</v>
      </c>
      <c r="D3" s="30" t="s">
        <v>317</v>
      </c>
      <c r="E3" s="30" t="s">
        <v>324</v>
      </c>
      <c r="F3" s="30" t="s">
        <v>320</v>
      </c>
      <c r="G3" s="30" t="s">
        <v>327</v>
      </c>
      <c r="H3" s="30" t="s">
        <v>328</v>
      </c>
      <c r="I3" s="30" t="s">
        <v>321</v>
      </c>
      <c r="J3" s="38" t="s">
        <v>334</v>
      </c>
      <c r="K3" s="38"/>
      <c r="L3" s="38"/>
      <c r="M3" s="36" t="s">
        <v>325</v>
      </c>
      <c r="N3" s="36"/>
      <c r="O3" s="36"/>
      <c r="P3" s="37" t="s">
        <v>341</v>
      </c>
      <c r="Q3" s="37"/>
    </row>
    <row r="4" spans="2:17" ht="37.5" customHeight="1" x14ac:dyDescent="0.3">
      <c r="B4" s="35"/>
      <c r="C4" s="35"/>
      <c r="D4" s="30"/>
      <c r="E4" s="30"/>
      <c r="F4" s="30"/>
      <c r="G4" s="30"/>
      <c r="H4" s="30"/>
      <c r="I4" s="30"/>
      <c r="J4" s="27" t="s">
        <v>333</v>
      </c>
      <c r="K4" s="27" t="s">
        <v>335</v>
      </c>
      <c r="L4" s="27" t="s">
        <v>336</v>
      </c>
      <c r="M4" s="28" t="s">
        <v>333</v>
      </c>
      <c r="N4" s="28" t="s">
        <v>337</v>
      </c>
      <c r="O4" s="28" t="s">
        <v>338</v>
      </c>
      <c r="P4" s="29" t="s">
        <v>339</v>
      </c>
      <c r="Q4" s="29" t="s">
        <v>340</v>
      </c>
    </row>
    <row r="5" spans="2:17" x14ac:dyDescent="0.3">
      <c r="B5" s="13">
        <v>2</v>
      </c>
      <c r="C5" s="19" t="s">
        <v>145</v>
      </c>
      <c r="D5" s="15">
        <f t="shared" ref="D5:N6" si="0">+D6</f>
        <v>83021300</v>
      </c>
      <c r="E5" s="15">
        <f t="shared" si="0"/>
        <v>0</v>
      </c>
      <c r="F5" s="15">
        <f t="shared" si="0"/>
        <v>0</v>
      </c>
      <c r="G5" s="15">
        <f t="shared" si="0"/>
        <v>0</v>
      </c>
      <c r="H5" s="15">
        <f t="shared" si="0"/>
        <v>0</v>
      </c>
      <c r="I5" s="15">
        <f t="shared" si="0"/>
        <v>83021300</v>
      </c>
      <c r="J5" s="15">
        <f t="shared" si="0"/>
        <v>0</v>
      </c>
      <c r="K5" s="15">
        <f t="shared" si="0"/>
        <v>0</v>
      </c>
      <c r="L5" s="15">
        <f>+J5+K5</f>
        <v>0</v>
      </c>
      <c r="M5" s="15">
        <f>+M6</f>
        <v>0</v>
      </c>
      <c r="N5" s="15">
        <f>+N6</f>
        <v>0</v>
      </c>
      <c r="O5" s="15">
        <f>+M5+N5</f>
        <v>0</v>
      </c>
      <c r="P5" s="15">
        <f>+I5-L5</f>
        <v>83021300</v>
      </c>
      <c r="Q5" s="15">
        <f>+L5-O5</f>
        <v>0</v>
      </c>
    </row>
    <row r="6" spans="2:17" x14ac:dyDescent="0.3">
      <c r="B6" s="3" t="s">
        <v>107</v>
      </c>
      <c r="C6" s="18" t="s">
        <v>146</v>
      </c>
      <c r="D6" s="5">
        <f t="shared" si="0"/>
        <v>83021300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83021300</v>
      </c>
      <c r="J6" s="5">
        <f t="shared" si="0"/>
        <v>0</v>
      </c>
      <c r="K6" s="5">
        <f t="shared" si="0"/>
        <v>0</v>
      </c>
      <c r="L6" s="5">
        <f t="shared" ref="L6:L69" si="1">+J6+K6</f>
        <v>0</v>
      </c>
      <c r="M6" s="5">
        <f t="shared" si="0"/>
        <v>0</v>
      </c>
      <c r="N6" s="5">
        <f t="shared" si="0"/>
        <v>0</v>
      </c>
      <c r="O6" s="5">
        <f t="shared" ref="O6:O69" si="2">+M6+N6</f>
        <v>0</v>
      </c>
      <c r="P6" s="5">
        <f t="shared" ref="P6:P69" si="3">+I6-L6</f>
        <v>83021300</v>
      </c>
      <c r="Q6" s="5">
        <f t="shared" ref="Q6:Q69" si="4">+L6-O6</f>
        <v>0</v>
      </c>
    </row>
    <row r="7" spans="2:17" x14ac:dyDescent="0.3">
      <c r="B7" s="3" t="s">
        <v>108</v>
      </c>
      <c r="C7" s="18" t="s">
        <v>147</v>
      </c>
      <c r="D7" s="5">
        <f t="shared" ref="D7:J7" si="5">+D8+D75</f>
        <v>83021300</v>
      </c>
      <c r="E7" s="5">
        <f t="shared" si="5"/>
        <v>0</v>
      </c>
      <c r="F7" s="5">
        <f t="shared" si="5"/>
        <v>0</v>
      </c>
      <c r="G7" s="5">
        <f t="shared" si="5"/>
        <v>0</v>
      </c>
      <c r="H7" s="5">
        <f t="shared" si="5"/>
        <v>0</v>
      </c>
      <c r="I7" s="5">
        <f t="shared" si="5"/>
        <v>83021300</v>
      </c>
      <c r="J7" s="5">
        <f t="shared" si="5"/>
        <v>0</v>
      </c>
      <c r="K7" s="5">
        <f t="shared" ref="K7" si="6">+K8+K75</f>
        <v>0</v>
      </c>
      <c r="L7" s="5">
        <f t="shared" si="1"/>
        <v>0</v>
      </c>
      <c r="M7" s="5">
        <f t="shared" ref="M7:N7" si="7">+M8+M75</f>
        <v>0</v>
      </c>
      <c r="N7" s="5">
        <f t="shared" si="7"/>
        <v>0</v>
      </c>
      <c r="O7" s="5">
        <f t="shared" si="2"/>
        <v>0</v>
      </c>
      <c r="P7" s="5">
        <f t="shared" si="3"/>
        <v>83021300</v>
      </c>
      <c r="Q7" s="5">
        <f t="shared" si="4"/>
        <v>0</v>
      </c>
    </row>
    <row r="8" spans="2:17" x14ac:dyDescent="0.3">
      <c r="B8" s="10" t="s">
        <v>109</v>
      </c>
      <c r="C8" s="17" t="s">
        <v>148</v>
      </c>
      <c r="D8" s="9">
        <f t="shared" ref="D8:N8" si="8">+D9</f>
        <v>5000000</v>
      </c>
      <c r="E8" s="9">
        <f t="shared" si="8"/>
        <v>0</v>
      </c>
      <c r="F8" s="9">
        <f t="shared" si="8"/>
        <v>0</v>
      </c>
      <c r="G8" s="9">
        <f t="shared" si="8"/>
        <v>0</v>
      </c>
      <c r="H8" s="9">
        <f t="shared" si="8"/>
        <v>0</v>
      </c>
      <c r="I8" s="9">
        <f t="shared" si="8"/>
        <v>5000000</v>
      </c>
      <c r="J8" s="9">
        <f t="shared" si="8"/>
        <v>0</v>
      </c>
      <c r="K8" s="9">
        <f t="shared" si="8"/>
        <v>0</v>
      </c>
      <c r="L8" s="9">
        <f t="shared" si="1"/>
        <v>0</v>
      </c>
      <c r="M8" s="9">
        <f t="shared" si="8"/>
        <v>0</v>
      </c>
      <c r="N8" s="9">
        <f t="shared" si="8"/>
        <v>0</v>
      </c>
      <c r="O8" s="9">
        <f t="shared" si="2"/>
        <v>0</v>
      </c>
      <c r="P8" s="9">
        <f t="shared" si="3"/>
        <v>5000000</v>
      </c>
      <c r="Q8" s="9">
        <f t="shared" si="4"/>
        <v>0</v>
      </c>
    </row>
    <row r="9" spans="2:17" x14ac:dyDescent="0.3">
      <c r="B9" s="3" t="s">
        <v>110</v>
      </c>
      <c r="C9" s="18" t="s">
        <v>149</v>
      </c>
      <c r="D9" s="5">
        <f t="shared" ref="D9:J9" si="9">+D10+D44+D65</f>
        <v>5000000</v>
      </c>
      <c r="E9" s="5">
        <f t="shared" si="9"/>
        <v>0</v>
      </c>
      <c r="F9" s="5">
        <f t="shared" si="9"/>
        <v>0</v>
      </c>
      <c r="G9" s="5">
        <f t="shared" si="9"/>
        <v>0</v>
      </c>
      <c r="H9" s="5">
        <f t="shared" si="9"/>
        <v>0</v>
      </c>
      <c r="I9" s="5">
        <f t="shared" si="9"/>
        <v>5000000</v>
      </c>
      <c r="J9" s="5">
        <f t="shared" si="9"/>
        <v>0</v>
      </c>
      <c r="K9" s="5">
        <f t="shared" ref="K9" si="10">+K10+K44+K65</f>
        <v>0</v>
      </c>
      <c r="L9" s="5">
        <f t="shared" si="1"/>
        <v>0</v>
      </c>
      <c r="M9" s="5">
        <f t="shared" ref="M9:N9" si="11">+M10+M44+M65</f>
        <v>0</v>
      </c>
      <c r="N9" s="5">
        <f t="shared" si="11"/>
        <v>0</v>
      </c>
      <c r="O9" s="5">
        <f t="shared" si="2"/>
        <v>0</v>
      </c>
      <c r="P9" s="5">
        <f t="shared" si="3"/>
        <v>5000000</v>
      </c>
      <c r="Q9" s="5">
        <f t="shared" si="4"/>
        <v>0</v>
      </c>
    </row>
    <row r="10" spans="2:17" x14ac:dyDescent="0.3">
      <c r="B10" s="3" t="s">
        <v>111</v>
      </c>
      <c r="C10" s="18" t="s">
        <v>150</v>
      </c>
      <c r="D10" s="5">
        <f t="shared" ref="D10:J10" si="12">+D11+D15+D20+D26+D33+D42</f>
        <v>5000000</v>
      </c>
      <c r="E10" s="5">
        <f t="shared" si="12"/>
        <v>0</v>
      </c>
      <c r="F10" s="5">
        <f t="shared" si="12"/>
        <v>0</v>
      </c>
      <c r="G10" s="5">
        <f t="shared" si="12"/>
        <v>0</v>
      </c>
      <c r="H10" s="5">
        <f t="shared" si="12"/>
        <v>0</v>
      </c>
      <c r="I10" s="5">
        <f t="shared" si="12"/>
        <v>5000000</v>
      </c>
      <c r="J10" s="5">
        <f t="shared" si="12"/>
        <v>0</v>
      </c>
      <c r="K10" s="5">
        <f t="shared" ref="K10" si="13">+K11+K15+K20+K26+K33+K42</f>
        <v>0</v>
      </c>
      <c r="L10" s="5">
        <f t="shared" si="1"/>
        <v>0</v>
      </c>
      <c r="M10" s="5">
        <f t="shared" ref="M10:N10" si="14">+M11+M15+M20+M26+M33+M42</f>
        <v>0</v>
      </c>
      <c r="N10" s="5">
        <f t="shared" si="14"/>
        <v>0</v>
      </c>
      <c r="O10" s="5">
        <f t="shared" si="2"/>
        <v>0</v>
      </c>
      <c r="P10" s="5">
        <f t="shared" si="3"/>
        <v>5000000</v>
      </c>
      <c r="Q10" s="5">
        <f t="shared" si="4"/>
        <v>0</v>
      </c>
    </row>
    <row r="11" spans="2:17" x14ac:dyDescent="0.3">
      <c r="B11" s="3" t="s">
        <v>112</v>
      </c>
      <c r="C11" s="18" t="s">
        <v>151</v>
      </c>
      <c r="D11" s="5">
        <f t="shared" ref="D11:N11" si="15">+D12</f>
        <v>0</v>
      </c>
      <c r="E11" s="5">
        <f t="shared" si="15"/>
        <v>0</v>
      </c>
      <c r="F11" s="5">
        <f t="shared" si="15"/>
        <v>0</v>
      </c>
      <c r="G11" s="5">
        <f t="shared" si="15"/>
        <v>0</v>
      </c>
      <c r="H11" s="5">
        <f t="shared" si="15"/>
        <v>0</v>
      </c>
      <c r="I11" s="5">
        <f t="shared" si="15"/>
        <v>0</v>
      </c>
      <c r="J11" s="5">
        <f t="shared" si="15"/>
        <v>0</v>
      </c>
      <c r="K11" s="5">
        <f t="shared" si="15"/>
        <v>0</v>
      </c>
      <c r="L11" s="5">
        <f t="shared" si="1"/>
        <v>0</v>
      </c>
      <c r="M11" s="5">
        <f t="shared" si="15"/>
        <v>0</v>
      </c>
      <c r="N11" s="5">
        <f t="shared" si="15"/>
        <v>0</v>
      </c>
      <c r="O11" s="5">
        <f t="shared" si="2"/>
        <v>0</v>
      </c>
      <c r="P11" s="5">
        <f t="shared" si="3"/>
        <v>0</v>
      </c>
      <c r="Q11" s="5">
        <f t="shared" si="4"/>
        <v>0</v>
      </c>
    </row>
    <row r="12" spans="2:17" x14ac:dyDescent="0.3">
      <c r="B12" s="3" t="s">
        <v>113</v>
      </c>
      <c r="C12" s="18" t="s">
        <v>152</v>
      </c>
      <c r="D12" s="5">
        <f t="shared" ref="D12:I12" si="16">+D13+D14</f>
        <v>0</v>
      </c>
      <c r="E12" s="5">
        <f t="shared" si="16"/>
        <v>0</v>
      </c>
      <c r="F12" s="5">
        <f t="shared" si="16"/>
        <v>0</v>
      </c>
      <c r="G12" s="5">
        <f t="shared" si="16"/>
        <v>0</v>
      </c>
      <c r="H12" s="5">
        <f t="shared" si="16"/>
        <v>0</v>
      </c>
      <c r="I12" s="5">
        <f t="shared" si="16"/>
        <v>0</v>
      </c>
      <c r="J12" s="5">
        <f>+J13+J14</f>
        <v>0</v>
      </c>
      <c r="K12" s="5">
        <f>+K13+K14</f>
        <v>0</v>
      </c>
      <c r="L12" s="5">
        <f t="shared" si="1"/>
        <v>0</v>
      </c>
      <c r="M12" s="5">
        <f>+M13+M14</f>
        <v>0</v>
      </c>
      <c r="N12" s="5">
        <f>+N13+N14</f>
        <v>0</v>
      </c>
      <c r="O12" s="5">
        <f t="shared" si="2"/>
        <v>0</v>
      </c>
      <c r="P12" s="5">
        <f t="shared" si="3"/>
        <v>0</v>
      </c>
      <c r="Q12" s="5">
        <f t="shared" si="4"/>
        <v>0</v>
      </c>
    </row>
    <row r="13" spans="2:17" x14ac:dyDescent="0.3">
      <c r="B13" s="2" t="s">
        <v>114</v>
      </c>
      <c r="C13" s="16" t="s">
        <v>153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f>+D13+E13-F13+G13-H13</f>
        <v>0</v>
      </c>
      <c r="J13" s="1">
        <v>0</v>
      </c>
      <c r="K13" s="1">
        <v>0</v>
      </c>
      <c r="L13" s="26">
        <f t="shared" si="1"/>
        <v>0</v>
      </c>
      <c r="M13" s="1">
        <v>0</v>
      </c>
      <c r="N13" s="1">
        <v>0</v>
      </c>
      <c r="O13" s="26">
        <f t="shared" si="2"/>
        <v>0</v>
      </c>
      <c r="P13" s="26">
        <f t="shared" si="3"/>
        <v>0</v>
      </c>
      <c r="Q13" s="26">
        <f t="shared" si="4"/>
        <v>0</v>
      </c>
    </row>
    <row r="14" spans="2:17" x14ac:dyDescent="0.3">
      <c r="B14" s="2" t="s">
        <v>115</v>
      </c>
      <c r="C14" s="16" t="s">
        <v>154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f>+D14+E14-F14+G14-H14</f>
        <v>0</v>
      </c>
      <c r="J14" s="1">
        <v>0</v>
      </c>
      <c r="K14" s="1">
        <v>0</v>
      </c>
      <c r="L14" s="26">
        <f t="shared" si="1"/>
        <v>0</v>
      </c>
      <c r="M14" s="1">
        <v>0</v>
      </c>
      <c r="N14" s="1">
        <v>0</v>
      </c>
      <c r="O14" s="26">
        <f t="shared" si="2"/>
        <v>0</v>
      </c>
      <c r="P14" s="26">
        <f t="shared" si="3"/>
        <v>0</v>
      </c>
      <c r="Q14" s="26">
        <f t="shared" si="4"/>
        <v>0</v>
      </c>
    </row>
    <row r="15" spans="2:17" x14ac:dyDescent="0.3">
      <c r="B15" s="3" t="s">
        <v>116</v>
      </c>
      <c r="C15" s="18" t="s">
        <v>155</v>
      </c>
      <c r="D15" s="5">
        <f t="shared" ref="D15:I15" si="17">+D16+D18</f>
        <v>5000000</v>
      </c>
      <c r="E15" s="5">
        <f t="shared" si="17"/>
        <v>0</v>
      </c>
      <c r="F15" s="5">
        <f t="shared" si="17"/>
        <v>0</v>
      </c>
      <c r="G15" s="5">
        <f t="shared" si="17"/>
        <v>0</v>
      </c>
      <c r="H15" s="5">
        <f t="shared" si="17"/>
        <v>0</v>
      </c>
      <c r="I15" s="5">
        <f t="shared" si="17"/>
        <v>5000000</v>
      </c>
      <c r="J15" s="5">
        <f>+J16+J18</f>
        <v>0</v>
      </c>
      <c r="K15" s="5">
        <f>+K16+K18</f>
        <v>0</v>
      </c>
      <c r="L15" s="5">
        <f t="shared" si="1"/>
        <v>0</v>
      </c>
      <c r="M15" s="5">
        <f>+M16+M18</f>
        <v>0</v>
      </c>
      <c r="N15" s="5">
        <f>+N16+N18</f>
        <v>0</v>
      </c>
      <c r="O15" s="5">
        <f t="shared" si="2"/>
        <v>0</v>
      </c>
      <c r="P15" s="5">
        <f t="shared" si="3"/>
        <v>5000000</v>
      </c>
      <c r="Q15" s="5">
        <f t="shared" si="4"/>
        <v>0</v>
      </c>
    </row>
    <row r="16" spans="2:17" x14ac:dyDescent="0.3">
      <c r="B16" s="3" t="s">
        <v>117</v>
      </c>
      <c r="C16" s="18" t="s">
        <v>156</v>
      </c>
      <c r="D16" s="5">
        <f t="shared" ref="D16:N16" si="18">+D17</f>
        <v>0</v>
      </c>
      <c r="E16" s="5">
        <f t="shared" si="18"/>
        <v>0</v>
      </c>
      <c r="F16" s="5">
        <f t="shared" si="18"/>
        <v>0</v>
      </c>
      <c r="G16" s="5">
        <f t="shared" si="18"/>
        <v>0</v>
      </c>
      <c r="H16" s="5">
        <f t="shared" si="18"/>
        <v>0</v>
      </c>
      <c r="I16" s="5">
        <f t="shared" si="18"/>
        <v>0</v>
      </c>
      <c r="J16" s="5">
        <f t="shared" si="18"/>
        <v>0</v>
      </c>
      <c r="K16" s="5">
        <f t="shared" si="18"/>
        <v>0</v>
      </c>
      <c r="L16" s="5">
        <f t="shared" si="1"/>
        <v>0</v>
      </c>
      <c r="M16" s="5">
        <f t="shared" si="18"/>
        <v>0</v>
      </c>
      <c r="N16" s="5">
        <f t="shared" si="18"/>
        <v>0</v>
      </c>
      <c r="O16" s="5">
        <f t="shared" si="2"/>
        <v>0</v>
      </c>
      <c r="P16" s="5">
        <f t="shared" si="3"/>
        <v>0</v>
      </c>
      <c r="Q16" s="5">
        <f t="shared" si="4"/>
        <v>0</v>
      </c>
    </row>
    <row r="17" spans="2:17" x14ac:dyDescent="0.3">
      <c r="B17" s="2" t="s">
        <v>118</v>
      </c>
      <c r="C17" s="16" t="s">
        <v>157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f>+D17+E17-F17+G17-H17</f>
        <v>0</v>
      </c>
      <c r="J17" s="1">
        <v>0</v>
      </c>
      <c r="K17" s="1">
        <v>0</v>
      </c>
      <c r="L17" s="26">
        <f t="shared" si="1"/>
        <v>0</v>
      </c>
      <c r="M17" s="1">
        <v>0</v>
      </c>
      <c r="N17" s="1">
        <v>0</v>
      </c>
      <c r="O17" s="26">
        <f t="shared" si="2"/>
        <v>0</v>
      </c>
      <c r="P17" s="26">
        <f t="shared" si="3"/>
        <v>0</v>
      </c>
      <c r="Q17" s="26">
        <f t="shared" si="4"/>
        <v>0</v>
      </c>
    </row>
    <row r="18" spans="2:17" x14ac:dyDescent="0.3">
      <c r="B18" s="3" t="s">
        <v>119</v>
      </c>
      <c r="C18" s="18" t="s">
        <v>158</v>
      </c>
      <c r="D18" s="5">
        <f t="shared" ref="D18:N18" si="19">+D19</f>
        <v>5000000</v>
      </c>
      <c r="E18" s="5">
        <f t="shared" si="19"/>
        <v>0</v>
      </c>
      <c r="F18" s="5">
        <f t="shared" si="19"/>
        <v>0</v>
      </c>
      <c r="G18" s="5">
        <f t="shared" si="19"/>
        <v>0</v>
      </c>
      <c r="H18" s="5">
        <f t="shared" si="19"/>
        <v>0</v>
      </c>
      <c r="I18" s="5">
        <f t="shared" si="19"/>
        <v>5000000</v>
      </c>
      <c r="J18" s="5">
        <f t="shared" si="19"/>
        <v>0</v>
      </c>
      <c r="K18" s="5">
        <f t="shared" si="19"/>
        <v>0</v>
      </c>
      <c r="L18" s="5">
        <f t="shared" si="1"/>
        <v>0</v>
      </c>
      <c r="M18" s="5">
        <f t="shared" si="19"/>
        <v>0</v>
      </c>
      <c r="N18" s="5">
        <f t="shared" si="19"/>
        <v>0</v>
      </c>
      <c r="O18" s="5">
        <f t="shared" si="2"/>
        <v>0</v>
      </c>
      <c r="P18" s="5">
        <f t="shared" si="3"/>
        <v>5000000</v>
      </c>
      <c r="Q18" s="5">
        <f t="shared" si="4"/>
        <v>0</v>
      </c>
    </row>
    <row r="19" spans="2:17" x14ac:dyDescent="0.3">
      <c r="B19" s="2" t="s">
        <v>120</v>
      </c>
      <c r="C19" s="16" t="s">
        <v>159</v>
      </c>
      <c r="D19" s="1">
        <v>5000000</v>
      </c>
      <c r="E19" s="1">
        <v>0</v>
      </c>
      <c r="F19" s="1">
        <v>0</v>
      </c>
      <c r="G19" s="1">
        <v>0</v>
      </c>
      <c r="H19" s="1">
        <v>0</v>
      </c>
      <c r="I19" s="1">
        <f>+D19+E19-F19+G19-H19</f>
        <v>5000000</v>
      </c>
      <c r="J19" s="1">
        <v>0</v>
      </c>
      <c r="K19" s="1">
        <v>0</v>
      </c>
      <c r="L19" s="26">
        <f t="shared" si="1"/>
        <v>0</v>
      </c>
      <c r="M19" s="1">
        <v>0</v>
      </c>
      <c r="N19" s="1">
        <v>0</v>
      </c>
      <c r="O19" s="26">
        <f t="shared" si="2"/>
        <v>0</v>
      </c>
      <c r="P19" s="26">
        <f t="shared" si="3"/>
        <v>5000000</v>
      </c>
      <c r="Q19" s="26">
        <f t="shared" si="4"/>
        <v>0</v>
      </c>
    </row>
    <row r="20" spans="2:17" x14ac:dyDescent="0.3">
      <c r="B20" s="3" t="s">
        <v>121</v>
      </c>
      <c r="C20" s="18" t="s">
        <v>160</v>
      </c>
      <c r="D20" s="5">
        <f t="shared" ref="D20:N20" si="20">+D21</f>
        <v>0</v>
      </c>
      <c r="E20" s="5">
        <f t="shared" si="20"/>
        <v>0</v>
      </c>
      <c r="F20" s="5">
        <f t="shared" si="20"/>
        <v>0</v>
      </c>
      <c r="G20" s="5">
        <f t="shared" si="20"/>
        <v>0</v>
      </c>
      <c r="H20" s="5">
        <f t="shared" si="20"/>
        <v>0</v>
      </c>
      <c r="I20" s="5">
        <f t="shared" si="20"/>
        <v>0</v>
      </c>
      <c r="J20" s="5">
        <f t="shared" si="20"/>
        <v>0</v>
      </c>
      <c r="K20" s="5">
        <f t="shared" si="20"/>
        <v>0</v>
      </c>
      <c r="L20" s="5">
        <f t="shared" si="1"/>
        <v>0</v>
      </c>
      <c r="M20" s="5">
        <f t="shared" si="20"/>
        <v>0</v>
      </c>
      <c r="N20" s="5">
        <f t="shared" si="20"/>
        <v>0</v>
      </c>
      <c r="O20" s="5">
        <f t="shared" si="2"/>
        <v>0</v>
      </c>
      <c r="P20" s="5">
        <f t="shared" si="3"/>
        <v>0</v>
      </c>
      <c r="Q20" s="5">
        <f t="shared" si="4"/>
        <v>0</v>
      </c>
    </row>
    <row r="21" spans="2:17" x14ac:dyDescent="0.3">
      <c r="B21" s="3" t="s">
        <v>122</v>
      </c>
      <c r="C21" s="18" t="s">
        <v>161</v>
      </c>
      <c r="D21" s="5">
        <f t="shared" ref="D21:J21" si="21">+D22+D23+D24+D25</f>
        <v>0</v>
      </c>
      <c r="E21" s="5">
        <f t="shared" si="21"/>
        <v>0</v>
      </c>
      <c r="F21" s="5">
        <f t="shared" si="21"/>
        <v>0</v>
      </c>
      <c r="G21" s="5">
        <f t="shared" si="21"/>
        <v>0</v>
      </c>
      <c r="H21" s="5">
        <f t="shared" si="21"/>
        <v>0</v>
      </c>
      <c r="I21" s="5">
        <f t="shared" si="21"/>
        <v>0</v>
      </c>
      <c r="J21" s="5">
        <f t="shared" si="21"/>
        <v>0</v>
      </c>
      <c r="K21" s="5">
        <f t="shared" ref="K21" si="22">+K22+K23+K24+K25</f>
        <v>0</v>
      </c>
      <c r="L21" s="5">
        <f t="shared" si="1"/>
        <v>0</v>
      </c>
      <c r="M21" s="5">
        <f t="shared" ref="M21:N21" si="23">+M22+M23+M24+M25</f>
        <v>0</v>
      </c>
      <c r="N21" s="5">
        <f t="shared" si="23"/>
        <v>0</v>
      </c>
      <c r="O21" s="5">
        <f t="shared" si="2"/>
        <v>0</v>
      </c>
      <c r="P21" s="5">
        <f t="shared" si="3"/>
        <v>0</v>
      </c>
      <c r="Q21" s="5">
        <f t="shared" si="4"/>
        <v>0</v>
      </c>
    </row>
    <row r="22" spans="2:17" x14ac:dyDescent="0.3">
      <c r="B22" s="2" t="s">
        <v>123</v>
      </c>
      <c r="C22" s="16" t="s">
        <v>162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f>+D22+E22-F22+G22-H22</f>
        <v>0</v>
      </c>
      <c r="J22" s="1">
        <v>0</v>
      </c>
      <c r="K22" s="1">
        <v>0</v>
      </c>
      <c r="L22" s="26">
        <f t="shared" si="1"/>
        <v>0</v>
      </c>
      <c r="M22" s="1">
        <v>0</v>
      </c>
      <c r="N22" s="1">
        <v>0</v>
      </c>
      <c r="O22" s="26">
        <f t="shared" si="2"/>
        <v>0</v>
      </c>
      <c r="P22" s="26">
        <f t="shared" si="3"/>
        <v>0</v>
      </c>
      <c r="Q22" s="26">
        <f t="shared" si="4"/>
        <v>0</v>
      </c>
    </row>
    <row r="23" spans="2:17" x14ac:dyDescent="0.3">
      <c r="B23" s="2" t="s">
        <v>124</v>
      </c>
      <c r="C23" s="16" t="s">
        <v>163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f t="shared" ref="I23:I43" si="24">+D23+E23-F23+G23-H23</f>
        <v>0</v>
      </c>
      <c r="J23" s="1">
        <v>0</v>
      </c>
      <c r="K23" s="1">
        <v>0</v>
      </c>
      <c r="L23" s="26">
        <f t="shared" si="1"/>
        <v>0</v>
      </c>
      <c r="M23" s="1">
        <v>0</v>
      </c>
      <c r="N23" s="1">
        <v>0</v>
      </c>
      <c r="O23" s="26">
        <f t="shared" si="2"/>
        <v>0</v>
      </c>
      <c r="P23" s="26">
        <f t="shared" si="3"/>
        <v>0</v>
      </c>
      <c r="Q23" s="26">
        <f t="shared" si="4"/>
        <v>0</v>
      </c>
    </row>
    <row r="24" spans="2:17" x14ac:dyDescent="0.3">
      <c r="B24" s="2" t="s">
        <v>125</v>
      </c>
      <c r="C24" s="16" t="s">
        <v>164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f t="shared" si="24"/>
        <v>0</v>
      </c>
      <c r="J24" s="1">
        <v>0</v>
      </c>
      <c r="K24" s="1">
        <v>0</v>
      </c>
      <c r="L24" s="26">
        <f t="shared" si="1"/>
        <v>0</v>
      </c>
      <c r="M24" s="1">
        <v>0</v>
      </c>
      <c r="N24" s="1">
        <v>0</v>
      </c>
      <c r="O24" s="26">
        <f t="shared" si="2"/>
        <v>0</v>
      </c>
      <c r="P24" s="26">
        <f t="shared" si="3"/>
        <v>0</v>
      </c>
      <c r="Q24" s="26">
        <f t="shared" si="4"/>
        <v>0</v>
      </c>
    </row>
    <row r="25" spans="2:17" x14ac:dyDescent="0.3">
      <c r="B25" s="2" t="s">
        <v>126</v>
      </c>
      <c r="C25" s="16" t="s">
        <v>165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f t="shared" si="24"/>
        <v>0</v>
      </c>
      <c r="J25" s="1">
        <v>0</v>
      </c>
      <c r="K25" s="1">
        <v>0</v>
      </c>
      <c r="L25" s="26">
        <f t="shared" si="1"/>
        <v>0</v>
      </c>
      <c r="M25" s="1">
        <v>0</v>
      </c>
      <c r="N25" s="1">
        <v>0</v>
      </c>
      <c r="O25" s="26">
        <f t="shared" si="2"/>
        <v>0</v>
      </c>
      <c r="P25" s="26">
        <f t="shared" si="3"/>
        <v>0</v>
      </c>
      <c r="Q25" s="26">
        <f t="shared" si="4"/>
        <v>0</v>
      </c>
    </row>
    <row r="26" spans="2:17" x14ac:dyDescent="0.3">
      <c r="B26" s="3" t="s">
        <v>127</v>
      </c>
      <c r="C26" s="18" t="s">
        <v>166</v>
      </c>
      <c r="D26" s="5">
        <f t="shared" ref="D26:J26" si="25">+D27+D28+D29+D30+D31+D32</f>
        <v>0</v>
      </c>
      <c r="E26" s="5">
        <f t="shared" si="25"/>
        <v>0</v>
      </c>
      <c r="F26" s="5">
        <f t="shared" si="25"/>
        <v>0</v>
      </c>
      <c r="G26" s="5">
        <f t="shared" si="25"/>
        <v>0</v>
      </c>
      <c r="H26" s="5">
        <f t="shared" si="25"/>
        <v>0</v>
      </c>
      <c r="I26" s="5">
        <f t="shared" si="25"/>
        <v>0</v>
      </c>
      <c r="J26" s="5">
        <f t="shared" si="25"/>
        <v>0</v>
      </c>
      <c r="K26" s="5">
        <f t="shared" ref="K26" si="26">+K27+K28+K29+K30+K31+K32</f>
        <v>0</v>
      </c>
      <c r="L26" s="5">
        <f t="shared" si="1"/>
        <v>0</v>
      </c>
      <c r="M26" s="5">
        <f t="shared" ref="M26:N26" si="27">+M27+M28+M29+M30+M31+M32</f>
        <v>0</v>
      </c>
      <c r="N26" s="5">
        <f t="shared" si="27"/>
        <v>0</v>
      </c>
      <c r="O26" s="5">
        <f t="shared" si="2"/>
        <v>0</v>
      </c>
      <c r="P26" s="5">
        <f t="shared" si="3"/>
        <v>0</v>
      </c>
      <c r="Q26" s="5">
        <f t="shared" si="4"/>
        <v>0</v>
      </c>
    </row>
    <row r="27" spans="2:17" x14ac:dyDescent="0.3">
      <c r="B27" s="2" t="s">
        <v>128</v>
      </c>
      <c r="C27" s="16" t="s">
        <v>167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f t="shared" si="24"/>
        <v>0</v>
      </c>
      <c r="J27" s="1">
        <v>0</v>
      </c>
      <c r="K27" s="1">
        <v>0</v>
      </c>
      <c r="L27" s="26">
        <f t="shared" si="1"/>
        <v>0</v>
      </c>
      <c r="M27" s="1">
        <v>0</v>
      </c>
      <c r="N27" s="1">
        <v>0</v>
      </c>
      <c r="O27" s="26">
        <f t="shared" si="2"/>
        <v>0</v>
      </c>
      <c r="P27" s="26">
        <f t="shared" si="3"/>
        <v>0</v>
      </c>
      <c r="Q27" s="26">
        <f t="shared" si="4"/>
        <v>0</v>
      </c>
    </row>
    <row r="28" spans="2:17" x14ac:dyDescent="0.3">
      <c r="B28" s="2" t="s">
        <v>129</v>
      </c>
      <c r="C28" s="16" t="s">
        <v>168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f t="shared" si="24"/>
        <v>0</v>
      </c>
      <c r="J28" s="1">
        <v>0</v>
      </c>
      <c r="K28" s="1">
        <v>0</v>
      </c>
      <c r="L28" s="26">
        <f t="shared" si="1"/>
        <v>0</v>
      </c>
      <c r="M28" s="1">
        <v>0</v>
      </c>
      <c r="N28" s="1">
        <v>0</v>
      </c>
      <c r="O28" s="26">
        <f t="shared" si="2"/>
        <v>0</v>
      </c>
      <c r="P28" s="26">
        <f t="shared" si="3"/>
        <v>0</v>
      </c>
      <c r="Q28" s="26">
        <f t="shared" si="4"/>
        <v>0</v>
      </c>
    </row>
    <row r="29" spans="2:17" x14ac:dyDescent="0.3">
      <c r="B29" s="2" t="s">
        <v>130</v>
      </c>
      <c r="C29" s="16" t="s">
        <v>169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f t="shared" si="24"/>
        <v>0</v>
      </c>
      <c r="J29" s="1">
        <v>0</v>
      </c>
      <c r="K29" s="1">
        <v>0</v>
      </c>
      <c r="L29" s="26">
        <f t="shared" si="1"/>
        <v>0</v>
      </c>
      <c r="M29" s="1">
        <v>0</v>
      </c>
      <c r="N29" s="1">
        <v>0</v>
      </c>
      <c r="O29" s="26">
        <f t="shared" si="2"/>
        <v>0</v>
      </c>
      <c r="P29" s="26">
        <f t="shared" si="3"/>
        <v>0</v>
      </c>
      <c r="Q29" s="26">
        <f t="shared" si="4"/>
        <v>0</v>
      </c>
    </row>
    <row r="30" spans="2:17" x14ac:dyDescent="0.3">
      <c r="B30" s="2" t="s">
        <v>131</v>
      </c>
      <c r="C30" s="16" t="s">
        <v>170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f t="shared" si="24"/>
        <v>0</v>
      </c>
      <c r="J30" s="1">
        <v>0</v>
      </c>
      <c r="K30" s="1">
        <v>0</v>
      </c>
      <c r="L30" s="26">
        <f t="shared" si="1"/>
        <v>0</v>
      </c>
      <c r="M30" s="1">
        <v>0</v>
      </c>
      <c r="N30" s="1">
        <v>0</v>
      </c>
      <c r="O30" s="26">
        <f t="shared" si="2"/>
        <v>0</v>
      </c>
      <c r="P30" s="26">
        <f t="shared" si="3"/>
        <v>0</v>
      </c>
      <c r="Q30" s="26">
        <f t="shared" si="4"/>
        <v>0</v>
      </c>
    </row>
    <row r="31" spans="2:17" x14ac:dyDescent="0.3">
      <c r="B31" s="2" t="s">
        <v>132</v>
      </c>
      <c r="C31" s="16" t="s">
        <v>171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f t="shared" si="24"/>
        <v>0</v>
      </c>
      <c r="J31" s="1">
        <v>0</v>
      </c>
      <c r="K31" s="1">
        <v>0</v>
      </c>
      <c r="L31" s="26">
        <f t="shared" si="1"/>
        <v>0</v>
      </c>
      <c r="M31" s="1">
        <v>0</v>
      </c>
      <c r="N31" s="1">
        <v>0</v>
      </c>
      <c r="O31" s="26">
        <f t="shared" si="2"/>
        <v>0</v>
      </c>
      <c r="P31" s="26">
        <f t="shared" si="3"/>
        <v>0</v>
      </c>
      <c r="Q31" s="26">
        <f t="shared" si="4"/>
        <v>0</v>
      </c>
    </row>
    <row r="32" spans="2:17" x14ac:dyDescent="0.3">
      <c r="B32" s="2" t="s">
        <v>133</v>
      </c>
      <c r="C32" s="16" t="s">
        <v>172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f t="shared" si="24"/>
        <v>0</v>
      </c>
      <c r="J32" s="1">
        <v>0</v>
      </c>
      <c r="K32" s="1">
        <v>0</v>
      </c>
      <c r="L32" s="26">
        <f t="shared" si="1"/>
        <v>0</v>
      </c>
      <c r="M32" s="1">
        <v>0</v>
      </c>
      <c r="N32" s="1">
        <v>0</v>
      </c>
      <c r="O32" s="26">
        <f t="shared" si="2"/>
        <v>0</v>
      </c>
      <c r="P32" s="26">
        <f t="shared" si="3"/>
        <v>0</v>
      </c>
      <c r="Q32" s="26">
        <f t="shared" si="4"/>
        <v>0</v>
      </c>
    </row>
    <row r="33" spans="2:17" x14ac:dyDescent="0.3">
      <c r="B33" s="3" t="s">
        <v>134</v>
      </c>
      <c r="C33" s="18" t="s">
        <v>173</v>
      </c>
      <c r="D33" s="5">
        <f t="shared" ref="D33:J33" si="28">+D34+D35</f>
        <v>0</v>
      </c>
      <c r="E33" s="5">
        <f t="shared" si="28"/>
        <v>0</v>
      </c>
      <c r="F33" s="5">
        <f t="shared" si="28"/>
        <v>0</v>
      </c>
      <c r="G33" s="5">
        <f t="shared" si="28"/>
        <v>0</v>
      </c>
      <c r="H33" s="5">
        <f t="shared" si="28"/>
        <v>0</v>
      </c>
      <c r="I33" s="5">
        <f t="shared" si="28"/>
        <v>0</v>
      </c>
      <c r="J33" s="5">
        <f t="shared" si="28"/>
        <v>0</v>
      </c>
      <c r="K33" s="5">
        <f t="shared" ref="K33" si="29">+K34+K35</f>
        <v>0</v>
      </c>
      <c r="L33" s="5">
        <f t="shared" si="1"/>
        <v>0</v>
      </c>
      <c r="M33" s="5">
        <f t="shared" ref="M33:N33" si="30">+M34+M35</f>
        <v>0</v>
      </c>
      <c r="N33" s="5">
        <f t="shared" si="30"/>
        <v>0</v>
      </c>
      <c r="O33" s="5">
        <f t="shared" si="2"/>
        <v>0</v>
      </c>
      <c r="P33" s="5">
        <f t="shared" si="3"/>
        <v>0</v>
      </c>
      <c r="Q33" s="5">
        <f t="shared" si="4"/>
        <v>0</v>
      </c>
    </row>
    <row r="34" spans="2:17" x14ac:dyDescent="0.3">
      <c r="B34" s="2" t="s">
        <v>135</v>
      </c>
      <c r="C34" s="16" t="s">
        <v>174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f t="shared" si="24"/>
        <v>0</v>
      </c>
      <c r="J34" s="1">
        <v>0</v>
      </c>
      <c r="K34" s="1">
        <v>0</v>
      </c>
      <c r="L34" s="26">
        <f t="shared" si="1"/>
        <v>0</v>
      </c>
      <c r="M34" s="1">
        <v>0</v>
      </c>
      <c r="N34" s="1">
        <v>0</v>
      </c>
      <c r="O34" s="26">
        <f t="shared" si="2"/>
        <v>0</v>
      </c>
      <c r="P34" s="26">
        <f t="shared" si="3"/>
        <v>0</v>
      </c>
      <c r="Q34" s="26">
        <f t="shared" si="4"/>
        <v>0</v>
      </c>
    </row>
    <row r="35" spans="2:17" x14ac:dyDescent="0.3">
      <c r="B35" s="3" t="s">
        <v>136</v>
      </c>
      <c r="C35" s="18" t="s">
        <v>175</v>
      </c>
      <c r="D35" s="5">
        <f t="shared" ref="D35:J35" si="31">+D36+D37+D38+D39+D40</f>
        <v>0</v>
      </c>
      <c r="E35" s="5">
        <f t="shared" si="31"/>
        <v>0</v>
      </c>
      <c r="F35" s="5">
        <f t="shared" si="31"/>
        <v>0</v>
      </c>
      <c r="G35" s="5">
        <f t="shared" si="31"/>
        <v>0</v>
      </c>
      <c r="H35" s="5">
        <f t="shared" si="31"/>
        <v>0</v>
      </c>
      <c r="I35" s="5">
        <f t="shared" si="31"/>
        <v>0</v>
      </c>
      <c r="J35" s="5">
        <f t="shared" si="31"/>
        <v>0</v>
      </c>
      <c r="K35" s="5">
        <f t="shared" ref="K35" si="32">+K36+K37+K38+K39+K40</f>
        <v>0</v>
      </c>
      <c r="L35" s="5">
        <f t="shared" si="1"/>
        <v>0</v>
      </c>
      <c r="M35" s="5">
        <f t="shared" ref="M35:N35" si="33">+M36+M37+M38+M39+M40</f>
        <v>0</v>
      </c>
      <c r="N35" s="5">
        <f t="shared" si="33"/>
        <v>0</v>
      </c>
      <c r="O35" s="5">
        <f t="shared" si="2"/>
        <v>0</v>
      </c>
      <c r="P35" s="5">
        <f t="shared" si="3"/>
        <v>0</v>
      </c>
      <c r="Q35" s="5">
        <f t="shared" si="4"/>
        <v>0</v>
      </c>
    </row>
    <row r="36" spans="2:17" x14ac:dyDescent="0.3">
      <c r="B36" s="2" t="s">
        <v>137</v>
      </c>
      <c r="C36" s="16" t="s">
        <v>176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f t="shared" si="24"/>
        <v>0</v>
      </c>
      <c r="J36" s="1">
        <v>0</v>
      </c>
      <c r="K36" s="1">
        <v>0</v>
      </c>
      <c r="L36" s="26">
        <f t="shared" si="1"/>
        <v>0</v>
      </c>
      <c r="M36" s="1">
        <v>0</v>
      </c>
      <c r="N36" s="1">
        <v>0</v>
      </c>
      <c r="O36" s="26">
        <f t="shared" si="2"/>
        <v>0</v>
      </c>
      <c r="P36" s="26">
        <f t="shared" si="3"/>
        <v>0</v>
      </c>
      <c r="Q36" s="26">
        <f t="shared" si="4"/>
        <v>0</v>
      </c>
    </row>
    <row r="37" spans="2:17" x14ac:dyDescent="0.3">
      <c r="B37" s="2" t="s">
        <v>138</v>
      </c>
      <c r="C37" s="16" t="s">
        <v>177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f t="shared" si="24"/>
        <v>0</v>
      </c>
      <c r="J37" s="1">
        <v>0</v>
      </c>
      <c r="K37" s="1">
        <v>0</v>
      </c>
      <c r="L37" s="26">
        <f t="shared" si="1"/>
        <v>0</v>
      </c>
      <c r="M37" s="1">
        <v>0</v>
      </c>
      <c r="N37" s="1">
        <v>0</v>
      </c>
      <c r="O37" s="26">
        <f t="shared" si="2"/>
        <v>0</v>
      </c>
      <c r="P37" s="26">
        <f t="shared" si="3"/>
        <v>0</v>
      </c>
      <c r="Q37" s="26">
        <f t="shared" si="4"/>
        <v>0</v>
      </c>
    </row>
    <row r="38" spans="2:17" x14ac:dyDescent="0.3">
      <c r="B38" s="2" t="s">
        <v>139</v>
      </c>
      <c r="C38" s="16" t="s">
        <v>178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f t="shared" si="24"/>
        <v>0</v>
      </c>
      <c r="J38" s="1">
        <v>0</v>
      </c>
      <c r="K38" s="1">
        <v>0</v>
      </c>
      <c r="L38" s="26">
        <f t="shared" si="1"/>
        <v>0</v>
      </c>
      <c r="M38" s="1">
        <v>0</v>
      </c>
      <c r="N38" s="1">
        <v>0</v>
      </c>
      <c r="O38" s="26">
        <f t="shared" si="2"/>
        <v>0</v>
      </c>
      <c r="P38" s="26">
        <f t="shared" si="3"/>
        <v>0</v>
      </c>
      <c r="Q38" s="26">
        <f t="shared" si="4"/>
        <v>0</v>
      </c>
    </row>
    <row r="39" spans="2:17" x14ac:dyDescent="0.3">
      <c r="B39" s="2" t="s">
        <v>140</v>
      </c>
      <c r="C39" s="16" t="s">
        <v>179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f t="shared" si="24"/>
        <v>0</v>
      </c>
      <c r="J39" s="1">
        <v>0</v>
      </c>
      <c r="K39" s="1">
        <v>0</v>
      </c>
      <c r="L39" s="26">
        <f t="shared" si="1"/>
        <v>0</v>
      </c>
      <c r="M39" s="1">
        <v>0</v>
      </c>
      <c r="N39" s="1">
        <v>0</v>
      </c>
      <c r="O39" s="26">
        <f t="shared" si="2"/>
        <v>0</v>
      </c>
      <c r="P39" s="26">
        <f t="shared" si="3"/>
        <v>0</v>
      </c>
      <c r="Q39" s="26">
        <f t="shared" si="4"/>
        <v>0</v>
      </c>
    </row>
    <row r="40" spans="2:17" x14ac:dyDescent="0.3">
      <c r="B40" s="2" t="s">
        <v>141</v>
      </c>
      <c r="C40" s="16" t="s">
        <v>180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f t="shared" si="24"/>
        <v>0</v>
      </c>
      <c r="J40" s="1">
        <v>0</v>
      </c>
      <c r="K40" s="1">
        <v>0</v>
      </c>
      <c r="L40" s="26">
        <f t="shared" si="1"/>
        <v>0</v>
      </c>
      <c r="M40" s="1">
        <v>0</v>
      </c>
      <c r="N40" s="1">
        <v>0</v>
      </c>
      <c r="O40" s="26">
        <f t="shared" si="2"/>
        <v>0</v>
      </c>
      <c r="P40" s="26">
        <f t="shared" si="3"/>
        <v>0</v>
      </c>
      <c r="Q40" s="26">
        <f t="shared" si="4"/>
        <v>0</v>
      </c>
    </row>
    <row r="41" spans="2:17" x14ac:dyDescent="0.3">
      <c r="B41" s="2" t="s">
        <v>142</v>
      </c>
      <c r="C41" s="16" t="s">
        <v>181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f t="shared" si="24"/>
        <v>0</v>
      </c>
      <c r="J41" s="1">
        <v>0</v>
      </c>
      <c r="K41" s="1">
        <v>0</v>
      </c>
      <c r="L41" s="26">
        <f t="shared" si="1"/>
        <v>0</v>
      </c>
      <c r="M41" s="1">
        <v>0</v>
      </c>
      <c r="N41" s="1">
        <v>0</v>
      </c>
      <c r="O41" s="26">
        <f t="shared" si="2"/>
        <v>0</v>
      </c>
      <c r="P41" s="26">
        <f t="shared" si="3"/>
        <v>0</v>
      </c>
      <c r="Q41" s="26">
        <f t="shared" si="4"/>
        <v>0</v>
      </c>
    </row>
    <row r="42" spans="2:17" x14ac:dyDescent="0.3">
      <c r="B42" s="3" t="s">
        <v>143</v>
      </c>
      <c r="C42" s="18" t="s">
        <v>182</v>
      </c>
      <c r="D42" s="5">
        <f t="shared" ref="D42:N42" si="34">+D43</f>
        <v>0</v>
      </c>
      <c r="E42" s="5">
        <f t="shared" si="34"/>
        <v>0</v>
      </c>
      <c r="F42" s="5">
        <f t="shared" si="34"/>
        <v>0</v>
      </c>
      <c r="G42" s="5">
        <f t="shared" si="34"/>
        <v>0</v>
      </c>
      <c r="H42" s="5">
        <f t="shared" si="34"/>
        <v>0</v>
      </c>
      <c r="I42" s="5">
        <f t="shared" si="34"/>
        <v>0</v>
      </c>
      <c r="J42" s="5">
        <f t="shared" si="34"/>
        <v>0</v>
      </c>
      <c r="K42" s="5">
        <f t="shared" si="34"/>
        <v>0</v>
      </c>
      <c r="L42" s="5">
        <f t="shared" si="1"/>
        <v>0</v>
      </c>
      <c r="M42" s="5">
        <f t="shared" si="34"/>
        <v>0</v>
      </c>
      <c r="N42" s="5">
        <f t="shared" si="34"/>
        <v>0</v>
      </c>
      <c r="O42" s="5">
        <f t="shared" si="2"/>
        <v>0</v>
      </c>
      <c r="P42" s="5">
        <f t="shared" si="3"/>
        <v>0</v>
      </c>
      <c r="Q42" s="5">
        <f t="shared" si="4"/>
        <v>0</v>
      </c>
    </row>
    <row r="43" spans="2:17" x14ac:dyDescent="0.3">
      <c r="B43" s="2" t="s">
        <v>144</v>
      </c>
      <c r="C43" s="16" t="s">
        <v>183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f t="shared" si="24"/>
        <v>0</v>
      </c>
      <c r="J43" s="1">
        <v>0</v>
      </c>
      <c r="K43" s="1">
        <v>0</v>
      </c>
      <c r="L43" s="26">
        <f t="shared" si="1"/>
        <v>0</v>
      </c>
      <c r="M43" s="1">
        <v>0</v>
      </c>
      <c r="N43" s="1">
        <v>0</v>
      </c>
      <c r="O43" s="26">
        <f t="shared" si="2"/>
        <v>0</v>
      </c>
      <c r="P43" s="26">
        <f t="shared" si="3"/>
        <v>0</v>
      </c>
      <c r="Q43" s="26">
        <f t="shared" si="4"/>
        <v>0</v>
      </c>
    </row>
    <row r="44" spans="2:17" x14ac:dyDescent="0.3">
      <c r="B44" s="3" t="s">
        <v>184</v>
      </c>
      <c r="C44" s="18" t="s">
        <v>250</v>
      </c>
      <c r="D44" s="5">
        <f t="shared" ref="D44:N44" si="35">+D45</f>
        <v>0</v>
      </c>
      <c r="E44" s="5">
        <f t="shared" si="35"/>
        <v>0</v>
      </c>
      <c r="F44" s="5">
        <f t="shared" si="35"/>
        <v>0</v>
      </c>
      <c r="G44" s="5">
        <f t="shared" si="35"/>
        <v>0</v>
      </c>
      <c r="H44" s="5">
        <f t="shared" si="35"/>
        <v>0</v>
      </c>
      <c r="I44" s="5">
        <f t="shared" si="35"/>
        <v>0</v>
      </c>
      <c r="J44" s="5">
        <f t="shared" si="35"/>
        <v>0</v>
      </c>
      <c r="K44" s="5">
        <f t="shared" si="35"/>
        <v>0</v>
      </c>
      <c r="L44" s="5">
        <f t="shared" si="1"/>
        <v>0</v>
      </c>
      <c r="M44" s="5">
        <f t="shared" si="35"/>
        <v>0</v>
      </c>
      <c r="N44" s="5">
        <f t="shared" si="35"/>
        <v>0</v>
      </c>
      <c r="O44" s="5">
        <f t="shared" si="2"/>
        <v>0</v>
      </c>
      <c r="P44" s="5">
        <f t="shared" si="3"/>
        <v>0</v>
      </c>
      <c r="Q44" s="5">
        <f t="shared" si="4"/>
        <v>0</v>
      </c>
    </row>
    <row r="45" spans="2:17" x14ac:dyDescent="0.3">
      <c r="B45" s="3" t="s">
        <v>185</v>
      </c>
      <c r="C45" s="18" t="s">
        <v>251</v>
      </c>
      <c r="D45" s="5">
        <f t="shared" ref="D45:J45" si="36">+D46+D63+D64</f>
        <v>0</v>
      </c>
      <c r="E45" s="5">
        <f t="shared" si="36"/>
        <v>0</v>
      </c>
      <c r="F45" s="5">
        <f t="shared" si="36"/>
        <v>0</v>
      </c>
      <c r="G45" s="5">
        <f t="shared" si="36"/>
        <v>0</v>
      </c>
      <c r="H45" s="5">
        <f t="shared" si="36"/>
        <v>0</v>
      </c>
      <c r="I45" s="5">
        <f t="shared" si="36"/>
        <v>0</v>
      </c>
      <c r="J45" s="5">
        <f t="shared" si="36"/>
        <v>0</v>
      </c>
      <c r="K45" s="5">
        <f t="shared" ref="K45" si="37">+K46+K63+K64</f>
        <v>0</v>
      </c>
      <c r="L45" s="5">
        <f t="shared" si="1"/>
        <v>0</v>
      </c>
      <c r="M45" s="5">
        <f t="shared" ref="M45:N45" si="38">+M46+M63+M64</f>
        <v>0</v>
      </c>
      <c r="N45" s="5">
        <f t="shared" si="38"/>
        <v>0</v>
      </c>
      <c r="O45" s="5">
        <f t="shared" si="2"/>
        <v>0</v>
      </c>
      <c r="P45" s="5">
        <f t="shared" si="3"/>
        <v>0</v>
      </c>
      <c r="Q45" s="5">
        <f t="shared" si="4"/>
        <v>0</v>
      </c>
    </row>
    <row r="46" spans="2:17" x14ac:dyDescent="0.3">
      <c r="B46" s="3" t="s">
        <v>186</v>
      </c>
      <c r="C46" s="18" t="s">
        <v>252</v>
      </c>
      <c r="D46" s="5">
        <f t="shared" ref="D46:J46" si="39">+D47+D51+D55+D62</f>
        <v>0</v>
      </c>
      <c r="E46" s="5">
        <f t="shared" si="39"/>
        <v>0</v>
      </c>
      <c r="F46" s="5">
        <f t="shared" si="39"/>
        <v>0</v>
      </c>
      <c r="G46" s="5">
        <f t="shared" si="39"/>
        <v>0</v>
      </c>
      <c r="H46" s="5">
        <f t="shared" si="39"/>
        <v>0</v>
      </c>
      <c r="I46" s="5">
        <f t="shared" si="39"/>
        <v>0</v>
      </c>
      <c r="J46" s="5">
        <f t="shared" si="39"/>
        <v>0</v>
      </c>
      <c r="K46" s="5">
        <f t="shared" ref="K46" si="40">+K47+K51+K55+K62</f>
        <v>0</v>
      </c>
      <c r="L46" s="5">
        <f t="shared" si="1"/>
        <v>0</v>
      </c>
      <c r="M46" s="5">
        <f t="shared" ref="M46:N46" si="41">+M47+M51+M55+M62</f>
        <v>0</v>
      </c>
      <c r="N46" s="5">
        <f t="shared" si="41"/>
        <v>0</v>
      </c>
      <c r="O46" s="5">
        <f t="shared" si="2"/>
        <v>0</v>
      </c>
      <c r="P46" s="5">
        <f t="shared" si="3"/>
        <v>0</v>
      </c>
      <c r="Q46" s="5">
        <f t="shared" si="4"/>
        <v>0</v>
      </c>
    </row>
    <row r="47" spans="2:17" x14ac:dyDescent="0.3">
      <c r="B47" s="3" t="s">
        <v>187</v>
      </c>
      <c r="C47" s="18" t="s">
        <v>253</v>
      </c>
      <c r="D47" s="5">
        <f t="shared" ref="D47:J47" si="42">+D48+D49+D50</f>
        <v>0</v>
      </c>
      <c r="E47" s="5">
        <f t="shared" si="42"/>
        <v>0</v>
      </c>
      <c r="F47" s="5">
        <f t="shared" si="42"/>
        <v>0</v>
      </c>
      <c r="G47" s="5">
        <f t="shared" si="42"/>
        <v>0</v>
      </c>
      <c r="H47" s="5">
        <f t="shared" si="42"/>
        <v>0</v>
      </c>
      <c r="I47" s="5">
        <f t="shared" si="42"/>
        <v>0</v>
      </c>
      <c r="J47" s="5">
        <f t="shared" si="42"/>
        <v>0</v>
      </c>
      <c r="K47" s="5">
        <f t="shared" ref="K47" si="43">+K48+K49+K50</f>
        <v>0</v>
      </c>
      <c r="L47" s="5">
        <f t="shared" si="1"/>
        <v>0</v>
      </c>
      <c r="M47" s="5">
        <f t="shared" ref="M47:N47" si="44">+M48+M49+M50</f>
        <v>0</v>
      </c>
      <c r="N47" s="5">
        <f t="shared" si="44"/>
        <v>0</v>
      </c>
      <c r="O47" s="5">
        <f t="shared" si="2"/>
        <v>0</v>
      </c>
      <c r="P47" s="5">
        <f t="shared" si="3"/>
        <v>0</v>
      </c>
      <c r="Q47" s="5">
        <f t="shared" si="4"/>
        <v>0</v>
      </c>
    </row>
    <row r="48" spans="2:17" x14ac:dyDescent="0.3">
      <c r="B48" s="2" t="s">
        <v>188</v>
      </c>
      <c r="C48" s="16" t="s">
        <v>254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f t="shared" ref="I48:I50" si="45">+D48+E48-F48+G48-H48</f>
        <v>0</v>
      </c>
      <c r="J48" s="1">
        <v>0</v>
      </c>
      <c r="K48" s="1">
        <v>0</v>
      </c>
      <c r="L48" s="26">
        <f t="shared" si="1"/>
        <v>0</v>
      </c>
      <c r="M48" s="1">
        <v>0</v>
      </c>
      <c r="N48" s="1">
        <v>0</v>
      </c>
      <c r="O48" s="26">
        <f t="shared" si="2"/>
        <v>0</v>
      </c>
      <c r="P48" s="26">
        <f t="shared" si="3"/>
        <v>0</v>
      </c>
      <c r="Q48" s="26">
        <f t="shared" si="4"/>
        <v>0</v>
      </c>
    </row>
    <row r="49" spans="2:17" x14ac:dyDescent="0.3">
      <c r="B49" s="2" t="s">
        <v>189</v>
      </c>
      <c r="C49" s="16" t="s">
        <v>255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f t="shared" si="45"/>
        <v>0</v>
      </c>
      <c r="J49" s="1">
        <v>0</v>
      </c>
      <c r="K49" s="1">
        <v>0</v>
      </c>
      <c r="L49" s="26">
        <f t="shared" si="1"/>
        <v>0</v>
      </c>
      <c r="M49" s="1">
        <v>0</v>
      </c>
      <c r="N49" s="1">
        <v>0</v>
      </c>
      <c r="O49" s="26">
        <f t="shared" si="2"/>
        <v>0</v>
      </c>
      <c r="P49" s="26">
        <f t="shared" si="3"/>
        <v>0</v>
      </c>
      <c r="Q49" s="26">
        <f t="shared" si="4"/>
        <v>0</v>
      </c>
    </row>
    <row r="50" spans="2:17" x14ac:dyDescent="0.3">
      <c r="B50" s="2" t="s">
        <v>190</v>
      </c>
      <c r="C50" s="16" t="s">
        <v>256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f t="shared" si="45"/>
        <v>0</v>
      </c>
      <c r="J50" s="1">
        <v>0</v>
      </c>
      <c r="K50" s="1">
        <v>0</v>
      </c>
      <c r="L50" s="26">
        <f t="shared" si="1"/>
        <v>0</v>
      </c>
      <c r="M50" s="1">
        <v>0</v>
      </c>
      <c r="N50" s="1">
        <v>0</v>
      </c>
      <c r="O50" s="26">
        <f t="shared" si="2"/>
        <v>0</v>
      </c>
      <c r="P50" s="26">
        <f t="shared" si="3"/>
        <v>0</v>
      </c>
      <c r="Q50" s="26">
        <f t="shared" si="4"/>
        <v>0</v>
      </c>
    </row>
    <row r="51" spans="2:17" x14ac:dyDescent="0.3">
      <c r="B51" s="3" t="s">
        <v>191</v>
      </c>
      <c r="C51" s="18" t="s">
        <v>257</v>
      </c>
      <c r="D51" s="5">
        <f t="shared" ref="D51:J51" si="46">+D52+D53+D54</f>
        <v>0</v>
      </c>
      <c r="E51" s="5">
        <f t="shared" si="46"/>
        <v>0</v>
      </c>
      <c r="F51" s="5">
        <f t="shared" si="46"/>
        <v>0</v>
      </c>
      <c r="G51" s="5">
        <f t="shared" si="46"/>
        <v>0</v>
      </c>
      <c r="H51" s="5">
        <f t="shared" si="46"/>
        <v>0</v>
      </c>
      <c r="I51" s="5">
        <f t="shared" si="46"/>
        <v>0</v>
      </c>
      <c r="J51" s="5">
        <f t="shared" si="46"/>
        <v>0</v>
      </c>
      <c r="K51" s="5">
        <f t="shared" ref="K51" si="47">+K52+K53+K54</f>
        <v>0</v>
      </c>
      <c r="L51" s="5">
        <f t="shared" si="1"/>
        <v>0</v>
      </c>
      <c r="M51" s="5">
        <f t="shared" ref="M51:N51" si="48">+M52+M53+M54</f>
        <v>0</v>
      </c>
      <c r="N51" s="5">
        <f t="shared" si="48"/>
        <v>0</v>
      </c>
      <c r="O51" s="5">
        <f t="shared" si="2"/>
        <v>0</v>
      </c>
      <c r="P51" s="5">
        <f t="shared" si="3"/>
        <v>0</v>
      </c>
      <c r="Q51" s="5">
        <f t="shared" si="4"/>
        <v>0</v>
      </c>
    </row>
    <row r="52" spans="2:17" x14ac:dyDescent="0.3">
      <c r="B52" s="2" t="s">
        <v>192</v>
      </c>
      <c r="C52" s="16" t="s">
        <v>258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f t="shared" ref="I52:I54" si="49">+D52+E52-F52+G52-H52</f>
        <v>0</v>
      </c>
      <c r="J52" s="1">
        <v>0</v>
      </c>
      <c r="K52" s="1">
        <v>0</v>
      </c>
      <c r="L52" s="26">
        <f t="shared" si="1"/>
        <v>0</v>
      </c>
      <c r="M52" s="1">
        <v>0</v>
      </c>
      <c r="N52" s="1">
        <v>0</v>
      </c>
      <c r="O52" s="26">
        <f t="shared" si="2"/>
        <v>0</v>
      </c>
      <c r="P52" s="26">
        <f t="shared" si="3"/>
        <v>0</v>
      </c>
      <c r="Q52" s="26">
        <f t="shared" si="4"/>
        <v>0</v>
      </c>
    </row>
    <row r="53" spans="2:17" x14ac:dyDescent="0.3">
      <c r="B53" s="2" t="s">
        <v>193</v>
      </c>
      <c r="C53" s="16" t="s">
        <v>259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f t="shared" si="49"/>
        <v>0</v>
      </c>
      <c r="J53" s="1">
        <v>0</v>
      </c>
      <c r="K53" s="1">
        <v>0</v>
      </c>
      <c r="L53" s="26">
        <f t="shared" si="1"/>
        <v>0</v>
      </c>
      <c r="M53" s="1">
        <v>0</v>
      </c>
      <c r="N53" s="1">
        <v>0</v>
      </c>
      <c r="O53" s="26">
        <f t="shared" si="2"/>
        <v>0</v>
      </c>
      <c r="P53" s="26">
        <f t="shared" si="3"/>
        <v>0</v>
      </c>
      <c r="Q53" s="26">
        <f t="shared" si="4"/>
        <v>0</v>
      </c>
    </row>
    <row r="54" spans="2:17" x14ac:dyDescent="0.3">
      <c r="B54" s="2" t="s">
        <v>194</v>
      </c>
      <c r="C54" s="16" t="s">
        <v>260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f t="shared" si="49"/>
        <v>0</v>
      </c>
      <c r="J54" s="1">
        <v>0</v>
      </c>
      <c r="K54" s="1">
        <v>0</v>
      </c>
      <c r="L54" s="26">
        <f t="shared" si="1"/>
        <v>0</v>
      </c>
      <c r="M54" s="1">
        <v>0</v>
      </c>
      <c r="N54" s="1">
        <v>0</v>
      </c>
      <c r="O54" s="26">
        <f t="shared" si="2"/>
        <v>0</v>
      </c>
      <c r="P54" s="26">
        <f t="shared" si="3"/>
        <v>0</v>
      </c>
      <c r="Q54" s="26">
        <f t="shared" si="4"/>
        <v>0</v>
      </c>
    </row>
    <row r="55" spans="2:17" x14ac:dyDescent="0.3">
      <c r="B55" s="3" t="s">
        <v>195</v>
      </c>
      <c r="C55" s="18" t="s">
        <v>261</v>
      </c>
      <c r="D55" s="5">
        <f t="shared" ref="D55:J55" si="50">+D56+D57+D58+D59+D60+D61</f>
        <v>0</v>
      </c>
      <c r="E55" s="5">
        <f t="shared" si="50"/>
        <v>0</v>
      </c>
      <c r="F55" s="5">
        <f t="shared" si="50"/>
        <v>0</v>
      </c>
      <c r="G55" s="5">
        <f t="shared" si="50"/>
        <v>0</v>
      </c>
      <c r="H55" s="5">
        <f t="shared" si="50"/>
        <v>0</v>
      </c>
      <c r="I55" s="5">
        <f t="shared" si="50"/>
        <v>0</v>
      </c>
      <c r="J55" s="5">
        <f t="shared" si="50"/>
        <v>0</v>
      </c>
      <c r="K55" s="5">
        <f t="shared" ref="K55" si="51">+K56+K57+K58+K59+K60+K61</f>
        <v>0</v>
      </c>
      <c r="L55" s="5">
        <f t="shared" si="1"/>
        <v>0</v>
      </c>
      <c r="M55" s="5">
        <f t="shared" ref="M55:N55" si="52">+M56+M57+M58+M59+M60+M61</f>
        <v>0</v>
      </c>
      <c r="N55" s="5">
        <f t="shared" si="52"/>
        <v>0</v>
      </c>
      <c r="O55" s="5">
        <f t="shared" si="2"/>
        <v>0</v>
      </c>
      <c r="P55" s="5">
        <f t="shared" si="3"/>
        <v>0</v>
      </c>
      <c r="Q55" s="5">
        <f t="shared" si="4"/>
        <v>0</v>
      </c>
    </row>
    <row r="56" spans="2:17" x14ac:dyDescent="0.3">
      <c r="B56" s="2" t="s">
        <v>196</v>
      </c>
      <c r="C56" s="16" t="s">
        <v>262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f t="shared" ref="I56:I64" si="53">+D56+E56-F56+G56-H56</f>
        <v>0</v>
      </c>
      <c r="J56" s="1">
        <v>0</v>
      </c>
      <c r="K56" s="1">
        <v>0</v>
      </c>
      <c r="L56" s="26">
        <f t="shared" si="1"/>
        <v>0</v>
      </c>
      <c r="M56" s="1">
        <v>0</v>
      </c>
      <c r="N56" s="1">
        <v>0</v>
      </c>
      <c r="O56" s="26">
        <f t="shared" si="2"/>
        <v>0</v>
      </c>
      <c r="P56" s="26">
        <f t="shared" si="3"/>
        <v>0</v>
      </c>
      <c r="Q56" s="26">
        <f t="shared" si="4"/>
        <v>0</v>
      </c>
    </row>
    <row r="57" spans="2:17" x14ac:dyDescent="0.3">
      <c r="B57" s="2" t="s">
        <v>197</v>
      </c>
      <c r="C57" s="16" t="s">
        <v>263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f t="shared" si="53"/>
        <v>0</v>
      </c>
      <c r="J57" s="1">
        <v>0</v>
      </c>
      <c r="K57" s="1">
        <v>0</v>
      </c>
      <c r="L57" s="26">
        <f t="shared" si="1"/>
        <v>0</v>
      </c>
      <c r="M57" s="1">
        <v>0</v>
      </c>
      <c r="N57" s="1">
        <v>0</v>
      </c>
      <c r="O57" s="26">
        <f t="shared" si="2"/>
        <v>0</v>
      </c>
      <c r="P57" s="26">
        <f t="shared" si="3"/>
        <v>0</v>
      </c>
      <c r="Q57" s="26">
        <f t="shared" si="4"/>
        <v>0</v>
      </c>
    </row>
    <row r="58" spans="2:17" x14ac:dyDescent="0.3">
      <c r="B58" s="2" t="s">
        <v>198</v>
      </c>
      <c r="C58" s="16" t="s">
        <v>264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f t="shared" si="53"/>
        <v>0</v>
      </c>
      <c r="J58" s="1">
        <v>0</v>
      </c>
      <c r="K58" s="1">
        <v>0</v>
      </c>
      <c r="L58" s="26">
        <f t="shared" si="1"/>
        <v>0</v>
      </c>
      <c r="M58" s="1">
        <v>0</v>
      </c>
      <c r="N58" s="1">
        <v>0</v>
      </c>
      <c r="O58" s="26">
        <f t="shared" si="2"/>
        <v>0</v>
      </c>
      <c r="P58" s="26">
        <f t="shared" si="3"/>
        <v>0</v>
      </c>
      <c r="Q58" s="26">
        <f t="shared" si="4"/>
        <v>0</v>
      </c>
    </row>
    <row r="59" spans="2:17" x14ac:dyDescent="0.3">
      <c r="B59" s="2" t="s">
        <v>199</v>
      </c>
      <c r="C59" s="16" t="s">
        <v>265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f t="shared" si="53"/>
        <v>0</v>
      </c>
      <c r="J59" s="1">
        <v>0</v>
      </c>
      <c r="K59" s="1">
        <v>0</v>
      </c>
      <c r="L59" s="26">
        <f t="shared" si="1"/>
        <v>0</v>
      </c>
      <c r="M59" s="1">
        <v>0</v>
      </c>
      <c r="N59" s="1">
        <v>0</v>
      </c>
      <c r="O59" s="26">
        <f t="shared" si="2"/>
        <v>0</v>
      </c>
      <c r="P59" s="26">
        <f t="shared" si="3"/>
        <v>0</v>
      </c>
      <c r="Q59" s="26">
        <f t="shared" si="4"/>
        <v>0</v>
      </c>
    </row>
    <row r="60" spans="2:17" x14ac:dyDescent="0.3">
      <c r="B60" s="2" t="s">
        <v>200</v>
      </c>
      <c r="C60" s="16" t="s">
        <v>357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f t="shared" si="53"/>
        <v>0</v>
      </c>
      <c r="J60" s="1">
        <v>0</v>
      </c>
      <c r="K60" s="1">
        <v>0</v>
      </c>
      <c r="L60" s="26">
        <f t="shared" si="1"/>
        <v>0</v>
      </c>
      <c r="M60" s="1">
        <v>0</v>
      </c>
      <c r="N60" s="1">
        <v>0</v>
      </c>
      <c r="O60" s="26">
        <f t="shared" si="2"/>
        <v>0</v>
      </c>
      <c r="P60" s="26">
        <f t="shared" si="3"/>
        <v>0</v>
      </c>
      <c r="Q60" s="26">
        <f t="shared" si="4"/>
        <v>0</v>
      </c>
    </row>
    <row r="61" spans="2:17" x14ac:dyDescent="0.3">
      <c r="B61" s="2" t="s">
        <v>201</v>
      </c>
      <c r="C61" s="16" t="s">
        <v>266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f t="shared" si="53"/>
        <v>0</v>
      </c>
      <c r="J61" s="1">
        <v>0</v>
      </c>
      <c r="K61" s="1">
        <v>0</v>
      </c>
      <c r="L61" s="26">
        <f t="shared" si="1"/>
        <v>0</v>
      </c>
      <c r="M61" s="1">
        <v>0</v>
      </c>
      <c r="N61" s="1">
        <v>0</v>
      </c>
      <c r="O61" s="26">
        <f t="shared" si="2"/>
        <v>0</v>
      </c>
      <c r="P61" s="26">
        <f t="shared" si="3"/>
        <v>0</v>
      </c>
      <c r="Q61" s="26">
        <f t="shared" si="4"/>
        <v>0</v>
      </c>
    </row>
    <row r="62" spans="2:17" x14ac:dyDescent="0.3">
      <c r="B62" s="2" t="s">
        <v>202</v>
      </c>
      <c r="C62" s="16" t="s">
        <v>267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f t="shared" si="53"/>
        <v>0</v>
      </c>
      <c r="J62" s="1">
        <v>0</v>
      </c>
      <c r="K62" s="1">
        <v>0</v>
      </c>
      <c r="L62" s="26">
        <f t="shared" si="1"/>
        <v>0</v>
      </c>
      <c r="M62" s="1">
        <v>0</v>
      </c>
      <c r="N62" s="1">
        <v>0</v>
      </c>
      <c r="O62" s="26">
        <f t="shared" si="2"/>
        <v>0</v>
      </c>
      <c r="P62" s="26">
        <f t="shared" si="3"/>
        <v>0</v>
      </c>
      <c r="Q62" s="26">
        <f t="shared" si="4"/>
        <v>0</v>
      </c>
    </row>
    <row r="63" spans="2:17" x14ac:dyDescent="0.3">
      <c r="B63" s="2" t="s">
        <v>203</v>
      </c>
      <c r="C63" s="16" t="s">
        <v>362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f t="shared" si="53"/>
        <v>0</v>
      </c>
      <c r="J63" s="1">
        <v>0</v>
      </c>
      <c r="K63" s="1">
        <v>0</v>
      </c>
      <c r="L63" s="26">
        <f t="shared" si="1"/>
        <v>0</v>
      </c>
      <c r="M63" s="1">
        <v>0</v>
      </c>
      <c r="N63" s="1">
        <v>0</v>
      </c>
      <c r="O63" s="26">
        <f t="shared" si="2"/>
        <v>0</v>
      </c>
      <c r="P63" s="26">
        <f t="shared" si="3"/>
        <v>0</v>
      </c>
      <c r="Q63" s="26">
        <f t="shared" si="4"/>
        <v>0</v>
      </c>
    </row>
    <row r="64" spans="2:17" x14ac:dyDescent="0.3">
      <c r="B64" s="2" t="s">
        <v>204</v>
      </c>
      <c r="C64" s="16" t="s">
        <v>361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f t="shared" si="53"/>
        <v>0</v>
      </c>
      <c r="J64" s="1">
        <v>0</v>
      </c>
      <c r="K64" s="1">
        <v>0</v>
      </c>
      <c r="L64" s="26">
        <f t="shared" si="1"/>
        <v>0</v>
      </c>
      <c r="M64" s="1">
        <v>0</v>
      </c>
      <c r="N64" s="1">
        <v>0</v>
      </c>
      <c r="O64" s="26">
        <f t="shared" si="2"/>
        <v>0</v>
      </c>
      <c r="P64" s="26">
        <f t="shared" si="3"/>
        <v>0</v>
      </c>
      <c r="Q64" s="26">
        <f t="shared" si="4"/>
        <v>0</v>
      </c>
    </row>
    <row r="65" spans="2:17" x14ac:dyDescent="0.3">
      <c r="B65" s="3" t="s">
        <v>205</v>
      </c>
      <c r="C65" s="18" t="s">
        <v>268</v>
      </c>
      <c r="D65" s="5">
        <f t="shared" ref="D65:J65" si="54">+D66+D73</f>
        <v>0</v>
      </c>
      <c r="E65" s="5">
        <f t="shared" si="54"/>
        <v>0</v>
      </c>
      <c r="F65" s="5">
        <f t="shared" si="54"/>
        <v>0</v>
      </c>
      <c r="G65" s="5">
        <f t="shared" si="54"/>
        <v>0</v>
      </c>
      <c r="H65" s="5">
        <f t="shared" si="54"/>
        <v>0</v>
      </c>
      <c r="I65" s="5">
        <f t="shared" si="54"/>
        <v>0</v>
      </c>
      <c r="J65" s="5">
        <f t="shared" si="54"/>
        <v>0</v>
      </c>
      <c r="K65" s="5">
        <f t="shared" ref="K65" si="55">+K66+K73</f>
        <v>0</v>
      </c>
      <c r="L65" s="5">
        <f t="shared" si="1"/>
        <v>0</v>
      </c>
      <c r="M65" s="5">
        <f t="shared" ref="M65:N65" si="56">+M66+M73</f>
        <v>0</v>
      </c>
      <c r="N65" s="5">
        <f t="shared" si="56"/>
        <v>0</v>
      </c>
      <c r="O65" s="5">
        <f t="shared" si="2"/>
        <v>0</v>
      </c>
      <c r="P65" s="5">
        <f t="shared" si="3"/>
        <v>0</v>
      </c>
      <c r="Q65" s="5">
        <f t="shared" si="4"/>
        <v>0</v>
      </c>
    </row>
    <row r="66" spans="2:17" x14ac:dyDescent="0.3">
      <c r="B66" s="3" t="s">
        <v>206</v>
      </c>
      <c r="C66" s="18" t="s">
        <v>269</v>
      </c>
      <c r="D66" s="5">
        <f t="shared" ref="D66:J66" si="57">+D67+D70</f>
        <v>0</v>
      </c>
      <c r="E66" s="5">
        <f t="shared" si="57"/>
        <v>0</v>
      </c>
      <c r="F66" s="5">
        <f t="shared" si="57"/>
        <v>0</v>
      </c>
      <c r="G66" s="5">
        <f t="shared" si="57"/>
        <v>0</v>
      </c>
      <c r="H66" s="5">
        <f t="shared" si="57"/>
        <v>0</v>
      </c>
      <c r="I66" s="5">
        <f t="shared" si="57"/>
        <v>0</v>
      </c>
      <c r="J66" s="5">
        <f t="shared" si="57"/>
        <v>0</v>
      </c>
      <c r="K66" s="5">
        <f t="shared" ref="K66" si="58">+K67+K70</f>
        <v>0</v>
      </c>
      <c r="L66" s="5">
        <f t="shared" si="1"/>
        <v>0</v>
      </c>
      <c r="M66" s="5">
        <f t="shared" ref="M66:N66" si="59">+M67+M70</f>
        <v>0</v>
      </c>
      <c r="N66" s="5">
        <f t="shared" si="59"/>
        <v>0</v>
      </c>
      <c r="O66" s="5">
        <f t="shared" si="2"/>
        <v>0</v>
      </c>
      <c r="P66" s="5">
        <f t="shared" si="3"/>
        <v>0</v>
      </c>
      <c r="Q66" s="5">
        <f t="shared" si="4"/>
        <v>0</v>
      </c>
    </row>
    <row r="67" spans="2:17" x14ac:dyDescent="0.3">
      <c r="B67" s="3" t="s">
        <v>207</v>
      </c>
      <c r="C67" s="18" t="s">
        <v>270</v>
      </c>
      <c r="D67" s="5">
        <f t="shared" ref="D67:J67" si="60">+D68+D69</f>
        <v>0</v>
      </c>
      <c r="E67" s="5">
        <f t="shared" si="60"/>
        <v>0</v>
      </c>
      <c r="F67" s="5">
        <f t="shared" si="60"/>
        <v>0</v>
      </c>
      <c r="G67" s="5">
        <f t="shared" si="60"/>
        <v>0</v>
      </c>
      <c r="H67" s="5">
        <f t="shared" si="60"/>
        <v>0</v>
      </c>
      <c r="I67" s="5">
        <f t="shared" si="60"/>
        <v>0</v>
      </c>
      <c r="J67" s="5">
        <f t="shared" si="60"/>
        <v>0</v>
      </c>
      <c r="K67" s="5">
        <f t="shared" ref="K67" si="61">+K68+K69</f>
        <v>0</v>
      </c>
      <c r="L67" s="5">
        <f t="shared" si="1"/>
        <v>0</v>
      </c>
      <c r="M67" s="5">
        <f t="shared" ref="M67:N67" si="62">+M68+M69</f>
        <v>0</v>
      </c>
      <c r="N67" s="5">
        <f t="shared" si="62"/>
        <v>0</v>
      </c>
      <c r="O67" s="5">
        <f t="shared" si="2"/>
        <v>0</v>
      </c>
      <c r="P67" s="5">
        <f t="shared" si="3"/>
        <v>0</v>
      </c>
      <c r="Q67" s="5">
        <f t="shared" si="4"/>
        <v>0</v>
      </c>
    </row>
    <row r="68" spans="2:17" x14ac:dyDescent="0.3">
      <c r="B68" s="2" t="s">
        <v>208</v>
      </c>
      <c r="C68" s="16" t="s">
        <v>274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f t="shared" ref="I68:I69" si="63">+D68+E68-F68+G68-H68</f>
        <v>0</v>
      </c>
      <c r="J68" s="1">
        <v>0</v>
      </c>
      <c r="K68" s="1">
        <v>0</v>
      </c>
      <c r="L68" s="26">
        <f t="shared" si="1"/>
        <v>0</v>
      </c>
      <c r="M68" s="1">
        <v>0</v>
      </c>
      <c r="N68" s="1">
        <v>0</v>
      </c>
      <c r="O68" s="26">
        <f t="shared" si="2"/>
        <v>0</v>
      </c>
      <c r="P68" s="26">
        <f t="shared" si="3"/>
        <v>0</v>
      </c>
      <c r="Q68" s="26">
        <f t="shared" si="4"/>
        <v>0</v>
      </c>
    </row>
    <row r="69" spans="2:17" x14ac:dyDescent="0.3">
      <c r="B69" s="2" t="s">
        <v>209</v>
      </c>
      <c r="C69" s="16" t="s">
        <v>272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f t="shared" si="63"/>
        <v>0</v>
      </c>
      <c r="J69" s="1">
        <v>0</v>
      </c>
      <c r="K69" s="1">
        <v>0</v>
      </c>
      <c r="L69" s="26">
        <f t="shared" si="1"/>
        <v>0</v>
      </c>
      <c r="M69" s="1">
        <v>0</v>
      </c>
      <c r="N69" s="1">
        <v>0</v>
      </c>
      <c r="O69" s="26">
        <f t="shared" si="2"/>
        <v>0</v>
      </c>
      <c r="P69" s="26">
        <f t="shared" si="3"/>
        <v>0</v>
      </c>
      <c r="Q69" s="26">
        <f t="shared" si="4"/>
        <v>0</v>
      </c>
    </row>
    <row r="70" spans="2:17" x14ac:dyDescent="0.3">
      <c r="B70" s="3" t="s">
        <v>275</v>
      </c>
      <c r="C70" s="18" t="s">
        <v>273</v>
      </c>
      <c r="D70" s="5">
        <f t="shared" ref="D70:J70" si="64">+D71+D72</f>
        <v>0</v>
      </c>
      <c r="E70" s="5">
        <f t="shared" si="64"/>
        <v>0</v>
      </c>
      <c r="F70" s="5">
        <f t="shared" si="64"/>
        <v>0</v>
      </c>
      <c r="G70" s="5">
        <f t="shared" si="64"/>
        <v>0</v>
      </c>
      <c r="H70" s="5">
        <f t="shared" si="64"/>
        <v>0</v>
      </c>
      <c r="I70" s="5">
        <f t="shared" si="64"/>
        <v>0</v>
      </c>
      <c r="J70" s="5">
        <f t="shared" si="64"/>
        <v>0</v>
      </c>
      <c r="K70" s="5">
        <f t="shared" ref="K70" si="65">+K71+K72</f>
        <v>0</v>
      </c>
      <c r="L70" s="5">
        <f t="shared" ref="L70:L116" si="66">+J70+K70</f>
        <v>0</v>
      </c>
      <c r="M70" s="5">
        <f t="shared" ref="M70:N70" si="67">+M71+M72</f>
        <v>0</v>
      </c>
      <c r="N70" s="5">
        <f t="shared" si="67"/>
        <v>0</v>
      </c>
      <c r="O70" s="5">
        <f t="shared" ref="O70:O116" si="68">+M70+N70</f>
        <v>0</v>
      </c>
      <c r="P70" s="5">
        <f t="shared" ref="P70:P116" si="69">+I70-L70</f>
        <v>0</v>
      </c>
      <c r="Q70" s="5">
        <f t="shared" ref="Q70:Q116" si="70">+L70-O70</f>
        <v>0</v>
      </c>
    </row>
    <row r="71" spans="2:17" x14ac:dyDescent="0.3">
      <c r="B71" s="2" t="s">
        <v>276</v>
      </c>
      <c r="C71" s="16" t="s">
        <v>271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f t="shared" ref="I71:I72" si="71">+D71+E71-F71+G71-H71</f>
        <v>0</v>
      </c>
      <c r="J71" s="1">
        <v>0</v>
      </c>
      <c r="K71" s="1">
        <v>0</v>
      </c>
      <c r="L71" s="26">
        <f t="shared" si="66"/>
        <v>0</v>
      </c>
      <c r="M71" s="1">
        <v>0</v>
      </c>
      <c r="N71" s="1">
        <v>0</v>
      </c>
      <c r="O71" s="26">
        <f t="shared" si="68"/>
        <v>0</v>
      </c>
      <c r="P71" s="26">
        <f t="shared" si="69"/>
        <v>0</v>
      </c>
      <c r="Q71" s="26">
        <f t="shared" si="70"/>
        <v>0</v>
      </c>
    </row>
    <row r="72" spans="2:17" x14ac:dyDescent="0.3">
      <c r="B72" s="2" t="s">
        <v>277</v>
      </c>
      <c r="C72" s="16" t="s">
        <v>278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f t="shared" si="71"/>
        <v>0</v>
      </c>
      <c r="J72" s="1">
        <v>0</v>
      </c>
      <c r="K72" s="1">
        <v>0</v>
      </c>
      <c r="L72" s="26">
        <f t="shared" si="66"/>
        <v>0</v>
      </c>
      <c r="M72" s="1">
        <v>0</v>
      </c>
      <c r="N72" s="1">
        <v>0</v>
      </c>
      <c r="O72" s="26">
        <f t="shared" si="68"/>
        <v>0</v>
      </c>
      <c r="P72" s="26">
        <f t="shared" si="69"/>
        <v>0</v>
      </c>
      <c r="Q72" s="26">
        <f t="shared" si="70"/>
        <v>0</v>
      </c>
    </row>
    <row r="73" spans="2:17" x14ac:dyDescent="0.3">
      <c r="B73" s="3" t="s">
        <v>210</v>
      </c>
      <c r="C73" s="18" t="s">
        <v>279</v>
      </c>
      <c r="D73" s="5">
        <f t="shared" ref="D73:N73" si="72">+D74</f>
        <v>0</v>
      </c>
      <c r="E73" s="5">
        <f t="shared" si="72"/>
        <v>0</v>
      </c>
      <c r="F73" s="5">
        <f t="shared" si="72"/>
        <v>0</v>
      </c>
      <c r="G73" s="5">
        <f t="shared" si="72"/>
        <v>0</v>
      </c>
      <c r="H73" s="5">
        <f t="shared" si="72"/>
        <v>0</v>
      </c>
      <c r="I73" s="5">
        <f t="shared" si="72"/>
        <v>0</v>
      </c>
      <c r="J73" s="5">
        <f t="shared" si="72"/>
        <v>0</v>
      </c>
      <c r="K73" s="5">
        <f t="shared" si="72"/>
        <v>0</v>
      </c>
      <c r="L73" s="5">
        <f t="shared" si="66"/>
        <v>0</v>
      </c>
      <c r="M73" s="5">
        <f t="shared" si="72"/>
        <v>0</v>
      </c>
      <c r="N73" s="5">
        <f t="shared" si="72"/>
        <v>0</v>
      </c>
      <c r="O73" s="5">
        <f t="shared" si="68"/>
        <v>0</v>
      </c>
      <c r="P73" s="5">
        <f t="shared" si="69"/>
        <v>0</v>
      </c>
      <c r="Q73" s="5">
        <f t="shared" si="70"/>
        <v>0</v>
      </c>
    </row>
    <row r="74" spans="2:17" x14ac:dyDescent="0.3">
      <c r="B74" s="2" t="s">
        <v>211</v>
      </c>
      <c r="C74" s="16" t="s">
        <v>356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f t="shared" ref="I74" si="73">+D74+E74-F74+G74-H74</f>
        <v>0</v>
      </c>
      <c r="J74" s="1">
        <v>0</v>
      </c>
      <c r="K74" s="1">
        <v>0</v>
      </c>
      <c r="L74" s="26">
        <f t="shared" si="66"/>
        <v>0</v>
      </c>
      <c r="M74" s="1">
        <v>0</v>
      </c>
      <c r="N74" s="1">
        <v>0</v>
      </c>
      <c r="O74" s="26">
        <f t="shared" si="68"/>
        <v>0</v>
      </c>
      <c r="P74" s="26">
        <f t="shared" si="69"/>
        <v>0</v>
      </c>
      <c r="Q74" s="26">
        <f t="shared" si="70"/>
        <v>0</v>
      </c>
    </row>
    <row r="75" spans="2:17" x14ac:dyDescent="0.3">
      <c r="B75" s="10" t="s">
        <v>212</v>
      </c>
      <c r="C75" s="17" t="s">
        <v>280</v>
      </c>
      <c r="D75" s="9">
        <f t="shared" ref="D75:K75" si="74">+D76+D89</f>
        <v>78021300</v>
      </c>
      <c r="E75" s="9">
        <f t="shared" si="74"/>
        <v>0</v>
      </c>
      <c r="F75" s="9">
        <f t="shared" si="74"/>
        <v>0</v>
      </c>
      <c r="G75" s="9">
        <f t="shared" si="74"/>
        <v>0</v>
      </c>
      <c r="H75" s="9">
        <f t="shared" si="74"/>
        <v>0</v>
      </c>
      <c r="I75" s="9">
        <f t="shared" si="74"/>
        <v>78021300</v>
      </c>
      <c r="J75" s="9">
        <f t="shared" si="74"/>
        <v>0</v>
      </c>
      <c r="K75" s="9">
        <f t="shared" si="74"/>
        <v>0</v>
      </c>
      <c r="L75" s="9">
        <f t="shared" si="66"/>
        <v>0</v>
      </c>
      <c r="M75" s="9">
        <f>+M76+M89</f>
        <v>0</v>
      </c>
      <c r="N75" s="9">
        <f>+N76+N89</f>
        <v>0</v>
      </c>
      <c r="O75" s="9">
        <f t="shared" si="68"/>
        <v>0</v>
      </c>
      <c r="P75" s="9">
        <f t="shared" si="69"/>
        <v>78021300</v>
      </c>
      <c r="Q75" s="9">
        <f t="shared" si="70"/>
        <v>0</v>
      </c>
    </row>
    <row r="76" spans="2:17" x14ac:dyDescent="0.3">
      <c r="B76" s="3" t="s">
        <v>213</v>
      </c>
      <c r="C76" s="18" t="s">
        <v>281</v>
      </c>
      <c r="D76" s="5">
        <f t="shared" ref="D76:J76" si="75">+D77+D80</f>
        <v>5000000</v>
      </c>
      <c r="E76" s="5">
        <f t="shared" si="75"/>
        <v>0</v>
      </c>
      <c r="F76" s="5">
        <f t="shared" si="75"/>
        <v>0</v>
      </c>
      <c r="G76" s="5">
        <f t="shared" si="75"/>
        <v>0</v>
      </c>
      <c r="H76" s="5">
        <f t="shared" si="75"/>
        <v>0</v>
      </c>
      <c r="I76" s="5">
        <f t="shared" si="75"/>
        <v>5000000</v>
      </c>
      <c r="J76" s="5">
        <f t="shared" si="75"/>
        <v>0</v>
      </c>
      <c r="K76" s="5">
        <f t="shared" ref="K76" si="76">+K77+K80</f>
        <v>0</v>
      </c>
      <c r="L76" s="5">
        <f t="shared" si="66"/>
        <v>0</v>
      </c>
      <c r="M76" s="5">
        <f t="shared" ref="M76:N76" si="77">+M77+M80</f>
        <v>0</v>
      </c>
      <c r="N76" s="5">
        <f t="shared" si="77"/>
        <v>0</v>
      </c>
      <c r="O76" s="5">
        <f t="shared" si="68"/>
        <v>0</v>
      </c>
      <c r="P76" s="5">
        <f t="shared" si="69"/>
        <v>5000000</v>
      </c>
      <c r="Q76" s="5">
        <f t="shared" si="70"/>
        <v>0</v>
      </c>
    </row>
    <row r="77" spans="2:17" x14ac:dyDescent="0.3">
      <c r="B77" s="3" t="s">
        <v>214</v>
      </c>
      <c r="C77" s="18" t="s">
        <v>282</v>
      </c>
      <c r="D77" s="5">
        <f t="shared" ref="D77:J77" si="78">+D78+D79</f>
        <v>0</v>
      </c>
      <c r="E77" s="5">
        <f t="shared" si="78"/>
        <v>0</v>
      </c>
      <c r="F77" s="5">
        <f t="shared" si="78"/>
        <v>0</v>
      </c>
      <c r="G77" s="5">
        <f t="shared" si="78"/>
        <v>0</v>
      </c>
      <c r="H77" s="5">
        <f t="shared" si="78"/>
        <v>0</v>
      </c>
      <c r="I77" s="5">
        <f t="shared" si="78"/>
        <v>0</v>
      </c>
      <c r="J77" s="5">
        <f t="shared" si="78"/>
        <v>0</v>
      </c>
      <c r="K77" s="5">
        <f t="shared" ref="K77" si="79">+K78+K79</f>
        <v>0</v>
      </c>
      <c r="L77" s="5">
        <f t="shared" si="66"/>
        <v>0</v>
      </c>
      <c r="M77" s="5">
        <f t="shared" ref="M77:N77" si="80">+M78+M79</f>
        <v>0</v>
      </c>
      <c r="N77" s="5">
        <f t="shared" si="80"/>
        <v>0</v>
      </c>
      <c r="O77" s="5">
        <f t="shared" si="68"/>
        <v>0</v>
      </c>
      <c r="P77" s="5">
        <f t="shared" si="69"/>
        <v>0</v>
      </c>
      <c r="Q77" s="5">
        <f t="shared" si="70"/>
        <v>0</v>
      </c>
    </row>
    <row r="78" spans="2:17" x14ac:dyDescent="0.3">
      <c r="B78" s="2" t="s">
        <v>215</v>
      </c>
      <c r="C78" s="16" t="s">
        <v>283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f t="shared" ref="I78:I79" si="81">+D78+E78-F78+G78-H78</f>
        <v>0</v>
      </c>
      <c r="J78" s="1">
        <v>0</v>
      </c>
      <c r="K78" s="1">
        <v>0</v>
      </c>
      <c r="L78" s="26">
        <f t="shared" si="66"/>
        <v>0</v>
      </c>
      <c r="M78" s="1">
        <v>0</v>
      </c>
      <c r="N78" s="1">
        <v>0</v>
      </c>
      <c r="O78" s="26">
        <f t="shared" si="68"/>
        <v>0</v>
      </c>
      <c r="P78" s="26">
        <f t="shared" si="69"/>
        <v>0</v>
      </c>
      <c r="Q78" s="26">
        <f t="shared" si="70"/>
        <v>0</v>
      </c>
    </row>
    <row r="79" spans="2:17" x14ac:dyDescent="0.3">
      <c r="B79" s="2" t="s">
        <v>216</v>
      </c>
      <c r="C79" s="16" t="s">
        <v>284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f t="shared" si="81"/>
        <v>0</v>
      </c>
      <c r="J79" s="1">
        <v>0</v>
      </c>
      <c r="K79" s="1">
        <v>0</v>
      </c>
      <c r="L79" s="26">
        <f t="shared" si="66"/>
        <v>0</v>
      </c>
      <c r="M79" s="1">
        <v>0</v>
      </c>
      <c r="N79" s="1">
        <v>0</v>
      </c>
      <c r="O79" s="26">
        <f t="shared" si="68"/>
        <v>0</v>
      </c>
      <c r="P79" s="26">
        <f t="shared" si="69"/>
        <v>0</v>
      </c>
      <c r="Q79" s="26">
        <f t="shared" si="70"/>
        <v>0</v>
      </c>
    </row>
    <row r="80" spans="2:17" x14ac:dyDescent="0.3">
      <c r="B80" s="3" t="s">
        <v>217</v>
      </c>
      <c r="C80" s="18" t="s">
        <v>285</v>
      </c>
      <c r="D80" s="5">
        <f>+D81+D82+D83+D84+D85+D86+D87+D88</f>
        <v>5000000</v>
      </c>
      <c r="E80" s="5">
        <f t="shared" ref="E80:I80" si="82">+E81+E82+E83+E84+E85+E86+E87+E88</f>
        <v>0</v>
      </c>
      <c r="F80" s="5">
        <f t="shared" si="82"/>
        <v>0</v>
      </c>
      <c r="G80" s="5">
        <f t="shared" si="82"/>
        <v>0</v>
      </c>
      <c r="H80" s="5">
        <f t="shared" si="82"/>
        <v>0</v>
      </c>
      <c r="I80" s="5">
        <f t="shared" si="82"/>
        <v>5000000</v>
      </c>
      <c r="J80" s="5">
        <f t="shared" ref="J80" si="83">+J81+J82+J83+J84+J85+J86+J87+J88</f>
        <v>0</v>
      </c>
      <c r="K80" s="5">
        <f t="shared" ref="K80" si="84">+K81+K82+K83+K84+K85+K86+K87+K88</f>
        <v>0</v>
      </c>
      <c r="L80" s="5">
        <f>+J80+K80</f>
        <v>0</v>
      </c>
      <c r="M80" s="5">
        <f>+M81+M82+M83+M84+M85+M86+M87+M88</f>
        <v>0</v>
      </c>
      <c r="N80" s="5">
        <f>+N81+N82+N83+N84+N85+N86+N87+N88</f>
        <v>0</v>
      </c>
      <c r="O80" s="5">
        <f t="shared" si="68"/>
        <v>0</v>
      </c>
      <c r="P80" s="5">
        <f t="shared" si="69"/>
        <v>5000000</v>
      </c>
      <c r="Q80" s="5">
        <f t="shared" si="70"/>
        <v>0</v>
      </c>
    </row>
    <row r="81" spans="2:17" x14ac:dyDescent="0.3">
      <c r="B81" s="2" t="s">
        <v>218</v>
      </c>
      <c r="C81" s="16" t="s">
        <v>286</v>
      </c>
      <c r="D81" s="1">
        <v>2000000</v>
      </c>
      <c r="E81" s="1">
        <v>0</v>
      </c>
      <c r="F81" s="1">
        <v>0</v>
      </c>
      <c r="G81" s="1">
        <v>0</v>
      </c>
      <c r="H81" s="1">
        <v>0</v>
      </c>
      <c r="I81" s="1">
        <f>+D81+E81-F81+G81-H81</f>
        <v>2000000</v>
      </c>
      <c r="J81" s="1">
        <v>0</v>
      </c>
      <c r="K81" s="1">
        <v>0</v>
      </c>
      <c r="L81" s="26">
        <f t="shared" si="66"/>
        <v>0</v>
      </c>
      <c r="M81" s="1">
        <v>0</v>
      </c>
      <c r="N81" s="1">
        <v>0</v>
      </c>
      <c r="O81" s="26">
        <f t="shared" si="68"/>
        <v>0</v>
      </c>
      <c r="P81" s="26">
        <f t="shared" si="69"/>
        <v>2000000</v>
      </c>
      <c r="Q81" s="26">
        <f t="shared" si="70"/>
        <v>0</v>
      </c>
    </row>
    <row r="82" spans="2:17" x14ac:dyDescent="0.3">
      <c r="B82" s="2" t="s">
        <v>219</v>
      </c>
      <c r="C82" s="16" t="s">
        <v>287</v>
      </c>
      <c r="D82" s="1">
        <v>3000000</v>
      </c>
      <c r="E82" s="1">
        <v>0</v>
      </c>
      <c r="F82" s="1">
        <v>0</v>
      </c>
      <c r="G82" s="1">
        <v>0</v>
      </c>
      <c r="H82" s="1">
        <v>0</v>
      </c>
      <c r="I82" s="1">
        <f t="shared" ref="I82:I88" si="85">+D82+E82-F82+G82-H82</f>
        <v>3000000</v>
      </c>
      <c r="J82" s="1">
        <v>0</v>
      </c>
      <c r="K82" s="1">
        <v>0</v>
      </c>
      <c r="L82" s="26">
        <f t="shared" si="66"/>
        <v>0</v>
      </c>
      <c r="M82" s="1">
        <v>0</v>
      </c>
      <c r="N82" s="1">
        <v>0</v>
      </c>
      <c r="O82" s="26">
        <f t="shared" si="68"/>
        <v>0</v>
      </c>
      <c r="P82" s="26">
        <f t="shared" si="69"/>
        <v>3000000</v>
      </c>
      <c r="Q82" s="26">
        <f t="shared" si="70"/>
        <v>0</v>
      </c>
    </row>
    <row r="83" spans="2:17" x14ac:dyDescent="0.3">
      <c r="B83" s="2" t="s">
        <v>220</v>
      </c>
      <c r="C83" s="16" t="s">
        <v>358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f t="shared" si="85"/>
        <v>0</v>
      </c>
      <c r="J83" s="1">
        <v>0</v>
      </c>
      <c r="K83" s="1">
        <v>0</v>
      </c>
      <c r="L83" s="26">
        <f t="shared" si="66"/>
        <v>0</v>
      </c>
      <c r="M83" s="1">
        <v>0</v>
      </c>
      <c r="N83" s="1">
        <v>0</v>
      </c>
      <c r="O83" s="26">
        <f t="shared" si="68"/>
        <v>0</v>
      </c>
      <c r="P83" s="26">
        <f t="shared" si="69"/>
        <v>0</v>
      </c>
      <c r="Q83" s="26">
        <f t="shared" si="70"/>
        <v>0</v>
      </c>
    </row>
    <row r="84" spans="2:17" x14ac:dyDescent="0.3">
      <c r="B84" s="2" t="s">
        <v>221</v>
      </c>
      <c r="C84" s="16" t="s">
        <v>288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f t="shared" si="85"/>
        <v>0</v>
      </c>
      <c r="J84" s="1">
        <v>0</v>
      </c>
      <c r="K84" s="1">
        <v>0</v>
      </c>
      <c r="L84" s="26">
        <f t="shared" si="66"/>
        <v>0</v>
      </c>
      <c r="M84" s="1">
        <v>0</v>
      </c>
      <c r="N84" s="1">
        <v>0</v>
      </c>
      <c r="O84" s="26">
        <f t="shared" si="68"/>
        <v>0</v>
      </c>
      <c r="P84" s="26">
        <f t="shared" si="69"/>
        <v>0</v>
      </c>
      <c r="Q84" s="26">
        <f t="shared" si="70"/>
        <v>0</v>
      </c>
    </row>
    <row r="85" spans="2:17" x14ac:dyDescent="0.3">
      <c r="B85" s="2" t="s">
        <v>222</v>
      </c>
      <c r="C85" s="16" t="s">
        <v>289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f t="shared" si="85"/>
        <v>0</v>
      </c>
      <c r="J85" s="1">
        <v>0</v>
      </c>
      <c r="K85" s="1">
        <v>0</v>
      </c>
      <c r="L85" s="26">
        <f t="shared" si="66"/>
        <v>0</v>
      </c>
      <c r="M85" s="1">
        <v>0</v>
      </c>
      <c r="N85" s="1">
        <v>0</v>
      </c>
      <c r="O85" s="26">
        <f t="shared" si="68"/>
        <v>0</v>
      </c>
      <c r="P85" s="26">
        <f t="shared" si="69"/>
        <v>0</v>
      </c>
      <c r="Q85" s="26">
        <f t="shared" si="70"/>
        <v>0</v>
      </c>
    </row>
    <row r="86" spans="2:17" x14ac:dyDescent="0.3">
      <c r="B86" s="2" t="s">
        <v>223</v>
      </c>
      <c r="C86" s="16" t="s">
        <v>290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f t="shared" si="85"/>
        <v>0</v>
      </c>
      <c r="J86" s="1">
        <v>0</v>
      </c>
      <c r="K86" s="1">
        <v>0</v>
      </c>
      <c r="L86" s="26">
        <f t="shared" si="66"/>
        <v>0</v>
      </c>
      <c r="M86" s="1">
        <v>0</v>
      </c>
      <c r="N86" s="1">
        <v>0</v>
      </c>
      <c r="O86" s="26">
        <f t="shared" si="68"/>
        <v>0</v>
      </c>
      <c r="P86" s="26">
        <f t="shared" si="69"/>
        <v>0</v>
      </c>
      <c r="Q86" s="26">
        <f t="shared" si="70"/>
        <v>0</v>
      </c>
    </row>
    <row r="87" spans="2:17" x14ac:dyDescent="0.3">
      <c r="B87" s="2" t="s">
        <v>224</v>
      </c>
      <c r="C87" s="16" t="s">
        <v>291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f t="shared" si="85"/>
        <v>0</v>
      </c>
      <c r="J87" s="1">
        <v>0</v>
      </c>
      <c r="K87" s="1">
        <v>0</v>
      </c>
      <c r="L87" s="26">
        <f t="shared" si="66"/>
        <v>0</v>
      </c>
      <c r="M87" s="1">
        <v>0</v>
      </c>
      <c r="N87" s="1">
        <v>0</v>
      </c>
      <c r="O87" s="26">
        <f t="shared" si="68"/>
        <v>0</v>
      </c>
      <c r="P87" s="26">
        <f t="shared" si="69"/>
        <v>0</v>
      </c>
      <c r="Q87" s="26">
        <f t="shared" si="70"/>
        <v>0</v>
      </c>
    </row>
    <row r="88" spans="2:17" x14ac:dyDescent="0.3">
      <c r="B88" s="2" t="s">
        <v>355</v>
      </c>
      <c r="C88" s="16" t="s">
        <v>292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f t="shared" si="85"/>
        <v>0</v>
      </c>
      <c r="J88" s="1">
        <v>0</v>
      </c>
      <c r="K88" s="1">
        <v>0</v>
      </c>
      <c r="L88" s="26">
        <f t="shared" si="66"/>
        <v>0</v>
      </c>
      <c r="M88" s="1">
        <v>0</v>
      </c>
      <c r="N88" s="1">
        <v>0</v>
      </c>
      <c r="O88" s="26">
        <f t="shared" si="68"/>
        <v>0</v>
      </c>
      <c r="P88" s="26">
        <f t="shared" si="69"/>
        <v>0</v>
      </c>
      <c r="Q88" s="26">
        <f t="shared" si="70"/>
        <v>0</v>
      </c>
    </row>
    <row r="89" spans="2:17" x14ac:dyDescent="0.3">
      <c r="B89" s="3" t="s">
        <v>225</v>
      </c>
      <c r="C89" s="18" t="s">
        <v>293</v>
      </c>
      <c r="D89" s="5">
        <f t="shared" ref="D89:J89" si="86">+D90+D93+D101+D105+D113</f>
        <v>73021300</v>
      </c>
      <c r="E89" s="5">
        <f t="shared" si="86"/>
        <v>0</v>
      </c>
      <c r="F89" s="5">
        <f t="shared" si="86"/>
        <v>0</v>
      </c>
      <c r="G89" s="5">
        <f t="shared" si="86"/>
        <v>0</v>
      </c>
      <c r="H89" s="5">
        <f t="shared" si="86"/>
        <v>0</v>
      </c>
      <c r="I89" s="5">
        <f t="shared" si="86"/>
        <v>73021300</v>
      </c>
      <c r="J89" s="5">
        <f t="shared" si="86"/>
        <v>0</v>
      </c>
      <c r="K89" s="5">
        <f t="shared" ref="K89" si="87">+K90+K93+K101+K105+K113</f>
        <v>0</v>
      </c>
      <c r="L89" s="5">
        <f t="shared" si="66"/>
        <v>0</v>
      </c>
      <c r="M89" s="5">
        <f t="shared" ref="M89:N89" si="88">+M90+M93+M101+M105+M113</f>
        <v>0</v>
      </c>
      <c r="N89" s="5">
        <f t="shared" si="88"/>
        <v>0</v>
      </c>
      <c r="O89" s="5">
        <f t="shared" si="68"/>
        <v>0</v>
      </c>
      <c r="P89" s="5">
        <f t="shared" si="69"/>
        <v>73021300</v>
      </c>
      <c r="Q89" s="5">
        <f t="shared" si="70"/>
        <v>0</v>
      </c>
    </row>
    <row r="90" spans="2:17" x14ac:dyDescent="0.3">
      <c r="B90" s="3" t="s">
        <v>226</v>
      </c>
      <c r="C90" s="18" t="s">
        <v>294</v>
      </c>
      <c r="D90" s="5">
        <f t="shared" ref="D90:J90" si="89">+D91+D92</f>
        <v>55000000</v>
      </c>
      <c r="E90" s="5">
        <f t="shared" si="89"/>
        <v>0</v>
      </c>
      <c r="F90" s="5">
        <f t="shared" si="89"/>
        <v>0</v>
      </c>
      <c r="G90" s="5">
        <f t="shared" si="89"/>
        <v>0</v>
      </c>
      <c r="H90" s="5">
        <f t="shared" si="89"/>
        <v>0</v>
      </c>
      <c r="I90" s="5">
        <f t="shared" si="89"/>
        <v>55000000</v>
      </c>
      <c r="J90" s="5">
        <f t="shared" si="89"/>
        <v>0</v>
      </c>
      <c r="K90" s="5">
        <f t="shared" ref="K90" si="90">+K91+K92</f>
        <v>0</v>
      </c>
      <c r="L90" s="5">
        <f t="shared" si="66"/>
        <v>0</v>
      </c>
      <c r="M90" s="5">
        <f t="shared" ref="M90:N90" si="91">+M91+M92</f>
        <v>0</v>
      </c>
      <c r="N90" s="5">
        <f t="shared" si="91"/>
        <v>0</v>
      </c>
      <c r="O90" s="5">
        <f t="shared" si="68"/>
        <v>0</v>
      </c>
      <c r="P90" s="5">
        <f t="shared" si="69"/>
        <v>55000000</v>
      </c>
      <c r="Q90" s="5">
        <f t="shared" si="70"/>
        <v>0</v>
      </c>
    </row>
    <row r="91" spans="2:17" x14ac:dyDescent="0.3">
      <c r="B91" s="2" t="s">
        <v>227</v>
      </c>
      <c r="C91" s="16" t="s">
        <v>295</v>
      </c>
      <c r="D91" s="1">
        <v>20000000</v>
      </c>
      <c r="E91" s="1">
        <v>0</v>
      </c>
      <c r="F91" s="1">
        <v>0</v>
      </c>
      <c r="G91" s="1">
        <v>0</v>
      </c>
      <c r="H91" s="1">
        <v>0</v>
      </c>
      <c r="I91" s="1">
        <f t="shared" ref="I91:I92" si="92">+D91+E91-F91+G91-H91</f>
        <v>20000000</v>
      </c>
      <c r="J91" s="1">
        <v>0</v>
      </c>
      <c r="K91" s="1">
        <v>0</v>
      </c>
      <c r="L91" s="26">
        <f t="shared" si="66"/>
        <v>0</v>
      </c>
      <c r="M91" s="1">
        <v>0</v>
      </c>
      <c r="N91" s="1">
        <v>0</v>
      </c>
      <c r="O91" s="26">
        <f t="shared" si="68"/>
        <v>0</v>
      </c>
      <c r="P91" s="26">
        <f t="shared" si="69"/>
        <v>20000000</v>
      </c>
      <c r="Q91" s="26">
        <f t="shared" si="70"/>
        <v>0</v>
      </c>
    </row>
    <row r="92" spans="2:17" x14ac:dyDescent="0.3">
      <c r="B92" s="2" t="s">
        <v>228</v>
      </c>
      <c r="C92" s="16" t="s">
        <v>296</v>
      </c>
      <c r="D92" s="1">
        <v>35000000</v>
      </c>
      <c r="E92" s="1">
        <v>0</v>
      </c>
      <c r="F92" s="1">
        <v>0</v>
      </c>
      <c r="G92" s="1">
        <v>0</v>
      </c>
      <c r="H92" s="1">
        <v>0</v>
      </c>
      <c r="I92" s="1">
        <f t="shared" si="92"/>
        <v>35000000</v>
      </c>
      <c r="J92" s="1">
        <v>0</v>
      </c>
      <c r="K92" s="1">
        <v>0</v>
      </c>
      <c r="L92" s="26">
        <f t="shared" si="66"/>
        <v>0</v>
      </c>
      <c r="M92" s="1">
        <v>0</v>
      </c>
      <c r="N92" s="1">
        <v>0</v>
      </c>
      <c r="O92" s="26">
        <f t="shared" si="68"/>
        <v>0</v>
      </c>
      <c r="P92" s="26">
        <f t="shared" si="69"/>
        <v>35000000</v>
      </c>
      <c r="Q92" s="26">
        <f t="shared" si="70"/>
        <v>0</v>
      </c>
    </row>
    <row r="93" spans="2:17" x14ac:dyDescent="0.3">
      <c r="B93" s="3" t="s">
        <v>229</v>
      </c>
      <c r="C93" s="18" t="s">
        <v>297</v>
      </c>
      <c r="D93" s="5">
        <f t="shared" ref="D93:K93" si="93">+D94+D95+D96+D97+D98+D99+D100</f>
        <v>11021300</v>
      </c>
      <c r="E93" s="5">
        <f t="shared" si="93"/>
        <v>0</v>
      </c>
      <c r="F93" s="5">
        <f t="shared" si="93"/>
        <v>0</v>
      </c>
      <c r="G93" s="5">
        <f t="shared" si="93"/>
        <v>0</v>
      </c>
      <c r="H93" s="5">
        <f t="shared" si="93"/>
        <v>0</v>
      </c>
      <c r="I93" s="5">
        <f t="shared" si="93"/>
        <v>11021300</v>
      </c>
      <c r="J93" s="5">
        <f t="shared" si="93"/>
        <v>0</v>
      </c>
      <c r="K93" s="5">
        <f t="shared" si="93"/>
        <v>0</v>
      </c>
      <c r="L93" s="5">
        <f>+J93+K93</f>
        <v>0</v>
      </c>
      <c r="M93" s="5">
        <f>+M94+M95+M96+M97+M98+M99+M100</f>
        <v>0</v>
      </c>
      <c r="N93" s="5">
        <f>+N94+N95+N96+N97+N98+N99+N100</f>
        <v>0</v>
      </c>
      <c r="O93" s="5">
        <f>+M93+N93</f>
        <v>0</v>
      </c>
      <c r="P93" s="5">
        <f>+I93-L93</f>
        <v>11021300</v>
      </c>
      <c r="Q93" s="5">
        <f>+L93-O93</f>
        <v>0</v>
      </c>
    </row>
    <row r="94" spans="2:17" x14ac:dyDescent="0.3">
      <c r="B94" s="2" t="s">
        <v>230</v>
      </c>
      <c r="C94" s="16" t="s">
        <v>298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f t="shared" ref="I94:I100" si="94">+D94+E94-F94+G94-H94</f>
        <v>0</v>
      </c>
      <c r="J94" s="1">
        <v>0</v>
      </c>
      <c r="K94" s="1">
        <v>0</v>
      </c>
      <c r="L94" s="26">
        <f t="shared" si="66"/>
        <v>0</v>
      </c>
      <c r="M94" s="1">
        <v>0</v>
      </c>
      <c r="N94" s="1">
        <v>0</v>
      </c>
      <c r="O94" s="26">
        <f t="shared" si="68"/>
        <v>0</v>
      </c>
      <c r="P94" s="26">
        <f t="shared" si="69"/>
        <v>0</v>
      </c>
      <c r="Q94" s="26">
        <f t="shared" si="70"/>
        <v>0</v>
      </c>
    </row>
    <row r="95" spans="2:17" x14ac:dyDescent="0.3">
      <c r="B95" s="2" t="s">
        <v>231</v>
      </c>
      <c r="C95" s="16" t="s">
        <v>359</v>
      </c>
      <c r="D95" s="1">
        <v>5000000</v>
      </c>
      <c r="E95" s="1">
        <v>0</v>
      </c>
      <c r="F95" s="1">
        <v>0</v>
      </c>
      <c r="G95" s="1">
        <v>0</v>
      </c>
      <c r="H95" s="1">
        <v>0</v>
      </c>
      <c r="I95" s="1">
        <f t="shared" si="94"/>
        <v>5000000</v>
      </c>
      <c r="J95" s="1">
        <v>0</v>
      </c>
      <c r="K95" s="1">
        <v>0</v>
      </c>
      <c r="L95" s="26">
        <f t="shared" si="66"/>
        <v>0</v>
      </c>
      <c r="M95" s="1">
        <v>0</v>
      </c>
      <c r="N95" s="1">
        <v>0</v>
      </c>
      <c r="O95" s="26">
        <f t="shared" si="68"/>
        <v>0</v>
      </c>
      <c r="P95" s="26">
        <f t="shared" si="69"/>
        <v>5000000</v>
      </c>
      <c r="Q95" s="26">
        <f t="shared" si="70"/>
        <v>0</v>
      </c>
    </row>
    <row r="96" spans="2:17" x14ac:dyDescent="0.3">
      <c r="B96" s="2" t="s">
        <v>232</v>
      </c>
      <c r="C96" s="16" t="s">
        <v>360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f t="shared" si="94"/>
        <v>0</v>
      </c>
      <c r="J96" s="1">
        <v>0</v>
      </c>
      <c r="K96" s="1">
        <v>0</v>
      </c>
      <c r="L96" s="26">
        <f t="shared" si="66"/>
        <v>0</v>
      </c>
      <c r="M96" s="1">
        <v>0</v>
      </c>
      <c r="N96" s="1">
        <v>0</v>
      </c>
      <c r="O96" s="26">
        <f t="shared" si="68"/>
        <v>0</v>
      </c>
      <c r="P96" s="26">
        <f t="shared" si="69"/>
        <v>0</v>
      </c>
      <c r="Q96" s="26">
        <f t="shared" si="70"/>
        <v>0</v>
      </c>
    </row>
    <row r="97" spans="2:17" x14ac:dyDescent="0.3">
      <c r="B97" s="2" t="s">
        <v>233</v>
      </c>
      <c r="C97" s="16" t="s">
        <v>299</v>
      </c>
      <c r="D97" s="1">
        <f>5000000+21300</f>
        <v>5021300</v>
      </c>
      <c r="E97" s="1">
        <v>0</v>
      </c>
      <c r="F97" s="1">
        <v>0</v>
      </c>
      <c r="G97" s="1">
        <v>0</v>
      </c>
      <c r="H97" s="1">
        <v>0</v>
      </c>
      <c r="I97" s="1">
        <f t="shared" si="94"/>
        <v>5021300</v>
      </c>
      <c r="J97" s="1">
        <v>0</v>
      </c>
      <c r="K97" s="1">
        <v>0</v>
      </c>
      <c r="L97" s="26">
        <f t="shared" si="66"/>
        <v>0</v>
      </c>
      <c r="M97" s="1">
        <v>0</v>
      </c>
      <c r="N97" s="1">
        <v>0</v>
      </c>
      <c r="O97" s="26">
        <f t="shared" si="68"/>
        <v>0</v>
      </c>
      <c r="P97" s="26">
        <f t="shared" si="69"/>
        <v>5021300</v>
      </c>
      <c r="Q97" s="26">
        <f t="shared" si="70"/>
        <v>0</v>
      </c>
    </row>
    <row r="98" spans="2:17" x14ac:dyDescent="0.3">
      <c r="B98" s="2" t="s">
        <v>234</v>
      </c>
      <c r="C98" s="16" t="s">
        <v>300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f t="shared" si="94"/>
        <v>0</v>
      </c>
      <c r="J98" s="1">
        <v>0</v>
      </c>
      <c r="K98" s="1">
        <v>0</v>
      </c>
      <c r="L98" s="26">
        <f t="shared" si="66"/>
        <v>0</v>
      </c>
      <c r="M98" s="1">
        <v>0</v>
      </c>
      <c r="N98" s="1">
        <v>0</v>
      </c>
      <c r="O98" s="26">
        <f t="shared" si="68"/>
        <v>0</v>
      </c>
      <c r="P98" s="26">
        <f t="shared" si="69"/>
        <v>0</v>
      </c>
      <c r="Q98" s="26">
        <f t="shared" si="70"/>
        <v>0</v>
      </c>
    </row>
    <row r="99" spans="2:17" x14ac:dyDescent="0.3">
      <c r="B99" s="2" t="s">
        <v>235</v>
      </c>
      <c r="C99" s="16" t="s">
        <v>301</v>
      </c>
      <c r="D99" s="1">
        <v>1000000</v>
      </c>
      <c r="E99" s="1">
        <v>0</v>
      </c>
      <c r="F99" s="1">
        <v>0</v>
      </c>
      <c r="G99" s="1">
        <v>0</v>
      </c>
      <c r="H99" s="1">
        <v>0</v>
      </c>
      <c r="I99" s="1">
        <f t="shared" si="94"/>
        <v>1000000</v>
      </c>
      <c r="J99" s="1">
        <v>0</v>
      </c>
      <c r="K99" s="1">
        <v>0</v>
      </c>
      <c r="L99" s="26">
        <f t="shared" si="66"/>
        <v>0</v>
      </c>
      <c r="M99" s="1">
        <v>0</v>
      </c>
      <c r="N99" s="1">
        <v>0</v>
      </c>
      <c r="O99" s="26">
        <f t="shared" si="68"/>
        <v>0</v>
      </c>
      <c r="P99" s="26">
        <f t="shared" si="69"/>
        <v>1000000</v>
      </c>
      <c r="Q99" s="26">
        <f t="shared" si="70"/>
        <v>0</v>
      </c>
    </row>
    <row r="100" spans="2:17" x14ac:dyDescent="0.3">
      <c r="B100" s="2" t="s">
        <v>354</v>
      </c>
      <c r="C100" s="16" t="s">
        <v>302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f t="shared" si="94"/>
        <v>0</v>
      </c>
      <c r="J100" s="1">
        <v>0</v>
      </c>
      <c r="K100" s="1">
        <v>0</v>
      </c>
      <c r="L100" s="26">
        <f t="shared" si="66"/>
        <v>0</v>
      </c>
      <c r="M100" s="1">
        <v>0</v>
      </c>
      <c r="N100" s="1">
        <v>0</v>
      </c>
      <c r="O100" s="26">
        <f t="shared" si="68"/>
        <v>0</v>
      </c>
      <c r="P100" s="26">
        <f t="shared" si="69"/>
        <v>0</v>
      </c>
      <c r="Q100" s="26">
        <f t="shared" si="70"/>
        <v>0</v>
      </c>
    </row>
    <row r="101" spans="2:17" x14ac:dyDescent="0.3">
      <c r="B101" s="3" t="s">
        <v>236</v>
      </c>
      <c r="C101" s="18" t="s">
        <v>303</v>
      </c>
      <c r="D101" s="5">
        <f t="shared" ref="D101:J101" si="95">+D102+D103+D104</f>
        <v>0</v>
      </c>
      <c r="E101" s="5">
        <f t="shared" si="95"/>
        <v>0</v>
      </c>
      <c r="F101" s="5">
        <f t="shared" si="95"/>
        <v>0</v>
      </c>
      <c r="G101" s="5">
        <f t="shared" si="95"/>
        <v>0</v>
      </c>
      <c r="H101" s="5">
        <f t="shared" si="95"/>
        <v>0</v>
      </c>
      <c r="I101" s="5">
        <f t="shared" si="95"/>
        <v>0</v>
      </c>
      <c r="J101" s="5">
        <f t="shared" si="95"/>
        <v>0</v>
      </c>
      <c r="K101" s="5">
        <f t="shared" ref="K101" si="96">+K102+K103+K104</f>
        <v>0</v>
      </c>
      <c r="L101" s="5">
        <f t="shared" si="66"/>
        <v>0</v>
      </c>
      <c r="M101" s="5">
        <f t="shared" ref="M101:N101" si="97">+M102+M103+M104</f>
        <v>0</v>
      </c>
      <c r="N101" s="5">
        <f t="shared" si="97"/>
        <v>0</v>
      </c>
      <c r="O101" s="5">
        <f t="shared" si="68"/>
        <v>0</v>
      </c>
      <c r="P101" s="5">
        <f t="shared" si="69"/>
        <v>0</v>
      </c>
      <c r="Q101" s="5">
        <f t="shared" si="70"/>
        <v>0</v>
      </c>
    </row>
    <row r="102" spans="2:17" x14ac:dyDescent="0.3">
      <c r="B102" s="2" t="s">
        <v>237</v>
      </c>
      <c r="C102" s="16" t="s">
        <v>304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f t="shared" ref="I102:I104" si="98">+D102+E102-F102+G102-H102</f>
        <v>0</v>
      </c>
      <c r="J102" s="1">
        <v>0</v>
      </c>
      <c r="K102" s="1">
        <v>0</v>
      </c>
      <c r="L102" s="26">
        <f t="shared" si="66"/>
        <v>0</v>
      </c>
      <c r="M102" s="1">
        <v>0</v>
      </c>
      <c r="N102" s="1">
        <v>0</v>
      </c>
      <c r="O102" s="26">
        <f t="shared" si="68"/>
        <v>0</v>
      </c>
      <c r="P102" s="26">
        <f t="shared" si="69"/>
        <v>0</v>
      </c>
      <c r="Q102" s="26">
        <f t="shared" si="70"/>
        <v>0</v>
      </c>
    </row>
    <row r="103" spans="2:17" x14ac:dyDescent="0.3">
      <c r="B103" s="2" t="s">
        <v>238</v>
      </c>
      <c r="C103" s="16" t="s">
        <v>305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f t="shared" si="98"/>
        <v>0</v>
      </c>
      <c r="J103" s="1">
        <v>0</v>
      </c>
      <c r="K103" s="1">
        <v>0</v>
      </c>
      <c r="L103" s="26">
        <f t="shared" si="66"/>
        <v>0</v>
      </c>
      <c r="M103" s="1">
        <v>0</v>
      </c>
      <c r="N103" s="1">
        <v>0</v>
      </c>
      <c r="O103" s="26">
        <f t="shared" si="68"/>
        <v>0</v>
      </c>
      <c r="P103" s="26">
        <f t="shared" si="69"/>
        <v>0</v>
      </c>
      <c r="Q103" s="26">
        <f t="shared" si="70"/>
        <v>0</v>
      </c>
    </row>
    <row r="104" spans="2:17" x14ac:dyDescent="0.3">
      <c r="B104" s="2" t="s">
        <v>239</v>
      </c>
      <c r="C104" s="16" t="s">
        <v>306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f t="shared" si="98"/>
        <v>0</v>
      </c>
      <c r="J104" s="1">
        <v>0</v>
      </c>
      <c r="K104" s="1">
        <v>0</v>
      </c>
      <c r="L104" s="26">
        <f t="shared" si="66"/>
        <v>0</v>
      </c>
      <c r="M104" s="1">
        <v>0</v>
      </c>
      <c r="N104" s="1">
        <v>0</v>
      </c>
      <c r="O104" s="26">
        <f t="shared" si="68"/>
        <v>0</v>
      </c>
      <c r="P104" s="26">
        <f t="shared" si="69"/>
        <v>0</v>
      </c>
      <c r="Q104" s="26">
        <f t="shared" si="70"/>
        <v>0</v>
      </c>
    </row>
    <row r="105" spans="2:17" x14ac:dyDescent="0.3">
      <c r="B105" s="3" t="s">
        <v>240</v>
      </c>
      <c r="C105" s="18" t="s">
        <v>307</v>
      </c>
      <c r="D105" s="5">
        <f t="shared" ref="D105:K105" si="99">+D106+D107+D108+D109+D110+D111+D112</f>
        <v>7000000</v>
      </c>
      <c r="E105" s="5">
        <f t="shared" si="99"/>
        <v>0</v>
      </c>
      <c r="F105" s="5">
        <f t="shared" si="99"/>
        <v>0</v>
      </c>
      <c r="G105" s="5">
        <f t="shared" si="99"/>
        <v>0</v>
      </c>
      <c r="H105" s="5">
        <f t="shared" si="99"/>
        <v>0</v>
      </c>
      <c r="I105" s="5">
        <f t="shared" si="99"/>
        <v>7000000</v>
      </c>
      <c r="J105" s="5">
        <f t="shared" si="99"/>
        <v>0</v>
      </c>
      <c r="K105" s="5">
        <f t="shared" si="99"/>
        <v>0</v>
      </c>
      <c r="L105" s="5">
        <f>+J105+K105</f>
        <v>0</v>
      </c>
      <c r="M105" s="5">
        <f>+M106+M107+M108+M109+M110+M111+M112</f>
        <v>0</v>
      </c>
      <c r="N105" s="5">
        <f>+N106+N107+N108+N109+N110+N111+N112</f>
        <v>0</v>
      </c>
      <c r="O105" s="5">
        <f>+M105+N105</f>
        <v>0</v>
      </c>
      <c r="P105" s="5">
        <f>+I105-L105</f>
        <v>7000000</v>
      </c>
      <c r="Q105" s="5">
        <f>+L105-O105</f>
        <v>0</v>
      </c>
    </row>
    <row r="106" spans="2:17" x14ac:dyDescent="0.3">
      <c r="B106" s="2" t="s">
        <v>241</v>
      </c>
      <c r="C106" s="16" t="s">
        <v>308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f t="shared" ref="I106:I112" si="100">+D106+E106-F106+G106-H106</f>
        <v>0</v>
      </c>
      <c r="J106" s="1">
        <v>0</v>
      </c>
      <c r="K106" s="1">
        <v>0</v>
      </c>
      <c r="L106" s="26">
        <f>+J106+K106</f>
        <v>0</v>
      </c>
      <c r="M106" s="1">
        <v>0</v>
      </c>
      <c r="N106" s="1">
        <v>0</v>
      </c>
      <c r="O106" s="26">
        <f t="shared" si="68"/>
        <v>0</v>
      </c>
      <c r="P106" s="26">
        <f t="shared" si="69"/>
        <v>0</v>
      </c>
      <c r="Q106" s="26">
        <f t="shared" si="70"/>
        <v>0</v>
      </c>
    </row>
    <row r="107" spans="2:17" x14ac:dyDescent="0.3">
      <c r="B107" s="2" t="s">
        <v>242</v>
      </c>
      <c r="C107" s="16" t="s">
        <v>309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f t="shared" si="100"/>
        <v>0</v>
      </c>
      <c r="J107" s="1">
        <v>0</v>
      </c>
      <c r="K107" s="1">
        <v>0</v>
      </c>
      <c r="L107" s="26">
        <f t="shared" si="66"/>
        <v>0</v>
      </c>
      <c r="M107" s="1">
        <v>0</v>
      </c>
      <c r="N107" s="1">
        <v>0</v>
      </c>
      <c r="O107" s="26">
        <f t="shared" si="68"/>
        <v>0</v>
      </c>
      <c r="P107" s="26">
        <f t="shared" si="69"/>
        <v>0</v>
      </c>
      <c r="Q107" s="26">
        <f t="shared" si="70"/>
        <v>0</v>
      </c>
    </row>
    <row r="108" spans="2:17" x14ac:dyDescent="0.3">
      <c r="B108" s="2" t="s">
        <v>243</v>
      </c>
      <c r="C108" s="16" t="s">
        <v>310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f t="shared" si="100"/>
        <v>0</v>
      </c>
      <c r="J108" s="1">
        <v>0</v>
      </c>
      <c r="K108" s="1">
        <v>0</v>
      </c>
      <c r="L108" s="26">
        <f t="shared" si="66"/>
        <v>0</v>
      </c>
      <c r="M108" s="1">
        <v>0</v>
      </c>
      <c r="N108" s="1">
        <v>0</v>
      </c>
      <c r="O108" s="26">
        <f t="shared" si="68"/>
        <v>0</v>
      </c>
      <c r="P108" s="26">
        <f t="shared" si="69"/>
        <v>0</v>
      </c>
      <c r="Q108" s="26">
        <f t="shared" si="70"/>
        <v>0</v>
      </c>
    </row>
    <row r="109" spans="2:17" x14ac:dyDescent="0.3">
      <c r="B109" s="2" t="s">
        <v>244</v>
      </c>
      <c r="C109" s="16" t="s">
        <v>311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f t="shared" si="100"/>
        <v>0</v>
      </c>
      <c r="J109" s="1">
        <v>0</v>
      </c>
      <c r="K109" s="1">
        <v>0</v>
      </c>
      <c r="L109" s="26">
        <f t="shared" si="66"/>
        <v>0</v>
      </c>
      <c r="M109" s="1">
        <v>0</v>
      </c>
      <c r="N109" s="1">
        <v>0</v>
      </c>
      <c r="O109" s="26">
        <f t="shared" si="68"/>
        <v>0</v>
      </c>
      <c r="P109" s="26">
        <f t="shared" si="69"/>
        <v>0</v>
      </c>
      <c r="Q109" s="26">
        <f t="shared" si="70"/>
        <v>0</v>
      </c>
    </row>
    <row r="110" spans="2:17" x14ac:dyDescent="0.3">
      <c r="B110" s="2" t="s">
        <v>245</v>
      </c>
      <c r="C110" s="20" t="s">
        <v>352</v>
      </c>
      <c r="D110" s="1">
        <v>7000000</v>
      </c>
      <c r="E110" s="1">
        <v>0</v>
      </c>
      <c r="F110" s="1">
        <v>0</v>
      </c>
      <c r="G110" s="1">
        <v>0</v>
      </c>
      <c r="H110" s="1">
        <v>0</v>
      </c>
      <c r="I110" s="1">
        <f t="shared" si="100"/>
        <v>7000000</v>
      </c>
      <c r="J110" s="1">
        <v>0</v>
      </c>
      <c r="K110" s="1">
        <v>0</v>
      </c>
      <c r="L110" s="26">
        <f>+J110+K110</f>
        <v>0</v>
      </c>
      <c r="M110" s="1">
        <v>0</v>
      </c>
      <c r="N110" s="1">
        <v>0</v>
      </c>
      <c r="O110" s="26">
        <f t="shared" si="68"/>
        <v>0</v>
      </c>
      <c r="P110" s="26">
        <f t="shared" si="69"/>
        <v>7000000</v>
      </c>
      <c r="Q110" s="26">
        <f t="shared" si="70"/>
        <v>0</v>
      </c>
    </row>
    <row r="111" spans="2:17" x14ac:dyDescent="0.3">
      <c r="B111" s="2" t="s">
        <v>246</v>
      </c>
      <c r="C111" s="20" t="s">
        <v>353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f t="shared" si="100"/>
        <v>0</v>
      </c>
      <c r="J111" s="1">
        <v>0</v>
      </c>
      <c r="K111" s="1">
        <v>0</v>
      </c>
      <c r="L111" s="26">
        <f>+J111+K111</f>
        <v>0</v>
      </c>
      <c r="M111" s="1">
        <v>0</v>
      </c>
      <c r="N111" s="1">
        <v>0</v>
      </c>
      <c r="O111" s="26">
        <f>+M111+N111</f>
        <v>0</v>
      </c>
      <c r="P111" s="26">
        <f t="shared" si="69"/>
        <v>0</v>
      </c>
      <c r="Q111" s="26">
        <f t="shared" si="70"/>
        <v>0</v>
      </c>
    </row>
    <row r="112" spans="2:17" x14ac:dyDescent="0.3">
      <c r="B112" s="2" t="s">
        <v>351</v>
      </c>
      <c r="C112" s="16" t="s">
        <v>330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f t="shared" si="100"/>
        <v>0</v>
      </c>
      <c r="J112" s="1">
        <v>0</v>
      </c>
      <c r="K112" s="1">
        <v>0</v>
      </c>
      <c r="L112" s="26">
        <f t="shared" si="66"/>
        <v>0</v>
      </c>
      <c r="M112" s="1">
        <v>0</v>
      </c>
      <c r="N112" s="1">
        <v>0</v>
      </c>
      <c r="O112" s="26">
        <f t="shared" si="68"/>
        <v>0</v>
      </c>
      <c r="P112" s="26">
        <f t="shared" si="69"/>
        <v>0</v>
      </c>
      <c r="Q112" s="26">
        <f t="shared" si="70"/>
        <v>0</v>
      </c>
    </row>
    <row r="113" spans="2:17" x14ac:dyDescent="0.3">
      <c r="B113" s="3" t="s">
        <v>247</v>
      </c>
      <c r="C113" s="18" t="s">
        <v>312</v>
      </c>
      <c r="D113" s="5">
        <f t="shared" ref="D113:J113" si="101">+D114+D115</f>
        <v>0</v>
      </c>
      <c r="E113" s="5">
        <f t="shared" si="101"/>
        <v>0</v>
      </c>
      <c r="F113" s="5">
        <f t="shared" si="101"/>
        <v>0</v>
      </c>
      <c r="G113" s="5">
        <f t="shared" si="101"/>
        <v>0</v>
      </c>
      <c r="H113" s="5">
        <f t="shared" si="101"/>
        <v>0</v>
      </c>
      <c r="I113" s="5">
        <f t="shared" si="101"/>
        <v>0</v>
      </c>
      <c r="J113" s="5">
        <f t="shared" si="101"/>
        <v>0</v>
      </c>
      <c r="K113" s="5">
        <f t="shared" ref="K113" si="102">+K114+K115</f>
        <v>0</v>
      </c>
      <c r="L113" s="5">
        <f t="shared" si="66"/>
        <v>0</v>
      </c>
      <c r="M113" s="5">
        <f t="shared" ref="M113:N113" si="103">+M114+M115</f>
        <v>0</v>
      </c>
      <c r="N113" s="5">
        <f t="shared" si="103"/>
        <v>0</v>
      </c>
      <c r="O113" s="5">
        <f t="shared" si="68"/>
        <v>0</v>
      </c>
      <c r="P113" s="5">
        <f t="shared" si="69"/>
        <v>0</v>
      </c>
      <c r="Q113" s="5">
        <f t="shared" si="70"/>
        <v>0</v>
      </c>
    </row>
    <row r="114" spans="2:17" x14ac:dyDescent="0.3">
      <c r="B114" s="2" t="s">
        <v>248</v>
      </c>
      <c r="C114" s="16" t="s">
        <v>313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f t="shared" ref="I114:I115" si="104">+D114+E114-F114+G114-H114</f>
        <v>0</v>
      </c>
      <c r="J114" s="1">
        <v>0</v>
      </c>
      <c r="K114" s="1">
        <v>0</v>
      </c>
      <c r="L114" s="26">
        <f t="shared" si="66"/>
        <v>0</v>
      </c>
      <c r="M114" s="1">
        <v>0</v>
      </c>
      <c r="N114" s="1">
        <v>0</v>
      </c>
      <c r="O114" s="26">
        <f t="shared" si="68"/>
        <v>0</v>
      </c>
      <c r="P114" s="26">
        <f t="shared" si="69"/>
        <v>0</v>
      </c>
      <c r="Q114" s="26">
        <f t="shared" si="70"/>
        <v>0</v>
      </c>
    </row>
    <row r="115" spans="2:17" x14ac:dyDescent="0.3">
      <c r="B115" s="2" t="s">
        <v>249</v>
      </c>
      <c r="C115" s="16" t="s">
        <v>314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f t="shared" si="104"/>
        <v>0</v>
      </c>
      <c r="J115" s="1">
        <v>0</v>
      </c>
      <c r="K115" s="1">
        <v>0</v>
      </c>
      <c r="L115" s="26">
        <f t="shared" si="66"/>
        <v>0</v>
      </c>
      <c r="M115" s="1">
        <v>0</v>
      </c>
      <c r="N115" s="1">
        <v>0</v>
      </c>
      <c r="O115" s="26">
        <f t="shared" si="68"/>
        <v>0</v>
      </c>
      <c r="P115" s="26">
        <f t="shared" si="69"/>
        <v>0</v>
      </c>
      <c r="Q115" s="26">
        <f t="shared" si="70"/>
        <v>0</v>
      </c>
    </row>
    <row r="116" spans="2:17" x14ac:dyDescent="0.3">
      <c r="B116" s="33" t="s">
        <v>329</v>
      </c>
      <c r="C116" s="33"/>
      <c r="D116" s="22">
        <f>+D5</f>
        <v>83021300</v>
      </c>
      <c r="E116" s="22">
        <f t="shared" ref="E116:J116" si="105">+E5</f>
        <v>0</v>
      </c>
      <c r="F116" s="22">
        <f t="shared" si="105"/>
        <v>0</v>
      </c>
      <c r="G116" s="22">
        <f t="shared" si="105"/>
        <v>0</v>
      </c>
      <c r="H116" s="22">
        <f t="shared" si="105"/>
        <v>0</v>
      </c>
      <c r="I116" s="22">
        <f t="shared" si="105"/>
        <v>83021300</v>
      </c>
      <c r="J116" s="22">
        <f t="shared" si="105"/>
        <v>0</v>
      </c>
      <c r="K116" s="22">
        <f t="shared" ref="K116" si="106">+K5</f>
        <v>0</v>
      </c>
      <c r="L116" s="22">
        <f t="shared" si="66"/>
        <v>0</v>
      </c>
      <c r="M116" s="22">
        <f t="shared" ref="M116:N116" si="107">+M5</f>
        <v>0</v>
      </c>
      <c r="N116" s="22">
        <f t="shared" si="107"/>
        <v>0</v>
      </c>
      <c r="O116" s="22">
        <f t="shared" si="68"/>
        <v>0</v>
      </c>
      <c r="P116" s="22">
        <f t="shared" si="69"/>
        <v>83021300</v>
      </c>
      <c r="Q116" s="22">
        <f t="shared" si="70"/>
        <v>0</v>
      </c>
    </row>
    <row r="118" spans="2:17" x14ac:dyDescent="0.3">
      <c r="C118" s="23" t="s">
        <v>318</v>
      </c>
      <c r="D118" s="24">
        <f>+'INGRESOS '!D4-'GASTOS '!D5</f>
        <v>0</v>
      </c>
    </row>
  </sheetData>
  <mergeCells count="12">
    <mergeCell ref="M3:O3"/>
    <mergeCell ref="P3:Q3"/>
    <mergeCell ref="F3:F4"/>
    <mergeCell ref="G3:G4"/>
    <mergeCell ref="H3:H4"/>
    <mergeCell ref="I3:I4"/>
    <mergeCell ref="J3:L3"/>
    <mergeCell ref="B116:C116"/>
    <mergeCell ref="B3:B4"/>
    <mergeCell ref="C3:C4"/>
    <mergeCell ref="D3:D4"/>
    <mergeCell ref="E3:E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 </vt:lpstr>
      <vt:lpstr>GASTOS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SED-FOSES</dc:creator>
  <cp:lastModifiedBy>Martha Riobamba</cp:lastModifiedBy>
  <dcterms:created xsi:type="dcterms:W3CDTF">2025-07-21T09:59:32Z</dcterms:created>
  <dcterms:modified xsi:type="dcterms:W3CDTF">2026-02-14T22:52:51Z</dcterms:modified>
</cp:coreProperties>
</file>